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KADEA GARDE\"/>
    </mc:Choice>
  </mc:AlternateContent>
  <xr:revisionPtr revIDLastSave="0" documentId="13_ncr:1_{81D10CD5-7762-4BDD-8F57-6ADF98909025}" xr6:coauthVersionLast="47" xr6:coauthVersionMax="47" xr10:uidLastSave="{00000000-0000-0000-0000-000000000000}"/>
  <bookViews>
    <workbookView xWindow="-110" yWindow="-110" windowWidth="19420" windowHeight="10300" firstSheet="2" activeTab="3" xr2:uid="{1E502352-F798-4D6F-8941-79C569D580EC}"/>
  </bookViews>
  <sheets>
    <sheet name="TCD " sheetId="10" r:id="rId1"/>
    <sheet name="CKadeaTelcoLogs_Reseau et maint" sheetId="2" r:id="rId2"/>
    <sheet name="CKadeaTelcoClients_Churn" sheetId="5" r:id="rId3"/>
    <sheet name="CKadeaTelcoRegistre_Maintenance" sheetId="3" r:id="rId4"/>
  </sheets>
  <definedNames>
    <definedName name="DonnéesExternes_1" localSheetId="2" hidden="1">'CKadeaTelcoClients_Churn'!$A$1:$H$751</definedName>
    <definedName name="DonnéesExternes_1" localSheetId="1" hidden="1">'CKadeaTelcoLogs_Reseau et maint'!$A$1:$D$1075</definedName>
    <definedName name="DonnéesExternes_1" localSheetId="3" hidden="1">'CKadeaTelcoRegistre_Maintenance'!$A$1:$F$499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J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J406" i="5" s="1"/>
  <c r="I407" i="5"/>
  <c r="J407" i="5" s="1"/>
  <c r="I408" i="5"/>
  <c r="J408" i="5" s="1"/>
  <c r="I409" i="5"/>
  <c r="J409" i="5" s="1"/>
  <c r="I410" i="5"/>
  <c r="J410" i="5" s="1"/>
  <c r="I411" i="5"/>
  <c r="J411" i="5" s="1"/>
  <c r="I412" i="5"/>
  <c r="J412" i="5" s="1"/>
  <c r="I413" i="5"/>
  <c r="J413" i="5" s="1"/>
  <c r="I414" i="5"/>
  <c r="J414" i="5" s="1"/>
  <c r="I415" i="5"/>
  <c r="J415" i="5" s="1"/>
  <c r="I416" i="5"/>
  <c r="J416" i="5" s="1"/>
  <c r="I417" i="5"/>
  <c r="J417" i="5" s="1"/>
  <c r="I418" i="5"/>
  <c r="J418" i="5" s="1"/>
  <c r="I419" i="5"/>
  <c r="J419" i="5" s="1"/>
  <c r="I420" i="5"/>
  <c r="J420" i="5" s="1"/>
  <c r="I421" i="5"/>
  <c r="J421" i="5" s="1"/>
  <c r="I422" i="5"/>
  <c r="J422" i="5" s="1"/>
  <c r="I423" i="5"/>
  <c r="J423" i="5" s="1"/>
  <c r="I424" i="5"/>
  <c r="J424" i="5" s="1"/>
  <c r="I425" i="5"/>
  <c r="J425" i="5" s="1"/>
  <c r="I426" i="5"/>
  <c r="J426" i="5" s="1"/>
  <c r="I427" i="5"/>
  <c r="J427" i="5" s="1"/>
  <c r="I428" i="5"/>
  <c r="J428" i="5" s="1"/>
  <c r="I429" i="5"/>
  <c r="J429" i="5" s="1"/>
  <c r="I430" i="5"/>
  <c r="J430" i="5" s="1"/>
  <c r="I431" i="5"/>
  <c r="J431" i="5" s="1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J441" i="5" s="1"/>
  <c r="I442" i="5"/>
  <c r="J442" i="5" s="1"/>
  <c r="I443" i="5"/>
  <c r="J443" i="5" s="1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J449" i="5" s="1"/>
  <c r="I450" i="5"/>
  <c r="J450" i="5" s="1"/>
  <c r="I451" i="5"/>
  <c r="J451" i="5" s="1"/>
  <c r="I452" i="5"/>
  <c r="J452" i="5" s="1"/>
  <c r="I453" i="5"/>
  <c r="J453" i="5" s="1"/>
  <c r="I454" i="5"/>
  <c r="J454" i="5" s="1"/>
  <c r="I455" i="5"/>
  <c r="J455" i="5" s="1"/>
  <c r="I456" i="5"/>
  <c r="J456" i="5" s="1"/>
  <c r="I457" i="5"/>
  <c r="J457" i="5" s="1"/>
  <c r="I458" i="5"/>
  <c r="J458" i="5" s="1"/>
  <c r="I459" i="5"/>
  <c r="J459" i="5" s="1"/>
  <c r="I460" i="5"/>
  <c r="J460" i="5" s="1"/>
  <c r="I461" i="5"/>
  <c r="J461" i="5" s="1"/>
  <c r="I462" i="5"/>
  <c r="J462" i="5" s="1"/>
  <c r="I463" i="5"/>
  <c r="J463" i="5" s="1"/>
  <c r="I464" i="5"/>
  <c r="J464" i="5" s="1"/>
  <c r="I465" i="5"/>
  <c r="J465" i="5" s="1"/>
  <c r="I466" i="5"/>
  <c r="J466" i="5" s="1"/>
  <c r="I467" i="5"/>
  <c r="J467" i="5" s="1"/>
  <c r="I468" i="5"/>
  <c r="J468" i="5" s="1"/>
  <c r="I469" i="5"/>
  <c r="J469" i="5" s="1"/>
  <c r="I470" i="5"/>
  <c r="J470" i="5" s="1"/>
  <c r="I471" i="5"/>
  <c r="J471" i="5" s="1"/>
  <c r="I472" i="5"/>
  <c r="J472" i="5" s="1"/>
  <c r="I473" i="5"/>
  <c r="J473" i="5" s="1"/>
  <c r="I474" i="5"/>
  <c r="J474" i="5" s="1"/>
  <c r="I475" i="5"/>
  <c r="J475" i="5" s="1"/>
  <c r="I476" i="5"/>
  <c r="J476" i="5" s="1"/>
  <c r="I477" i="5"/>
  <c r="J477" i="5" s="1"/>
  <c r="I478" i="5"/>
  <c r="J478" i="5" s="1"/>
  <c r="I479" i="5"/>
  <c r="J479" i="5" s="1"/>
  <c r="I480" i="5"/>
  <c r="J480" i="5" s="1"/>
  <c r="I481" i="5"/>
  <c r="J481" i="5" s="1"/>
  <c r="I482" i="5"/>
  <c r="J482" i="5" s="1"/>
  <c r="I483" i="5"/>
  <c r="J483" i="5" s="1"/>
  <c r="I484" i="5"/>
  <c r="J484" i="5" s="1"/>
  <c r="I485" i="5"/>
  <c r="J485" i="5" s="1"/>
  <c r="I486" i="5"/>
  <c r="J486" i="5" s="1"/>
  <c r="I487" i="5"/>
  <c r="J487" i="5" s="1"/>
  <c r="I488" i="5"/>
  <c r="J488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 s="1"/>
  <c r="I495" i="5"/>
  <c r="J495" i="5" s="1"/>
  <c r="I496" i="5"/>
  <c r="J496" i="5" s="1"/>
  <c r="I497" i="5"/>
  <c r="J497" i="5" s="1"/>
  <c r="I498" i="5"/>
  <c r="J498" i="5" s="1"/>
  <c r="I499" i="5"/>
  <c r="J499" i="5" s="1"/>
  <c r="I500" i="5"/>
  <c r="J500" i="5" s="1"/>
  <c r="I501" i="5"/>
  <c r="J501" i="5" s="1"/>
  <c r="I502" i="5"/>
  <c r="J502" i="5" s="1"/>
  <c r="I503" i="5"/>
  <c r="J503" i="5" s="1"/>
  <c r="I504" i="5"/>
  <c r="J504" i="5" s="1"/>
  <c r="I505" i="5"/>
  <c r="J505" i="5" s="1"/>
  <c r="I506" i="5"/>
  <c r="J506" i="5" s="1"/>
  <c r="I507" i="5"/>
  <c r="J507" i="5" s="1"/>
  <c r="I508" i="5"/>
  <c r="J508" i="5" s="1"/>
  <c r="I509" i="5"/>
  <c r="J509" i="5" s="1"/>
  <c r="I510" i="5"/>
  <c r="J510" i="5" s="1"/>
  <c r="I511" i="5"/>
  <c r="J511" i="5" s="1"/>
  <c r="I512" i="5"/>
  <c r="J512" i="5" s="1"/>
  <c r="I513" i="5"/>
  <c r="J513" i="5" s="1"/>
  <c r="I514" i="5"/>
  <c r="J514" i="5" s="1"/>
  <c r="I515" i="5"/>
  <c r="J515" i="5" s="1"/>
  <c r="I516" i="5"/>
  <c r="J516" i="5" s="1"/>
  <c r="I517" i="5"/>
  <c r="J517" i="5" s="1"/>
  <c r="I518" i="5"/>
  <c r="J518" i="5" s="1"/>
  <c r="I519" i="5"/>
  <c r="J519" i="5" s="1"/>
  <c r="I520" i="5"/>
  <c r="J520" i="5" s="1"/>
  <c r="I521" i="5"/>
  <c r="J521" i="5" s="1"/>
  <c r="I522" i="5"/>
  <c r="J522" i="5" s="1"/>
  <c r="I523" i="5"/>
  <c r="J523" i="5" s="1"/>
  <c r="I524" i="5"/>
  <c r="J524" i="5" s="1"/>
  <c r="I525" i="5"/>
  <c r="J525" i="5" s="1"/>
  <c r="I526" i="5"/>
  <c r="J526" i="5" s="1"/>
  <c r="I527" i="5"/>
  <c r="J527" i="5" s="1"/>
  <c r="I528" i="5"/>
  <c r="J528" i="5" s="1"/>
  <c r="I529" i="5"/>
  <c r="J529" i="5" s="1"/>
  <c r="I530" i="5"/>
  <c r="J530" i="5" s="1"/>
  <c r="I531" i="5"/>
  <c r="J531" i="5" s="1"/>
  <c r="I532" i="5"/>
  <c r="J532" i="5" s="1"/>
  <c r="I533" i="5"/>
  <c r="J533" i="5" s="1"/>
  <c r="I534" i="5"/>
  <c r="J534" i="5" s="1"/>
  <c r="I535" i="5"/>
  <c r="J535" i="5" s="1"/>
  <c r="I536" i="5"/>
  <c r="J536" i="5" s="1"/>
  <c r="I537" i="5"/>
  <c r="J537" i="5" s="1"/>
  <c r="I538" i="5"/>
  <c r="J538" i="5" s="1"/>
  <c r="I539" i="5"/>
  <c r="J539" i="5" s="1"/>
  <c r="I540" i="5"/>
  <c r="J540" i="5" s="1"/>
  <c r="I541" i="5"/>
  <c r="J541" i="5" s="1"/>
  <c r="I542" i="5"/>
  <c r="J542" i="5" s="1"/>
  <c r="I543" i="5"/>
  <c r="J543" i="5" s="1"/>
  <c r="I544" i="5"/>
  <c r="J544" i="5" s="1"/>
  <c r="I545" i="5"/>
  <c r="J545" i="5" s="1"/>
  <c r="I546" i="5"/>
  <c r="J546" i="5" s="1"/>
  <c r="I547" i="5"/>
  <c r="J547" i="5" s="1"/>
  <c r="I548" i="5"/>
  <c r="J548" i="5" s="1"/>
  <c r="I549" i="5"/>
  <c r="J549" i="5" s="1"/>
  <c r="I550" i="5"/>
  <c r="J550" i="5" s="1"/>
  <c r="I551" i="5"/>
  <c r="J551" i="5" s="1"/>
  <c r="I552" i="5"/>
  <c r="J552" i="5" s="1"/>
  <c r="I553" i="5"/>
  <c r="J553" i="5" s="1"/>
  <c r="I554" i="5"/>
  <c r="J554" i="5" s="1"/>
  <c r="I555" i="5"/>
  <c r="J555" i="5" s="1"/>
  <c r="I556" i="5"/>
  <c r="J556" i="5" s="1"/>
  <c r="I557" i="5"/>
  <c r="J557" i="5" s="1"/>
  <c r="I558" i="5"/>
  <c r="J558" i="5" s="1"/>
  <c r="I559" i="5"/>
  <c r="J559" i="5" s="1"/>
  <c r="I560" i="5"/>
  <c r="J560" i="5" s="1"/>
  <c r="I561" i="5"/>
  <c r="J561" i="5" s="1"/>
  <c r="I562" i="5"/>
  <c r="J562" i="5" s="1"/>
  <c r="I563" i="5"/>
  <c r="J563" i="5" s="1"/>
  <c r="I564" i="5"/>
  <c r="J564" i="5" s="1"/>
  <c r="I565" i="5"/>
  <c r="J565" i="5" s="1"/>
  <c r="I566" i="5"/>
  <c r="J566" i="5" s="1"/>
  <c r="I567" i="5"/>
  <c r="J567" i="5" s="1"/>
  <c r="I568" i="5"/>
  <c r="J568" i="5" s="1"/>
  <c r="I569" i="5"/>
  <c r="J569" i="5" s="1"/>
  <c r="I570" i="5"/>
  <c r="J570" i="5" s="1"/>
  <c r="I571" i="5"/>
  <c r="J571" i="5" s="1"/>
  <c r="I572" i="5"/>
  <c r="J572" i="5" s="1"/>
  <c r="I573" i="5"/>
  <c r="J573" i="5" s="1"/>
  <c r="I574" i="5"/>
  <c r="J574" i="5" s="1"/>
  <c r="I575" i="5"/>
  <c r="J575" i="5" s="1"/>
  <c r="I576" i="5"/>
  <c r="J576" i="5" s="1"/>
  <c r="I577" i="5"/>
  <c r="J577" i="5" s="1"/>
  <c r="I578" i="5"/>
  <c r="J578" i="5" s="1"/>
  <c r="I579" i="5"/>
  <c r="J579" i="5" s="1"/>
  <c r="I580" i="5"/>
  <c r="J580" i="5" s="1"/>
  <c r="I581" i="5"/>
  <c r="J581" i="5" s="1"/>
  <c r="I582" i="5"/>
  <c r="J582" i="5" s="1"/>
  <c r="I583" i="5"/>
  <c r="J583" i="5" s="1"/>
  <c r="I584" i="5"/>
  <c r="J584" i="5" s="1"/>
  <c r="I585" i="5"/>
  <c r="J585" i="5" s="1"/>
  <c r="I586" i="5"/>
  <c r="J586" i="5" s="1"/>
  <c r="I587" i="5"/>
  <c r="J587" i="5" s="1"/>
  <c r="I588" i="5"/>
  <c r="J588" i="5" s="1"/>
  <c r="I589" i="5"/>
  <c r="J589" i="5" s="1"/>
  <c r="I590" i="5"/>
  <c r="J590" i="5" s="1"/>
  <c r="I591" i="5"/>
  <c r="J591" i="5" s="1"/>
  <c r="I592" i="5"/>
  <c r="J592" i="5" s="1"/>
  <c r="I593" i="5"/>
  <c r="J593" i="5" s="1"/>
  <c r="I594" i="5"/>
  <c r="J594" i="5" s="1"/>
  <c r="I595" i="5"/>
  <c r="J595" i="5" s="1"/>
  <c r="I596" i="5"/>
  <c r="J596" i="5" s="1"/>
  <c r="I597" i="5"/>
  <c r="J597" i="5" s="1"/>
  <c r="I598" i="5"/>
  <c r="J598" i="5" s="1"/>
  <c r="I599" i="5"/>
  <c r="J599" i="5" s="1"/>
  <c r="I600" i="5"/>
  <c r="J600" i="5" s="1"/>
  <c r="I601" i="5"/>
  <c r="J601" i="5" s="1"/>
  <c r="I602" i="5"/>
  <c r="J602" i="5" s="1"/>
  <c r="I603" i="5"/>
  <c r="J603" i="5" s="1"/>
  <c r="I604" i="5"/>
  <c r="J604" i="5" s="1"/>
  <c r="I605" i="5"/>
  <c r="J605" i="5" s="1"/>
  <c r="I606" i="5"/>
  <c r="J606" i="5" s="1"/>
  <c r="I607" i="5"/>
  <c r="J607" i="5" s="1"/>
  <c r="I608" i="5"/>
  <c r="J608" i="5" s="1"/>
  <c r="I609" i="5"/>
  <c r="J609" i="5" s="1"/>
  <c r="I610" i="5"/>
  <c r="J610" i="5" s="1"/>
  <c r="I611" i="5"/>
  <c r="J611" i="5" s="1"/>
  <c r="I612" i="5"/>
  <c r="J612" i="5" s="1"/>
  <c r="I613" i="5"/>
  <c r="J613" i="5" s="1"/>
  <c r="I614" i="5"/>
  <c r="J614" i="5" s="1"/>
  <c r="I615" i="5"/>
  <c r="J615" i="5" s="1"/>
  <c r="I616" i="5"/>
  <c r="J616" i="5" s="1"/>
  <c r="I617" i="5"/>
  <c r="J617" i="5" s="1"/>
  <c r="I618" i="5"/>
  <c r="J618" i="5" s="1"/>
  <c r="I619" i="5"/>
  <c r="J619" i="5" s="1"/>
  <c r="I620" i="5"/>
  <c r="J620" i="5" s="1"/>
  <c r="I621" i="5"/>
  <c r="J621" i="5" s="1"/>
  <c r="I622" i="5"/>
  <c r="J622" i="5" s="1"/>
  <c r="I623" i="5"/>
  <c r="J623" i="5" s="1"/>
  <c r="I624" i="5"/>
  <c r="J624" i="5" s="1"/>
  <c r="I625" i="5"/>
  <c r="J625" i="5" s="1"/>
  <c r="I626" i="5"/>
  <c r="J626" i="5" s="1"/>
  <c r="I627" i="5"/>
  <c r="J627" i="5" s="1"/>
  <c r="I628" i="5"/>
  <c r="J628" i="5" s="1"/>
  <c r="I629" i="5"/>
  <c r="J629" i="5" s="1"/>
  <c r="I630" i="5"/>
  <c r="J630" i="5" s="1"/>
  <c r="I631" i="5"/>
  <c r="J631" i="5" s="1"/>
  <c r="I632" i="5"/>
  <c r="J632" i="5" s="1"/>
  <c r="I633" i="5"/>
  <c r="J633" i="5" s="1"/>
  <c r="I634" i="5"/>
  <c r="J634" i="5" s="1"/>
  <c r="I635" i="5"/>
  <c r="J635" i="5" s="1"/>
  <c r="I636" i="5"/>
  <c r="J636" i="5" s="1"/>
  <c r="I637" i="5"/>
  <c r="J637" i="5" s="1"/>
  <c r="I638" i="5"/>
  <c r="J638" i="5" s="1"/>
  <c r="I639" i="5"/>
  <c r="J639" i="5" s="1"/>
  <c r="I640" i="5"/>
  <c r="J640" i="5" s="1"/>
  <c r="I641" i="5"/>
  <c r="J641" i="5" s="1"/>
  <c r="I642" i="5"/>
  <c r="J642" i="5" s="1"/>
  <c r="I643" i="5"/>
  <c r="J643" i="5" s="1"/>
  <c r="I644" i="5"/>
  <c r="J644" i="5" s="1"/>
  <c r="I645" i="5"/>
  <c r="J645" i="5" s="1"/>
  <c r="I646" i="5"/>
  <c r="J646" i="5" s="1"/>
  <c r="I647" i="5"/>
  <c r="J647" i="5" s="1"/>
  <c r="I648" i="5"/>
  <c r="J648" i="5" s="1"/>
  <c r="I649" i="5"/>
  <c r="J649" i="5" s="1"/>
  <c r="I650" i="5"/>
  <c r="J650" i="5" s="1"/>
  <c r="I651" i="5"/>
  <c r="J651" i="5" s="1"/>
  <c r="I652" i="5"/>
  <c r="J652" i="5" s="1"/>
  <c r="I653" i="5"/>
  <c r="J653" i="5" s="1"/>
  <c r="I654" i="5"/>
  <c r="J654" i="5" s="1"/>
  <c r="I655" i="5"/>
  <c r="J655" i="5" s="1"/>
  <c r="I656" i="5"/>
  <c r="J656" i="5" s="1"/>
  <c r="I657" i="5"/>
  <c r="J657" i="5" s="1"/>
  <c r="I658" i="5"/>
  <c r="J658" i="5" s="1"/>
  <c r="I659" i="5"/>
  <c r="J659" i="5" s="1"/>
  <c r="I660" i="5"/>
  <c r="J660" i="5" s="1"/>
  <c r="I661" i="5"/>
  <c r="J661" i="5" s="1"/>
  <c r="I662" i="5"/>
  <c r="J662" i="5" s="1"/>
  <c r="I663" i="5"/>
  <c r="J663" i="5" s="1"/>
  <c r="I664" i="5"/>
  <c r="J664" i="5" s="1"/>
  <c r="I665" i="5"/>
  <c r="J665" i="5" s="1"/>
  <c r="I666" i="5"/>
  <c r="J666" i="5" s="1"/>
  <c r="I667" i="5"/>
  <c r="J667" i="5" s="1"/>
  <c r="I668" i="5"/>
  <c r="J668" i="5" s="1"/>
  <c r="I669" i="5"/>
  <c r="J669" i="5" s="1"/>
  <c r="I670" i="5"/>
  <c r="J670" i="5" s="1"/>
  <c r="I671" i="5"/>
  <c r="J671" i="5" s="1"/>
  <c r="I672" i="5"/>
  <c r="J672" i="5" s="1"/>
  <c r="I673" i="5"/>
  <c r="J673" i="5" s="1"/>
  <c r="I674" i="5"/>
  <c r="J674" i="5" s="1"/>
  <c r="I675" i="5"/>
  <c r="J675" i="5" s="1"/>
  <c r="I676" i="5"/>
  <c r="J676" i="5" s="1"/>
  <c r="I677" i="5"/>
  <c r="J677" i="5" s="1"/>
  <c r="I678" i="5"/>
  <c r="J678" i="5" s="1"/>
  <c r="I679" i="5"/>
  <c r="J679" i="5" s="1"/>
  <c r="I680" i="5"/>
  <c r="J680" i="5" s="1"/>
  <c r="I681" i="5"/>
  <c r="J681" i="5" s="1"/>
  <c r="I682" i="5"/>
  <c r="J682" i="5" s="1"/>
  <c r="I683" i="5"/>
  <c r="J683" i="5" s="1"/>
  <c r="I684" i="5"/>
  <c r="J684" i="5" s="1"/>
  <c r="I685" i="5"/>
  <c r="J685" i="5" s="1"/>
  <c r="I686" i="5"/>
  <c r="J686" i="5" s="1"/>
  <c r="I687" i="5"/>
  <c r="J687" i="5" s="1"/>
  <c r="I688" i="5"/>
  <c r="J688" i="5" s="1"/>
  <c r="I689" i="5"/>
  <c r="J689" i="5" s="1"/>
  <c r="I690" i="5"/>
  <c r="J690" i="5" s="1"/>
  <c r="I691" i="5"/>
  <c r="J691" i="5" s="1"/>
  <c r="I692" i="5"/>
  <c r="J692" i="5" s="1"/>
  <c r="I693" i="5"/>
  <c r="J693" i="5" s="1"/>
  <c r="I694" i="5"/>
  <c r="J694" i="5" s="1"/>
  <c r="I695" i="5"/>
  <c r="J695" i="5" s="1"/>
  <c r="I696" i="5"/>
  <c r="J696" i="5" s="1"/>
  <c r="I697" i="5"/>
  <c r="J697" i="5" s="1"/>
  <c r="I698" i="5"/>
  <c r="J698" i="5" s="1"/>
  <c r="I699" i="5"/>
  <c r="J699" i="5" s="1"/>
  <c r="I700" i="5"/>
  <c r="J700" i="5" s="1"/>
  <c r="I701" i="5"/>
  <c r="J701" i="5" s="1"/>
  <c r="I702" i="5"/>
  <c r="J702" i="5" s="1"/>
  <c r="I703" i="5"/>
  <c r="J703" i="5" s="1"/>
  <c r="I704" i="5"/>
  <c r="J704" i="5" s="1"/>
  <c r="I705" i="5"/>
  <c r="J705" i="5" s="1"/>
  <c r="I706" i="5"/>
  <c r="J706" i="5" s="1"/>
  <c r="I707" i="5"/>
  <c r="J707" i="5" s="1"/>
  <c r="I708" i="5"/>
  <c r="J708" i="5" s="1"/>
  <c r="I709" i="5"/>
  <c r="J709" i="5" s="1"/>
  <c r="I710" i="5"/>
  <c r="J710" i="5" s="1"/>
  <c r="I711" i="5"/>
  <c r="J711" i="5" s="1"/>
  <c r="I712" i="5"/>
  <c r="J712" i="5" s="1"/>
  <c r="I713" i="5"/>
  <c r="J713" i="5" s="1"/>
  <c r="I714" i="5"/>
  <c r="J714" i="5" s="1"/>
  <c r="I715" i="5"/>
  <c r="J715" i="5" s="1"/>
  <c r="I716" i="5"/>
  <c r="J716" i="5" s="1"/>
  <c r="I717" i="5"/>
  <c r="J717" i="5" s="1"/>
  <c r="I718" i="5"/>
  <c r="J718" i="5" s="1"/>
  <c r="I719" i="5"/>
  <c r="J719" i="5" s="1"/>
  <c r="I720" i="5"/>
  <c r="J720" i="5" s="1"/>
  <c r="I721" i="5"/>
  <c r="J721" i="5" s="1"/>
  <c r="I722" i="5"/>
  <c r="J722" i="5" s="1"/>
  <c r="I723" i="5"/>
  <c r="J723" i="5" s="1"/>
  <c r="I724" i="5"/>
  <c r="J724" i="5" s="1"/>
  <c r="I725" i="5"/>
  <c r="J725" i="5" s="1"/>
  <c r="I726" i="5"/>
  <c r="J726" i="5" s="1"/>
  <c r="I727" i="5"/>
  <c r="J727" i="5" s="1"/>
  <c r="I728" i="5"/>
  <c r="J728" i="5" s="1"/>
  <c r="I729" i="5"/>
  <c r="J729" i="5" s="1"/>
  <c r="I730" i="5"/>
  <c r="J730" i="5" s="1"/>
  <c r="I731" i="5"/>
  <c r="J731" i="5" s="1"/>
  <c r="I732" i="5"/>
  <c r="J732" i="5" s="1"/>
  <c r="I733" i="5"/>
  <c r="J733" i="5" s="1"/>
  <c r="I734" i="5"/>
  <c r="J734" i="5" s="1"/>
  <c r="I735" i="5"/>
  <c r="J735" i="5" s="1"/>
  <c r="I736" i="5"/>
  <c r="J736" i="5" s="1"/>
  <c r="I737" i="5"/>
  <c r="J737" i="5" s="1"/>
  <c r="I738" i="5"/>
  <c r="J738" i="5" s="1"/>
  <c r="I739" i="5"/>
  <c r="J739" i="5" s="1"/>
  <c r="I740" i="5"/>
  <c r="J740" i="5" s="1"/>
  <c r="I741" i="5"/>
  <c r="J741" i="5" s="1"/>
  <c r="I742" i="5"/>
  <c r="J742" i="5" s="1"/>
  <c r="I743" i="5"/>
  <c r="J743" i="5" s="1"/>
  <c r="I744" i="5"/>
  <c r="J744" i="5" s="1"/>
  <c r="I745" i="5"/>
  <c r="J745" i="5" s="1"/>
  <c r="I746" i="5"/>
  <c r="J746" i="5" s="1"/>
  <c r="I747" i="5"/>
  <c r="J747" i="5" s="1"/>
  <c r="I748" i="5"/>
  <c r="J748" i="5" s="1"/>
  <c r="I749" i="5"/>
  <c r="J749" i="5" s="1"/>
  <c r="I750" i="5"/>
  <c r="J750" i="5" s="1"/>
  <c r="I751" i="5"/>
  <c r="J751" i="5" s="1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F9" i="2"/>
  <c r="F6" i="2"/>
  <c r="F3" i="2"/>
  <c r="E2" i="2"/>
  <c r="F2" i="2"/>
  <c r="F4" i="2"/>
  <c r="F5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E4" i="2"/>
  <c r="E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2F019-9E73-442D-9DD9-C68DC8ABBDE6}" keepAlive="1" name="Requête - CKadeaTelcoClients_Churn" description="Connexion à la requête « CKadeaTelcoClients_Churn » dans le classeur." type="5" refreshedVersion="8" background="1" saveData="1">
    <dbPr connection="Provider=Microsoft.Mashup.OleDb.1;Data Source=$Workbook$;Location=CKadeaTelcoClients_Churn;Extended Properties=&quot;&quot;" command="SELECT * FROM [CKadeaTelcoClients_Churn]"/>
  </connection>
  <connection id="2" xr16:uid="{FC7E46FB-5AFA-48D9-BF48-84FAA790D319}" keepAlive="1" name="Requête - CKadeaTelcoClients_Churn (2)" description="Connexion à la requête « CKadeaTelcoClients_Churn (2) » dans le classeur." type="5" refreshedVersion="8" background="1" saveData="1">
    <dbPr connection="Provider=Microsoft.Mashup.OleDb.1;Data Source=$Workbook$;Location=&quot;CKadeaTelcoClients_Churn (2)&quot;;Extended Properties=&quot;&quot;" command="SELECT * FROM [CKadeaTelcoClients_Churn (2)]"/>
  </connection>
  <connection id="3" xr16:uid="{92E9FD4B-DDBB-4664-A01A-B2078D00F523}" keepAlive="1" name="Requête - CKadeaTelcoLogs_Reseau" description="Connexion à la requête « CKadeaTelcoLogs_Reseau » dans le classeur." type="5" refreshedVersion="8" background="1" saveData="1">
    <dbPr connection="Provider=Microsoft.Mashup.OleDb.1;Data Source=$Workbook$;Location=CKadeaTelcoLogs_Reseau;Extended Properties=&quot;&quot;" command="SELECT * FROM [CKadeaTelcoLogs_Reseau]"/>
  </connection>
  <connection id="4" xr16:uid="{CA4DDA07-8C16-4C10-B2E6-48C543101835}" keepAlive="1" name="Requête - CKadeaTelcoLogs_Reseau (2)" description="Connexion à la requête « CKadeaTelcoLogs_Reseau (2) » dans le classeur." type="5" refreshedVersion="8" background="1" saveData="1">
    <dbPr connection="Provider=Microsoft.Mashup.OleDb.1;Data Source=$Workbook$;Location=&quot;CKadeaTelcoLogs_Reseau (2)&quot;;Extended Properties=&quot;&quot;" command="SELECT * FROM [CKadeaTelcoLogs_Reseau (2)]"/>
  </connection>
  <connection id="5" xr16:uid="{00C09BDE-8606-42DC-8355-48C1D9C5BFE8}" keepAlive="1" name="Requête - CKadeaTelcoRegistre_Maintenance" description="Connexion à la requête « CKadeaTelcoRegistre_Maintenance » dans le classeur." type="5" refreshedVersion="8" background="1" saveData="1">
    <dbPr connection="Provider=Microsoft.Mashup.OleDb.1;Data Source=$Workbook$;Location=CKadeaTelcoRegistre_Maintenance;Extended Properties=&quot;&quot;" command="SELECT * FROM [CKadeaTelcoRegistre_Maintenance]"/>
  </connection>
  <connection id="6" xr16:uid="{A3134F4C-53EF-436F-B2DF-89868FDCE9E2}" keepAlive="1" name="Requête - CKadeaTelcoRegistre_Maintenance (2)" description="Connexion à la requête « CKadeaTelcoRegistre_Maintenance (2) » dans le classeur." type="5" refreshedVersion="8" background="1" saveData="1">
    <dbPr connection="Provider=Microsoft.Mashup.OleDb.1;Data Source=$Workbook$;Location=&quot;CKadeaTelcoRegistre_Maintenance (2)&quot;;Extended Properties=&quot;&quot;" command="SELECT * FROM [CKadeaTelcoRegistre_Maintenance (2)]"/>
  </connection>
  <connection id="7" xr16:uid="{675D473D-033B-4DFD-A92B-BAFD285AC699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8" xr16:uid="{55889FDB-3347-4F01-9962-82C5634D1824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9" xr16:uid="{970220D8-CAA1-4D1E-A90A-64F133110C12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10" xr16:uid="{58145B5D-91F1-4FE1-AFE6-EDE17F62E12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1" xr16:uid="{A212496D-CA76-4698-970D-8ABB4A91F57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2" xr16:uid="{05868446-1D5A-45EB-A1B4-5BE1DDE67047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3" xr16:uid="{F430CD3D-C884-470F-AB77-17291C3F78B6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4" xr16:uid="{362CC3CA-7BA5-446B-9C9A-0D800E6BF17A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5" xr16:uid="{D1601AB8-B9A9-4B53-8B85-6FCB43A57A1A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6" xr16:uid="{9E70E746-E3A2-4DF4-9EF9-77EFBC30E580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7" xr16:uid="{03D42249-E204-49F3-9312-DEEC2B7F6D8E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8" xr16:uid="{4A4C8A82-ECCC-4733-9E8C-C91A69D303B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</connections>
</file>

<file path=xl/sharedStrings.xml><?xml version="1.0" encoding="utf-8"?>
<sst xmlns="http://schemas.openxmlformats.org/spreadsheetml/2006/main" count="6555" uniqueCount="1656">
  <si>
    <t>Date_Heure_Panne</t>
  </si>
  <si>
    <t>Cell_ID</t>
  </si>
  <si>
    <t>Duree_Panne_Min</t>
  </si>
  <si>
    <t>Statut_Resolution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</si>
  <si>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</si>
  <si>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</si>
  <si>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</si>
  <si>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</si>
  <si>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</si>
  <si>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</si>
  <si>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</si>
  <si>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</si>
  <si>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</si>
  <si>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</si>
  <si>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</si>
  <si>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</si>
  <si>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</si>
  <si>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</si>
  <si>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</si>
  <si>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</si>
  <si>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</si>
  <si>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</si>
  <si>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</si>
  <si>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</si>
  <si>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</si>
  <si>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</si>
  <si>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</si>
  <si>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</si>
  <si>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</si>
  <si>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</si>
  <si>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</si>
  <si>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</si>
  <si>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</si>
  <si>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</si>
  <si>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</si>
  <si>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</si>
  <si>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</si>
  <si>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</si>
  <si>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</si>
  <si>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</si>
  <si>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</si>
  <si>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</si>
  <si>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</si>
  <si>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</si>
  <si>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</si>
  <si>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</si>
  <si>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</si>
  <si>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</si>
  <si>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</si>
  <si>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</si>
  <si>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</si>
  <si>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</si>
  <si>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</si>
  <si>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</si>
  <si>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</si>
  <si>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</si>
  <si>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</si>
  <si>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</si>
  <si>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</si>
  <si>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</si>
  <si>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</si>
  <si>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</si>
  <si>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</si>
  <si>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</si>
  <si>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</si>
  <si>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</si>
  <si>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</si>
  <si>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</si>
  <si>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</si>
  <si>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</si>
  <si>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</si>
  <si>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</si>
  <si>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</si>
  <si>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</si>
  <si>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</si>
  <si>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</si>
  <si>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</si>
  <si>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</si>
  <si>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</si>
  <si>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</si>
  <si>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</si>
  <si>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</si>
  <si>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</si>
  <si>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</si>
  <si>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</si>
  <si>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</si>
  <si>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</si>
  <si>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</si>
  <si>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</si>
  <si>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</si>
  <si>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</si>
  <si>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</si>
  <si>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</si>
  <si>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</si>
  <si>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</si>
  <si>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</si>
  <si>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</si>
  <si>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</si>
  <si>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</si>
  <si>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</si>
  <si>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</si>
  <si>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</si>
  <si>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</si>
  <si>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</si>
  <si>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</si>
  <si>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</si>
  <si>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</si>
  <si>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</si>
  <si>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</si>
  <si>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</si>
  <si>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</si>
  <si>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</si>
  <si>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</si>
  <si>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</si>
  <si>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</si>
  <si>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</si>
  <si>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</si>
  <si>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</si>
  <si>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</si>
  <si>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</si>
  <si>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</si>
  <si>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</si>
  <si>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</si>
  <si>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</si>
  <si>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</si>
  <si>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</si>
  <si>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</si>
  <si>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</si>
  <si>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</si>
  <si>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</si>
  <si>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</si>
  <si>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</si>
  <si>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</si>
  <si>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</si>
  <si>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</si>
  <si>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</si>
  <si>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</si>
  <si>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</si>
  <si>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</si>
  <si>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</si>
  <si>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</si>
  <si>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</si>
  <si>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</si>
  <si>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</si>
  <si>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</si>
  <si>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</si>
  <si>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</si>
  <si>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</si>
  <si>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</si>
  <si>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</si>
  <si>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</si>
  <si>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</si>
  <si>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</si>
  <si>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</si>
  <si>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</si>
  <si>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</si>
  <si>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</si>
  <si>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</si>
  <si>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</si>
  <si>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</si>
  <si>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</si>
  <si>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</si>
  <si>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</si>
  <si>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</si>
  <si>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</si>
  <si>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</si>
  <si>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</si>
  <si>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</si>
  <si>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</si>
  <si>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</si>
  <si>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</si>
  <si>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</si>
  <si>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</si>
  <si>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</si>
  <si>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</si>
  <si>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</si>
  <si>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</si>
  <si>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</si>
  <si>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</si>
  <si>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</si>
  <si>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</si>
  <si>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</si>
  <si>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</si>
  <si>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</si>
  <si>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</si>
  <si>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</si>
  <si>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</si>
  <si>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</si>
  <si>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</si>
  <si>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</si>
  <si>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</si>
  <si>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</si>
  <si>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</si>
  <si>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</si>
  <si>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</si>
  <si>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</si>
  <si>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</si>
  <si>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</si>
  <si>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</si>
  <si>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</si>
  <si>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</si>
  <si>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</si>
  <si>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</si>
  <si>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</si>
  <si>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</si>
  <si>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</si>
  <si>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</si>
  <si>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</si>
  <si>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</si>
  <si>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</si>
  <si>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</si>
  <si>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</si>
  <si>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</si>
  <si>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</si>
  <si>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</si>
  <si>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</si>
  <si>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</si>
  <si>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</si>
  <si>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</si>
  <si>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</si>
  <si>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</si>
  <si>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</si>
  <si>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</si>
  <si>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</si>
  <si>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</si>
  <si>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</si>
  <si>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</si>
  <si>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</si>
  <si>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</si>
  <si>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</si>
  <si>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</si>
  <si>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</si>
  <si>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</si>
  <si>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</si>
  <si>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</si>
  <si>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</si>
  <si>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</si>
  <si>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</si>
  <si>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</si>
  <si>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</si>
  <si>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</si>
  <si>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</si>
  <si>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</si>
  <si>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</si>
  <si>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</si>
  <si>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</si>
  <si>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</si>
  <si>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</si>
  <si>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</si>
  <si>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</si>
  <si>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</si>
  <si>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</si>
  <si>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</si>
  <si>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</si>
  <si>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</si>
  <si>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</si>
  <si>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</si>
  <si>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</si>
  <si>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</si>
  <si>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</si>
  <si>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</si>
  <si>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</si>
  <si>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</si>
  <si>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</si>
  <si>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</si>
  <si>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</si>
  <si>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</si>
  <si>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</si>
  <si>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</si>
  <si>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</si>
  <si>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</si>
  <si>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</si>
  <si>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</si>
  <si>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</si>
  <si>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</si>
  <si>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</si>
  <si>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</si>
  <si>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</si>
  <si>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</si>
  <si>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</si>
  <si>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</si>
  <si>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</si>
  <si>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</si>
  <si>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</si>
  <si>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</si>
  <si>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</si>
  <si>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</si>
  <si>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</si>
  <si>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</si>
  <si>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</si>
  <si>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</si>
  <si>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</si>
  <si>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</si>
  <si>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</si>
  <si>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</si>
  <si>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</si>
  <si>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</si>
  <si>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</si>
  <si>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</si>
  <si>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</si>
  <si>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</si>
  <si>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</si>
  <si>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</si>
  <si>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</si>
  <si>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</si>
  <si>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</si>
  <si>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</si>
  <si>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</si>
  <si>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</si>
  <si>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</si>
  <si>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</si>
  <si>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</si>
  <si>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</si>
  <si>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</si>
  <si>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</si>
  <si>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</si>
  <si>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</si>
  <si>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</si>
  <si>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</si>
  <si>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</si>
  <si>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</si>
  <si>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</si>
  <si>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</si>
  <si>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</si>
  <si>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</si>
  <si>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</si>
  <si>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</si>
  <si>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</si>
  <si>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</si>
  <si>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</si>
  <si>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</si>
  <si>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</si>
  <si>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</si>
  <si>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</si>
  <si>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</si>
  <si>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</si>
  <si>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</si>
  <si>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</si>
  <si>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</si>
  <si>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</si>
  <si>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</si>
  <si>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</si>
  <si>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</si>
  <si>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</si>
  <si>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</si>
  <si>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</si>
  <si>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</si>
  <si>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</si>
  <si>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</si>
  <si>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</si>
  <si>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</si>
  <si>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</si>
  <si>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</si>
  <si>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</si>
  <si>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</si>
  <si>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</si>
  <si>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</si>
  <si>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</si>
  <si>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</si>
  <si>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</si>
  <si>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</si>
  <si>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</si>
  <si>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</si>
  <si>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</si>
  <si>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</si>
  <si>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</si>
  <si>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</si>
  <si>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</si>
  <si>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</si>
  <si>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</si>
  <si>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</si>
  <si>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</si>
  <si>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</si>
  <si>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</si>
  <si>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</si>
  <si>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</si>
  <si>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</si>
  <si>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</si>
  <si>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</si>
  <si>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</si>
  <si>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</si>
  <si>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</si>
  <si>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</si>
  <si>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</si>
  <si>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</si>
  <si>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</si>
  <si>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</si>
  <si>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</si>
  <si>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</si>
  <si>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</si>
  <si>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</si>
  <si>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</si>
  <si>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</si>
  <si>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</si>
  <si>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</si>
  <si>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</si>
  <si>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</si>
  <si>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</si>
  <si>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</si>
  <si>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</si>
  <si>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</si>
  <si>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</si>
  <si>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</si>
  <si>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</si>
  <si>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</si>
  <si>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</si>
  <si>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</si>
  <si>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</si>
  <si>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</si>
  <si>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</si>
  <si>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</si>
  <si>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</si>
  <si>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</si>
  <si>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</si>
  <si>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</si>
  <si>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</si>
  <si>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</si>
  <si>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</si>
  <si>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</si>
  <si>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</si>
  <si>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</si>
  <si>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</si>
  <si>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</si>
  <si>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</si>
  <si>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</si>
  <si>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</si>
  <si>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</si>
  <si>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</si>
  <si>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</si>
  <si>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</si>
  <si>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</si>
  <si>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</si>
  <si>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</si>
  <si>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</si>
  <si>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</si>
  <si>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</si>
  <si>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</si>
  <si>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</si>
  <si>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</si>
  <si>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</si>
  <si>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</si>
  <si>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</si>
  <si>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</si>
  <si>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</si>
  <si>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</si>
  <si>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</si>
  <si>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</si>
  <si>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</si>
  <si>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</si>
  <si>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</si>
  <si>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</si>
  <si>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</si>
  <si>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</si>
  <si>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</si>
  <si>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</si>
  <si>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</si>
  <si>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</si>
  <si>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</si>
  <si>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</si>
  <si>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</si>
  <si>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</si>
  <si>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</si>
  <si>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</si>
  <si>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</si>
  <si>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</si>
  <si>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</si>
  <si>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</si>
  <si>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</si>
  <si>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</si>
  <si>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</si>
  <si>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</si>
  <si>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</si>
  <si>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</si>
  <si>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</si>
  <si>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</si>
  <si>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</si>
  <si>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</si>
  <si>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</si>
  <si>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</si>
  <si>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</si>
  <si>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</si>
  <si>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</si>
  <si>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</si>
  <si>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</si>
  <si>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</si>
  <si>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</si>
  <si>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</si>
  <si>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</si>
  <si>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</si>
  <si>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</si>
  <si>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</si>
  <si>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</si>
  <si>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</si>
  <si>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</si>
  <si>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</si>
  <si>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</si>
  <si>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</si>
  <si>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</si>
  <si>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</si>
  <si>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</si>
  <si>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</si>
  <si>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</si>
  <si>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</si>
  <si>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</si>
  <si>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</si>
  <si>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</si>
  <si>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</si>
  <si>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</si>
  <si>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</si>
  <si>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</si>
  <si>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</si>
  <si>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</si>
  <si>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</si>
  <si>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</si>
  <si>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</si>
  <si>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</si>
  <si>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</si>
  <si>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</si>
  <si>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</si>
  <si>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</si>
  <si>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</si>
  <si>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</si>
  <si>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</si>
  <si>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</si>
  <si>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</si>
  <si>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</si>
  <si>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</si>
  <si>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</si>
  <si>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</si>
  <si>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</si>
  <si>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</si>
  <si>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</si>
  <si>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</si>
  <si>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</si>
  <si>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</si>
  <si>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</si>
  <si>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</si>
  <si>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</si>
  <si>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</si>
  <si>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</si>
  <si>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</si>
  <si>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</si>
  <si>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</si>
  <si>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</si>
  <si>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</si>
  <si>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</si>
  <si>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</si>
  <si>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</si>
  <si>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</si>
  <si>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</si>
  <si>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</si>
  <si>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</si>
  <si>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</si>
  <si>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</si>
  <si>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</si>
  <si>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</si>
  <si>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</si>
  <si>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</si>
  <si>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</si>
  <si>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</si>
  <si>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</si>
  <si>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</si>
  <si>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</si>
  <si>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</si>
  <si>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</si>
  <si>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</si>
  <si>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</si>
  <si>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</si>
  <si>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</si>
  <si>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</si>
  <si>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</si>
  <si>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</si>
  <si>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</si>
  <si>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</si>
  <si>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</si>
  <si>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</si>
  <si>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</si>
  <si>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</si>
  <si>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</si>
  <si>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</si>
  <si>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</si>
  <si>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</si>
  <si>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</si>
  <si>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</si>
  <si>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</si>
  <si>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</si>
  <si>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</si>
  <si>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</si>
  <si>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</si>
  <si>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</si>
  <si>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</si>
  <si>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</si>
  <si>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</si>
  <si>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</si>
  <si>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</si>
  <si>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</si>
  <si>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</si>
  <si>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</si>
  <si>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</si>
  <si>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</si>
  <si>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</si>
  <si>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</si>
  <si>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</si>
  <si>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</si>
  <si>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</si>
  <si>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</si>
  <si>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</si>
  <si>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</si>
  <si>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</si>
  <si>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</si>
  <si>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</si>
  <si>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</si>
  <si>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</si>
  <si>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</si>
  <si>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</si>
  <si>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</si>
  <si>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</si>
  <si>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</si>
  <si>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</si>
  <si>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</si>
  <si>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</si>
  <si>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</si>
  <si>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</si>
  <si>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</si>
  <si>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</si>
  <si>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</si>
  <si>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</si>
  <si>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</si>
  <si>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</si>
  <si>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</si>
  <si>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</si>
  <si>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</si>
  <si>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</si>
  <si>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</si>
  <si>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</si>
  <si>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</si>
  <si>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ANT-0753</t>
  </si>
  <si>
    <t>ANT-0123</t>
  </si>
  <si>
    <t>ANT-0387</t>
  </si>
  <si>
    <t>ANT-0042</t>
  </si>
  <si>
    <t>ANT-0439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</si>
  <si>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</si>
  <si>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</si>
  <si>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</si>
  <si>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</si>
  <si>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</si>
  <si>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</si>
  <si>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</si>
  <si>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</si>
  <si>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</si>
  <si>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</si>
  <si>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</si>
  <si>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</si>
  <si>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</si>
  <si>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</si>
  <si>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</si>
  <si>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</si>
  <si>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</si>
  <si>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</si>
  <si>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</si>
  <si>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</si>
  <si>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</si>
  <si>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</si>
  <si>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</si>
  <si>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</si>
  <si>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</si>
  <si>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</si>
  <si>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</si>
  <si>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</si>
  <si>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</si>
  <si>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</si>
  <si>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</si>
  <si>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</si>
  <si>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</si>
  <si>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</si>
  <si>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Haut-Uele</t>
  </si>
  <si>
    <t>5G</t>
  </si>
  <si>
    <t>Ericsson</t>
  </si>
  <si>
    <t>ANT-0084</t>
  </si>
  <si>
    <t>Kwilu</t>
  </si>
  <si>
    <t>4G</t>
  </si>
  <si>
    <t>Huawei</t>
  </si>
  <si>
    <t>Tanganyika</t>
  </si>
  <si>
    <t>3G</t>
  </si>
  <si>
    <t>ZTE</t>
  </si>
  <si>
    <t>Tshopo</t>
  </si>
  <si>
    <t>ANT-0880</t>
  </si>
  <si>
    <t>ANT-0847</t>
  </si>
  <si>
    <t>Maniema</t>
  </si>
  <si>
    <t>ANT-0144</t>
  </si>
  <si>
    <t>Kinshasa</t>
  </si>
  <si>
    <t>ANT-0552</t>
  </si>
  <si>
    <t>ANT-0202</t>
  </si>
  <si>
    <t>Tshuapa</t>
  </si>
  <si>
    <t>Kasai-Central</t>
  </si>
  <si>
    <t>ANT-0752</t>
  </si>
  <si>
    <t>Nord-Kivu</t>
  </si>
  <si>
    <t>Nokia</t>
  </si>
  <si>
    <t>ANT-0908</t>
  </si>
  <si>
    <t>Nord-Ubangi</t>
  </si>
  <si>
    <t>Sud-Kivu</t>
  </si>
  <si>
    <t>Sud-Ubangi</t>
  </si>
  <si>
    <t>Lomami</t>
  </si>
  <si>
    <t>Kasai</t>
  </si>
  <si>
    <t>Equateur</t>
  </si>
  <si>
    <t>ANT-0647</t>
  </si>
  <si>
    <t>Kasai-Oriental</t>
  </si>
  <si>
    <t>Bas-Uele</t>
  </si>
  <si>
    <t>ANT-0593</t>
  </si>
  <si>
    <t>ANT-0605</t>
  </si>
  <si>
    <t>ANT-0218</t>
  </si>
  <si>
    <t>Ituri</t>
  </si>
  <si>
    <t>ANT-0038</t>
  </si>
  <si>
    <t>ANT-0267</t>
  </si>
  <si>
    <t>Lualaba</t>
  </si>
  <si>
    <t>ANT-0916</t>
  </si>
  <si>
    <t>Mai-Ndombe</t>
  </si>
  <si>
    <t>ANT-0993</t>
  </si>
  <si>
    <t>ANT-0791</t>
  </si>
  <si>
    <t>Haut-Lomami</t>
  </si>
  <si>
    <t>ANT-0751</t>
  </si>
  <si>
    <t>ANT-0878</t>
  </si>
  <si>
    <t>Haut-Katanga</t>
  </si>
  <si>
    <t>ANT-0138</t>
  </si>
  <si>
    <t>ANT-0476</t>
  </si>
  <si>
    <t>Kongo-Central</t>
  </si>
  <si>
    <t>Kwango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</si>
  <si>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</si>
  <si>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</si>
  <si>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</si>
  <si>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</si>
  <si>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</si>
  <si>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</si>
  <si>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</si>
  <si>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</si>
  <si>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</si>
  <si>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</si>
  <si>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Sankuru</t>
  </si>
  <si>
    <t>Mongala</t>
  </si>
  <si>
    <t>ANT-0398</t>
  </si>
  <si>
    <t>ANT-0048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</si>
  <si>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</si>
  <si>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</si>
  <si>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</si>
  <si>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</si>
  <si>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</si>
  <si>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</si>
  <si>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</si>
  <si>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</si>
  <si>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</si>
  <si>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</si>
  <si>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</si>
  <si>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</si>
  <si>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</si>
  <si>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</si>
  <si>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</si>
  <si>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</si>
  <si>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</si>
  <si>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</si>
  <si>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</si>
  <si>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</si>
  <si>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</si>
  <si>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</si>
  <si>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</si>
  <si>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</si>
  <si>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</si>
  <si>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</si>
  <si>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</si>
  <si>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</si>
  <si>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</si>
  <si>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</si>
  <si>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</si>
  <si>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</si>
  <si>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</si>
  <si>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</si>
  <si>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</si>
  <si>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</si>
  <si>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</si>
  <si>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</si>
  <si>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</si>
  <si>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</si>
  <si>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</si>
  <si>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</si>
  <si>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</si>
  <si>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</si>
  <si>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</si>
  <si>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</si>
  <si>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</si>
  <si>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</si>
  <si>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</si>
  <si>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</si>
  <si>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</si>
  <si>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</si>
  <si>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</si>
  <si>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</si>
  <si>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</si>
  <si>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</si>
  <si>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</si>
  <si>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</si>
  <si>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</si>
  <si>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</si>
  <si>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</si>
  <si>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</si>
  <si>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</si>
  <si>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</si>
  <si>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</si>
  <si>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</si>
  <si>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</si>
  <si>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</si>
  <si>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</si>
  <si>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</si>
  <si>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</si>
  <si>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</si>
  <si>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</si>
  <si>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</si>
  <si>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</si>
  <si>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</si>
  <si>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</si>
  <si>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</si>
  <si>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</si>
  <si>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</si>
  <si>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</si>
  <si>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</si>
  <si>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</si>
  <si>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</si>
  <si>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</si>
  <si>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</si>
  <si>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</si>
  <si>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</si>
  <si>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</si>
  <si>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</si>
  <si>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</si>
  <si>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</si>
  <si>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</si>
  <si>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</si>
  <si>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</si>
  <si>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</si>
  <si>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</si>
  <si>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</si>
  <si>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</si>
  <si>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</si>
  <si>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</si>
  <si>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</si>
  <si>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</si>
  <si>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</si>
  <si>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</si>
  <si>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</si>
  <si>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</si>
  <si>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</si>
  <si>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</si>
  <si>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</si>
  <si>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</si>
  <si>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</si>
  <si>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</si>
  <si>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</si>
  <si>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</si>
  <si>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</si>
  <si>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</si>
  <si>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</si>
  <si>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</si>
  <si>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</si>
  <si>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</si>
  <si>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</si>
  <si>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</si>
  <si>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</si>
  <si>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</si>
  <si>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</si>
  <si>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</si>
  <si>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</si>
  <si>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</si>
  <si>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</si>
  <si>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</si>
  <si>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</si>
  <si>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</si>
  <si>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</si>
  <si>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</si>
  <si>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</si>
  <si>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</si>
  <si>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</si>
  <si>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</si>
  <si>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</si>
  <si>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</si>
  <si>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</si>
  <si>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</si>
  <si>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</si>
  <si>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</si>
  <si>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</si>
  <si>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</si>
  <si>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</si>
  <si>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</si>
  <si>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</si>
  <si>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CLI-01147</t>
  </si>
  <si>
    <t>Premium 5G 150Go</t>
  </si>
  <si>
    <t>CLI-00894</t>
  </si>
  <si>
    <t>Pro Monde</t>
  </si>
  <si>
    <t>CLI-00865</t>
  </si>
  <si>
    <t>CLI-01325</t>
  </si>
  <si>
    <t>Bloqué 5Go</t>
  </si>
  <si>
    <t>CLI-01855</t>
  </si>
  <si>
    <t>Illimité 50Go</t>
  </si>
  <si>
    <t>CLI-00076</t>
  </si>
  <si>
    <t>CLI-00414</t>
  </si>
  <si>
    <t>CLI-00327</t>
  </si>
  <si>
    <t>CLI-00559</t>
  </si>
  <si>
    <t>CLI-00280</t>
  </si>
  <si>
    <t>CLI-00060</t>
  </si>
  <si>
    <t>CLI-00530</t>
  </si>
  <si>
    <t>CLI-01618</t>
  </si>
  <si>
    <t>CLI-01646</t>
  </si>
  <si>
    <t>CLI-00569</t>
  </si>
  <si>
    <t>CLI-01349</t>
  </si>
  <si>
    <t>CLI-01128</t>
  </si>
  <si>
    <t>CLI-00361</t>
  </si>
  <si>
    <t>CLI-01320</t>
  </si>
  <si>
    <t>CLI-01746</t>
  </si>
  <si>
    <t>CLI-00087</t>
  </si>
  <si>
    <t>CLI-01974</t>
  </si>
  <si>
    <t>CLI-01480</t>
  </si>
  <si>
    <t>CLI-00996</t>
  </si>
  <si>
    <t>CLI-01603</t>
  </si>
  <si>
    <t>CLI-00041</t>
  </si>
  <si>
    <t>CLI-00114</t>
  </si>
  <si>
    <t>CLI-01761</t>
  </si>
  <si>
    <t>CLI-01837</t>
  </si>
  <si>
    <t>CLI-00172</t>
  </si>
  <si>
    <t>CLI-00643</t>
  </si>
  <si>
    <t>CLI-01233</t>
  </si>
  <si>
    <t>CLI-00611</t>
  </si>
  <si>
    <t>CLI-01776</t>
  </si>
  <si>
    <t>CLI-00131</t>
  </si>
  <si>
    <t>CLI-01845</t>
  </si>
  <si>
    <t>CLI-01957</t>
  </si>
  <si>
    <t>CLI-00834</t>
  </si>
  <si>
    <t>CLI-01972</t>
  </si>
  <si>
    <t>CLI-00745</t>
  </si>
  <si>
    <t>CLI-01376</t>
  </si>
  <si>
    <t>CLI-01347</t>
  </si>
  <si>
    <t>CLI-01814</t>
  </si>
  <si>
    <t>CLI-00185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</si>
  <si>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</si>
  <si>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</si>
  <si>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</si>
  <si>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</si>
  <si>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</si>
  <si>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</si>
  <si>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</si>
  <si>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</si>
  <si>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</si>
  <si>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</si>
  <si>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</si>
  <si>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</si>
  <si>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</si>
  <si>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</si>
  <si>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</si>
  <si>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</si>
  <si>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</si>
  <si>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</si>
  <si>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</si>
  <si>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</si>
  <si>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</si>
  <si>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</si>
  <si>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</si>
  <si>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</si>
  <si>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</si>
  <si>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</si>
  <si>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</si>
  <si>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</si>
  <si>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</si>
  <si>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</si>
  <si>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</si>
  <si>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</si>
  <si>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</si>
  <si>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</si>
  <si>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</si>
  <si>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</si>
  <si>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</si>
  <si>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</si>
  <si>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</si>
  <si>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</si>
  <si>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</si>
  <si>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</si>
  <si>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</si>
  <si>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</si>
  <si>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</si>
  <si>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</si>
  <si>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CLI-00563</t>
  </si>
  <si>
    <t>CLI-00901</t>
  </si>
  <si>
    <t>CLI-00837</t>
  </si>
  <si>
    <t>CLI-00521</t>
  </si>
  <si>
    <t>CLI-01768</t>
  </si>
  <si>
    <t>CLI-01208</t>
  </si>
  <si>
    <t>CLI-00115</t>
  </si>
  <si>
    <t>CLI-01005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</si>
  <si>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</si>
  <si>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</si>
  <si>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</si>
  <si>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</si>
  <si>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</si>
  <si>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</si>
  <si>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</si>
  <si>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</si>
  <si>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</si>
  <si>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</si>
  <si>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</si>
  <si>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</si>
  <si>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</si>
  <si>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</si>
  <si>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</si>
  <si>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</si>
  <si>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</si>
  <si>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</si>
  <si>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</si>
  <si>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</si>
  <si>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</si>
  <si>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</si>
  <si>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</si>
  <si>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</si>
  <si>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</si>
  <si>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</si>
  <si>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</si>
  <si>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</si>
  <si>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</si>
  <si>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</si>
  <si>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</si>
  <si>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</si>
  <si>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</si>
  <si>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</si>
  <si>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</si>
  <si>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CLI-01132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</si>
  <si>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</si>
  <si>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</si>
  <si>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</si>
  <si>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</si>
  <si>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</si>
  <si>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</si>
  <si>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</si>
  <si>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</si>
  <si>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</si>
  <si>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</si>
  <si>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</si>
  <si>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</si>
  <si>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</si>
  <si>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</si>
  <si>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</si>
  <si>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</si>
  <si>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</si>
  <si>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</si>
  <si>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</si>
  <si>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</si>
  <si>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</si>
  <si>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</si>
  <si>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</si>
  <si>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</si>
  <si>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</si>
  <si>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</si>
  <si>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</si>
  <si>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</si>
  <si>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</si>
  <si>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</si>
  <si>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</si>
  <si>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</si>
  <si>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</si>
  <si>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</si>
  <si>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</si>
  <si>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</si>
  <si>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</si>
  <si>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</si>
  <si>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</si>
  <si>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</si>
  <si>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</si>
  <si>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</si>
  <si>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</si>
  <si>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</si>
  <si>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</si>
  <si>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</si>
  <si>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</si>
  <si>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</si>
  <si>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</si>
  <si>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</si>
  <si>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</si>
  <si>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</si>
  <si>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</si>
  <si>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</si>
  <si>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</si>
  <si>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</si>
  <si>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</si>
  <si>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</si>
  <si>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</si>
  <si>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</si>
  <si>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</si>
  <si>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</si>
  <si>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</si>
  <si>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</si>
  <si>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</si>
  <si>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</si>
  <si>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</si>
  <si>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</si>
  <si>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</si>
  <si>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</si>
  <si>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</si>
  <si>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</si>
  <si>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</si>
  <si>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</si>
  <si>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</si>
  <si>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</si>
  <si>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</si>
  <si>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</si>
  <si>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</si>
  <si>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</si>
  <si>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</si>
  <si>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</si>
  <si>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</si>
  <si>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</si>
  <si>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</si>
  <si>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</si>
  <si>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</si>
  <si>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</si>
  <si>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</si>
  <si>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</si>
  <si>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</si>
  <si>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</si>
  <si>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</si>
  <si>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</si>
  <si>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</si>
  <si>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</si>
  <si>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</si>
  <si>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</si>
  <si>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</si>
  <si>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</si>
  <si>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</si>
  <si>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</si>
  <si>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</si>
  <si>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</si>
  <si>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</si>
  <si>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</si>
  <si>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</si>
  <si>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</si>
  <si>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</si>
  <si>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</si>
  <si>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</si>
  <si>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</si>
  <si>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</si>
  <si>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</si>
  <si>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</si>
  <si>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</si>
  <si>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</si>
  <si>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</si>
  <si>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</si>
  <si>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</si>
  <si>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</si>
  <si>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</si>
  <si>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</si>
  <si>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</si>
  <si>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CLI-01710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</si>
  <si>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</si>
  <si>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</si>
  <si>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</si>
  <si>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</si>
  <si>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</si>
  <si>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</si>
  <si>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</si>
  <si>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</si>
  <si>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</si>
  <si>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</si>
  <si>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</si>
  <si>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</si>
  <si>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</si>
  <si>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</si>
  <si>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</si>
  <si>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</si>
  <si>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</si>
  <si>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</si>
  <si>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</si>
  <si>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</si>
  <si>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</si>
  <si>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</si>
  <si>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</si>
  <si>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</si>
  <si>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</si>
  <si>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</si>
  <si>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</si>
  <si>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</si>
  <si>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</si>
  <si>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</si>
  <si>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</si>
  <si>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</si>
  <si>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</si>
  <si>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</si>
  <si>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</si>
  <si>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</si>
  <si>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</si>
  <si>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</si>
  <si>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</si>
  <si>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</si>
  <si>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</si>
  <si>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</si>
  <si>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</si>
  <si>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</si>
  <si>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</si>
  <si>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</si>
  <si>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</si>
  <si>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</si>
  <si>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</si>
  <si>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</si>
  <si>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</si>
  <si>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</si>
  <si>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</si>
  <si>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</si>
  <si>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</si>
  <si>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</si>
  <si>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</si>
  <si>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</si>
  <si>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</si>
  <si>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</si>
  <si>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</si>
  <si>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</si>
  <si>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</si>
  <si>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</si>
  <si>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</si>
  <si>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</si>
  <si>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</si>
  <si>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</si>
  <si>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</si>
  <si>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</si>
  <si>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</si>
  <si>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</si>
  <si>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</si>
  <si>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</si>
  <si>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</si>
  <si>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</si>
  <si>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</si>
  <si>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</si>
  <si>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</si>
  <si>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</si>
  <si>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</si>
  <si>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</si>
  <si>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</si>
  <si>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</si>
  <si>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</si>
  <si>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</si>
  <si>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</si>
  <si>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</si>
  <si>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</si>
  <si>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</si>
  <si>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</si>
  <si>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</si>
  <si>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</si>
  <si>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</si>
  <si>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</si>
  <si>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</si>
  <si>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</si>
  <si>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</si>
  <si>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</si>
  <si>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</si>
  <si>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</si>
  <si>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</si>
  <si>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</si>
  <si>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</si>
  <si>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</si>
  <si>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</si>
  <si>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</si>
  <si>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</si>
  <si>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</si>
  <si>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</si>
  <si>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</si>
  <si>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</si>
  <si>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</si>
  <si>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</si>
  <si>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</si>
  <si>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</si>
  <si>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</si>
  <si>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</si>
  <si>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</si>
  <si>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</si>
  <si>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</si>
  <si>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</si>
  <si>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</si>
  <si>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</si>
  <si>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</si>
  <si>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</si>
  <si>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</si>
  <si>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</si>
  <si>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</si>
  <si>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</si>
  <si>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</si>
  <si>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</si>
  <si>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</si>
  <si>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</si>
  <si>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</si>
  <si>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</si>
  <si>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</si>
  <si>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</si>
  <si>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</si>
  <si>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</si>
  <si>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</si>
  <si>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</si>
  <si>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</si>
  <si>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</si>
  <si>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</si>
  <si>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</si>
  <si>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</si>
  <si>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</si>
  <si>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</si>
  <si>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</si>
  <si>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</si>
  <si>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</si>
  <si>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</si>
  <si>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</si>
  <si>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</si>
  <si>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</si>
  <si>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</si>
  <si>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</si>
  <si>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</si>
  <si>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</si>
  <si>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</si>
  <si>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</si>
  <si>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</si>
  <si>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</si>
  <si>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</si>
  <si>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</si>
  <si>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</si>
  <si>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</si>
  <si>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</si>
  <si>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</si>
  <si>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</si>
  <si>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</si>
  <si>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</si>
  <si>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</si>
  <si>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</si>
  <si>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</si>
  <si>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</si>
  <si>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</si>
  <si>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</si>
  <si>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</si>
  <si>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</si>
  <si>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</si>
  <si>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</si>
  <si>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</si>
  <si>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</si>
  <si>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</si>
  <si>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</si>
  <si>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</si>
  <si>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</si>
  <si>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</si>
  <si>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</si>
  <si>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</si>
  <si>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</si>
  <si>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</si>
  <si>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</si>
  <si>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</si>
  <si>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</si>
  <si>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</si>
  <si>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</si>
  <si>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</si>
  <si>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</si>
  <si>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</si>
  <si>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</si>
  <si>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</si>
  <si>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</si>
  <si>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</si>
  <si>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</si>
  <si>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</si>
  <si>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</si>
  <si>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</si>
  <si>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</si>
  <si>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</si>
  <si>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</si>
  <si>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</si>
  <si>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</si>
  <si>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</si>
  <si>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</si>
  <si>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</si>
  <si>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</si>
  <si>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</si>
  <si>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</si>
  <si>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</si>
  <si>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</si>
  <si>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</si>
  <si>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</si>
  <si>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</si>
  <si>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</si>
  <si>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</si>
  <si>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</si>
  <si>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</si>
  <si>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</si>
  <si>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</si>
  <si>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</si>
  <si>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</si>
  <si>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</si>
  <si>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</si>
  <si>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</si>
  <si>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</si>
  <si>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</si>
  <si>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</si>
  <si>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</si>
  <si>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</si>
  <si>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</si>
  <si>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</si>
  <si>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</si>
  <si>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</si>
  <si>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</si>
  <si>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</si>
  <si>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</si>
  <si>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</si>
  <si>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</si>
  <si>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</si>
  <si>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</si>
  <si>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</si>
  <si>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</si>
  <si>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</si>
  <si>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</si>
  <si>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</si>
  <si>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</si>
  <si>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</si>
  <si>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</si>
  <si>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</si>
  <si>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</si>
  <si>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</si>
  <si>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</si>
  <si>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</si>
  <si>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</si>
  <si>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</si>
  <si>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</si>
  <si>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</si>
  <si>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</si>
  <si>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</si>
  <si>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</si>
  <si>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</si>
  <si>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</si>
  <si>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</si>
  <si>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</si>
  <si>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</si>
  <si>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</si>
  <si>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</si>
  <si>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</si>
  <si>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</si>
  <si>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</si>
  <si>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</si>
  <si>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</si>
  <si>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</si>
  <si>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</si>
  <si>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</si>
  <si>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</si>
  <si>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</si>
  <si>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</si>
  <si>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</si>
  <si>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</si>
  <si>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</si>
  <si>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</si>
  <si>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</si>
  <si>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</si>
  <si>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</si>
  <si>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</si>
  <si>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</si>
  <si>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</si>
  <si>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</si>
  <si>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</si>
  <si>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</si>
  <si>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</si>
  <si>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</si>
  <si>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</si>
  <si>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</si>
  <si>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</si>
  <si>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</si>
  <si>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</si>
  <si>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</si>
  <si>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</si>
  <si>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</si>
  <si>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</si>
  <si>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</si>
  <si>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</si>
  <si>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</si>
  <si>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</si>
  <si>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</si>
  <si>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</si>
  <si>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</si>
  <si>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</si>
  <si>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</si>
  <si>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</si>
  <si>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</si>
  <si>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</si>
  <si>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</si>
  <si>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</si>
  <si>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</si>
  <si>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</si>
  <si>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</si>
  <si>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</si>
  <si>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</si>
  <si>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</si>
  <si>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</si>
  <si>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</si>
  <si>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</si>
  <si>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</si>
  <si>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</si>
  <si>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</si>
  <si>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</si>
  <si>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</si>
  <si>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</si>
  <si>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</si>
  <si>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</si>
  <si>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</si>
  <si>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</si>
  <si>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</si>
  <si>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</si>
  <si>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</si>
  <si>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</si>
  <si>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</si>
  <si>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</si>
  <si>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</si>
  <si>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</si>
  <si>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</si>
  <si>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</si>
  <si>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</si>
  <si>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</si>
  <si>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</si>
  <si>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</si>
  <si>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</si>
  <si>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</si>
  <si>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</si>
  <si>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</si>
  <si>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</si>
  <si>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</si>
  <si>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</si>
  <si>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</si>
  <si>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</si>
  <si>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</si>
  <si>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</si>
  <si>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</si>
  <si>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</si>
  <si>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</si>
  <si>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</si>
  <si>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</si>
  <si>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</si>
  <si>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</si>
  <si>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</si>
  <si>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</si>
  <si>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</si>
  <si>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</si>
  <si>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</si>
  <si>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</si>
  <si>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</si>
  <si>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</si>
  <si>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</si>
  <si>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</si>
  <si>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</si>
  <si>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</si>
  <si>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</si>
  <si>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</si>
  <si>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</si>
  <si>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</si>
  <si>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</si>
  <si>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</si>
  <si>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</si>
  <si>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</si>
  <si>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</si>
  <si>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</si>
  <si>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</si>
  <si>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</si>
  <si>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</si>
  <si>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</si>
  <si>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</si>
  <si>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</si>
  <si>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</si>
  <si>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</si>
  <si>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</si>
  <si>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</si>
  <si>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</si>
  <si>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</si>
  <si>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</si>
  <si>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</si>
  <si>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</si>
  <si>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</si>
  <si>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</si>
  <si>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</si>
  <si>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</si>
  <si>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</si>
  <si>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</si>
  <si>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</si>
  <si>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</si>
  <si>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</si>
  <si>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</si>
  <si>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</si>
  <si>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</si>
  <si>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</si>
  <si>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</si>
  <si>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</si>
  <si>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</si>
  <si>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</si>
  <si>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</si>
  <si>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</si>
  <si>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</si>
  <si>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</si>
  <si>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</si>
  <si>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</si>
  <si>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</si>
  <si>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</si>
  <si>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</si>
  <si>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</si>
  <si>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</si>
  <si>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</si>
  <si>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</si>
  <si>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</si>
  <si>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</si>
  <si>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</si>
  <si>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</si>
  <si>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</si>
  <si>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</si>
  <si>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</si>
  <si>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</si>
  <si>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</si>
  <si>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</si>
  <si>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</si>
  <si>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</si>
  <si>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</si>
  <si>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</si>
  <si>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</si>
  <si>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</si>
  <si>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</si>
  <si>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</si>
  <si>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</si>
  <si>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</si>
  <si>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</si>
  <si>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</si>
  <si>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</si>
  <si>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</si>
  <si>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</si>
  <si>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</si>
  <si>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</si>
  <si>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</si>
  <si>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</si>
  <si>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</si>
  <si>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</si>
  <si>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</si>
  <si>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</si>
  <si>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</si>
  <si>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</si>
  <si>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</si>
  <si>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</si>
  <si>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</si>
  <si>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</si>
  <si>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</si>
  <si>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</si>
  <si>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</si>
  <si>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</si>
  <si>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</si>
  <si>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Étiquettes de lignes</t>
  </si>
  <si>
    <t>Non repertorié</t>
  </si>
  <si>
    <t>Total général</t>
  </si>
  <si>
    <t>Somme de Duree_Panne_Min</t>
  </si>
  <si>
    <t>Remise</t>
  </si>
  <si>
    <t>Montant perdu</t>
  </si>
  <si>
    <t>Type_Client</t>
  </si>
  <si>
    <t>Moyenne de Id</t>
  </si>
  <si>
    <t>ID</t>
  </si>
  <si>
    <r>
      <rPr>
        <b/>
        <sz val="10"/>
        <color theme="1"/>
        <rFont val="Arial Black"/>
        <family val="2"/>
      </rPr>
      <t>Moyenne du nombre d'abonnés impactés</t>
    </r>
    <r>
      <rPr>
        <sz val="10"/>
        <color theme="1"/>
        <rFont val="Aptos Narrow"/>
        <family val="2"/>
        <scheme val="minor"/>
      </rPr>
      <t>.</t>
    </r>
  </si>
  <si>
    <t>Heures Totales d’Indisponibilité par Région et par Technologie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</si>
</sst>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 Black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49" fontId="0" fillId="2" borderId="0" xfId="0" applyNumberFormat="1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164" fontId="0" fillId="0" borderId="0" xfId="0" applyNumberFormat="1"/>
    <xf numFmtId="9" fontId="0" fillId="2" borderId="0" xfId="1" applyFont="1" applyFill="1"/>
    <xf numFmtId="164" fontId="0" fillId="2" borderId="0" xfId="0" applyNumberFormat="1" applyFill="1"/>
    <xf numFmtId="0" fontId="0" fillId="0" borderId="1" xfId="0" pivotButton="1" applyBorder="1"/>
    <xf numFmtId="0" fontId="0" fillId="0" borderId="2" xfId="0" applyBorder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27" formatCode="dd/mm/yyyy\ hh:mm"/>
    </dxf>
    <dxf>
      <fill>
        <patternFill patternType="solid">
          <fgColor indexed="64"/>
          <bgColor theme="3" tint="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#,##0.0\ &quot;€&quot;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5749340278" createdVersion="8" refreshedVersion="8" minRefreshableVersion="3" recordCount="1074" xr:uid="{96E0B1A7-7019-410C-B62C-38F25E247273}">
  <cacheSource type="worksheet">
    <worksheetSource name="CKadeaTelcoLogs_Reseau"/>
  </cacheSource>
  <cacheFields count="9">
    <cacheField name="Date_Heure_Panne" numFmtId="22">
      <sharedItems containsSemiMixedTypes="0" containsNonDate="0" containsDate="1" containsString="0" minDate="2023-10-01T01:34:00" maxDate="2023-10-31T23:57:00"/>
    </cacheField>
    <cacheField name="Cell_ID" numFmtId="49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_RDC" numFmtId="0">
      <sharedItems count="27">
        <s v="Tanganyika"/>
        <s v="Non repertorié"/>
        <s v="Kongo-Central"/>
        <s v="Kasai-Central"/>
        <s v="Kwango"/>
        <s v="Lomami"/>
        <s v="Nord-Ubangi"/>
        <s v="Haut-Katanga"/>
        <s v="Sud-Ubangi"/>
        <s v="Nord-Kivu"/>
        <s v="Tshopo"/>
        <s v="Kasai"/>
        <s v="Kwilu"/>
        <s v="Sud-Kivu"/>
        <s v="Equateur"/>
        <s v="Tshuapa"/>
        <s v="Lualaba"/>
        <s v="Sankuru"/>
        <s v="Ituri"/>
        <s v="Mongala"/>
        <s v="Bas-Uele"/>
        <s v="Kinshasa"/>
        <s v="Haut-Uele"/>
        <s v="Kasai-Oriental"/>
        <s v="Mai-Ndombe"/>
        <s v="Maniema"/>
        <s v="Haut-Lomami"/>
      </sharedItems>
    </cacheField>
    <cacheField name="Latitude" numFmtId="0">
      <sharedItems containsMixedTypes="1" containsNumber="1" minValue="-12.839263000000001" maxValue="4.9455159999999996"/>
    </cacheField>
    <cacheField name="Longitude" numFmtId="0">
      <sharedItems containsMixedTypes="1" containsNumber="1" minValue="12.013676999999999" maxValue="30.661662"/>
    </cacheField>
    <cacheField name="Technologie" numFmtId="0">
      <sharedItems count="4">
        <s v="4G"/>
        <s v="Non repertorié"/>
        <s v="5G"/>
        <s v="3G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7.838938773151" createdVersion="8" refreshedVersion="8" minRefreshableVersion="3" recordCount="750" xr:uid="{A4A5DB64-92F3-4FCE-94B7-4DFAEBF23D06}">
  <cacheSource type="worksheet">
    <worksheetSource name="CKadeaTelcoClients_Churn"/>
  </cacheSource>
  <cacheFields count="11">
    <cacheField name="ID_Client" numFmtId="0">
      <sharedItems/>
    </cacheField>
    <cacheField name="Province_Client" numFmtId="0">
      <sharedItems count="26">
        <s v="Ituri"/>
        <s v="Tshuapa"/>
        <s v="Mongala"/>
        <s v="Haut-Lomami"/>
        <s v="Sud-Kivu"/>
        <s v="Haut-Katanga"/>
        <s v="Bas-Uele"/>
        <s v="Kasai"/>
        <s v="Sud-Ubangi"/>
        <s v="Kasai-Central"/>
        <s v="Sankuru"/>
        <s v="Tanganyika"/>
        <s v="Kwango"/>
        <s v="Mai-Ndombe"/>
        <s v="Kwilu"/>
        <s v="Kasai-Oriental"/>
        <s v="Equateur"/>
        <s v="Kongo-Central"/>
        <s v="Kinshasa"/>
        <s v="Lomami"/>
        <s v="Tshopo"/>
        <s v="Maniema"/>
        <s v="Nord-Ubangi"/>
        <s v="Haut-Uele"/>
        <s v="Nord-Kivu"/>
        <s v="Lualaba"/>
      </sharedItems>
    </cacheField>
    <cacheField name="Anciennete_Mois" numFmtId="0">
      <sharedItems containsSemiMixedTypes="0" containsString="0" containsNumber="1" containsInteger="1" minValue="-53" maxValue="120"/>
    </cacheField>
    <cacheField name="Type_Forfait" numFmtId="0">
      <sharedItems/>
    </cacheField>
    <cacheField name="Type_Client" numFmtId="0">
      <sharedItems containsNonDate="0" containsString="0" containsBlank="1"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0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" numFmtId="9">
      <sharedItems containsSemiMixedTypes="0" containsString="0" containsNumber="1" minValue="0" maxValue="0.45"/>
    </cacheField>
    <cacheField name="Montant perdu" numFmtId="0">
      <sharedItems containsSemiMixedTypes="0" containsString="0" containsNumber="1" minValue="0" maxValue="44.968500000000006"/>
    </cacheField>
    <cacheField name="Id" numFmtId="0">
      <sharedItems containsSemiMixedTypes="0" containsString="0" containsNumber="1" containsInteger="1" minValue="1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">
  <r>
    <d v="2023-10-04T00:47:00"/>
    <s v="ANT-0465"/>
    <n v="73"/>
    <s v="Résolu"/>
    <x v="0"/>
    <n v="-11.144149000000001"/>
    <n v="27.244658999999999"/>
    <x v="0"/>
    <s v="Nokia"/>
  </r>
  <r>
    <d v="2023-10-09T07:14:00"/>
    <s v="ANT-0004"/>
    <n v="38"/>
    <s v="Résolu"/>
    <x v="1"/>
    <s v="Non repertorié"/>
    <s v="Non repertorié"/>
    <x v="1"/>
    <s v="Non repertorié"/>
  </r>
  <r>
    <d v="2023-10-05T23:06:00"/>
    <s v="ANT-0977"/>
    <n v="100"/>
    <s v="Non Résolu"/>
    <x v="1"/>
    <s v="Non repertorié"/>
    <s v="Non repertorié"/>
    <x v="1"/>
    <s v="Non repertorié"/>
  </r>
  <r>
    <d v="2023-10-22T23:57:00"/>
    <s v="ANT-0740"/>
    <n v="79"/>
    <s v="En Cours"/>
    <x v="1"/>
    <s v="Non repertorié"/>
    <s v="Non repertorié"/>
    <x v="1"/>
    <s v="Non repertorié"/>
  </r>
  <r>
    <d v="2023-10-18T02:37:00"/>
    <s v="ANT-0897"/>
    <n v="59"/>
    <s v="Résolu"/>
    <x v="1"/>
    <s v="Non repertorié"/>
    <s v="Non repertorié"/>
    <x v="1"/>
    <s v="Non repertorié"/>
  </r>
  <r>
    <d v="2023-10-14T01:01:00"/>
    <s v="ANT-0737"/>
    <n v="119"/>
    <s v="Non Résolu"/>
    <x v="2"/>
    <n v="-2.8211520000000001"/>
    <n v="20.651419000000001"/>
    <x v="2"/>
    <s v="Ericsson"/>
  </r>
  <r>
    <d v="2023-10-03T06:14:00"/>
    <s v="ANT-0270"/>
    <n v="79"/>
    <s v="Résolu"/>
    <x v="3"/>
    <n v="-1.648264"/>
    <n v="28.866143999999998"/>
    <x v="2"/>
    <s v="Ericsson"/>
  </r>
  <r>
    <d v="2023-10-17T19:01:00"/>
    <s v="ANT-0996"/>
    <n v="56"/>
    <s v="Résolu"/>
    <x v="1"/>
    <s v="Non repertorié"/>
    <s v="Non repertorié"/>
    <x v="1"/>
    <s v="Non repertorié"/>
  </r>
  <r>
    <d v="2023-10-18T06:45:00"/>
    <s v="ANT-0513"/>
    <n v="51"/>
    <s v="Non Résolu"/>
    <x v="1"/>
    <s v="Non repertorié"/>
    <s v="Non repertorié"/>
    <x v="1"/>
    <s v="Non repertorié"/>
  </r>
  <r>
    <d v="2023-10-21T22:34:00"/>
    <s v="ANT-0781"/>
    <n v="33"/>
    <s v="En Cours"/>
    <x v="1"/>
    <s v="Non repertorié"/>
    <s v="Non repertorié"/>
    <x v="1"/>
    <s v="Non repertorié"/>
  </r>
  <r>
    <d v="2023-10-14T07:28:00"/>
    <s v="ANT-0183"/>
    <n v="22"/>
    <s v="Non Résolu"/>
    <x v="4"/>
    <n v="4.8319039999999998"/>
    <n v="20.733468999999999"/>
    <x v="2"/>
    <s v="Ericsson"/>
  </r>
  <r>
    <d v="2023-10-19T08:51:00"/>
    <s v="ANT-0520"/>
    <n v="70"/>
    <s v="Résolu"/>
    <x v="5"/>
    <n v="-8.4227860000000003"/>
    <n v="16.781293000000002"/>
    <x v="0"/>
    <s v="Huawei"/>
  </r>
  <r>
    <d v="2023-10-28T00:48:00"/>
    <s v="ANT-0935"/>
    <n v="68"/>
    <s v="En Cours"/>
    <x v="6"/>
    <n v="-10.375266999999999"/>
    <n v="17.993663000000002"/>
    <x v="2"/>
    <s v="ZTE"/>
  </r>
  <r>
    <d v="2023-10-26T05:44:00"/>
    <s v="ANT-0109"/>
    <n v="16"/>
    <s v="Non Résolu"/>
    <x v="1"/>
    <s v="Non repertorié"/>
    <s v="Non repertorié"/>
    <x v="1"/>
    <s v="Non repertorié"/>
  </r>
  <r>
    <d v="2023-10-14T10:17:00"/>
    <s v="ANT-0892"/>
    <n v="101"/>
    <s v="Non Résolu"/>
    <x v="1"/>
    <s v="Non repertorié"/>
    <s v="Non repertorié"/>
    <x v="1"/>
    <s v="Non repertorié"/>
  </r>
  <r>
    <d v="2023-10-05T06:48:00"/>
    <s v="ANT-0641"/>
    <n v="11"/>
    <s v="En Cours"/>
    <x v="5"/>
    <n v="-2.2371569999999998"/>
    <n v="25.926188"/>
    <x v="3"/>
    <s v="Nokia"/>
  </r>
  <r>
    <d v="2023-10-11T03:05:00"/>
    <s v="ANT-0306"/>
    <n v="115"/>
    <s v="Résolu"/>
    <x v="1"/>
    <s v="Non repertorié"/>
    <s v="Non repertorié"/>
    <x v="1"/>
    <s v="Non repertorié"/>
  </r>
  <r>
    <d v="2023-10-13T03:22:00"/>
    <s v="ANT-0862"/>
    <n v="19"/>
    <s v="Non Résolu"/>
    <x v="0"/>
    <n v="-9.4708620000000003"/>
    <n v="29.234387999999999"/>
    <x v="3"/>
    <s v="ZTE"/>
  </r>
  <r>
    <d v="2023-10-28T11:38:00"/>
    <s v="ANT-0655"/>
    <n v="24"/>
    <s v="Non Résolu"/>
    <x v="1"/>
    <s v="Non repertorié"/>
    <s v="Non repertorié"/>
    <x v="1"/>
    <s v="Non repertorié"/>
  </r>
  <r>
    <d v="2023-10-09T01:46:00"/>
    <s v="ANT-0520"/>
    <n v="85"/>
    <s v="Non Résolu"/>
    <x v="5"/>
    <n v="-8.4227860000000003"/>
    <n v="16.781293000000002"/>
    <x v="0"/>
    <s v="Huawei"/>
  </r>
  <r>
    <d v="2023-10-15T17:07:00"/>
    <s v="ANT-0624"/>
    <n v="25"/>
    <s v="Résolu"/>
    <x v="7"/>
    <n v="0.172153"/>
    <n v="21.091376"/>
    <x v="3"/>
    <s v="Ericsson"/>
  </r>
  <r>
    <d v="2023-10-30T12:05:00"/>
    <s v="ANT-0204"/>
    <n v="106"/>
    <s v="Non Résolu"/>
    <x v="1"/>
    <s v="Non repertorié"/>
    <s v="Non repertorié"/>
    <x v="1"/>
    <s v="Non repertorié"/>
  </r>
  <r>
    <d v="2023-10-18T09:53:00"/>
    <s v="ANT-0157"/>
    <n v="92"/>
    <s v="En Cours"/>
    <x v="1"/>
    <s v="Non repertorié"/>
    <s v="Non repertorié"/>
    <x v="1"/>
    <s v="Non repertorié"/>
  </r>
  <r>
    <d v="2023-10-21T19:56:00"/>
    <s v="ANT-0383"/>
    <n v="59"/>
    <s v="En Cours"/>
    <x v="1"/>
    <s v="Non repertorié"/>
    <s v="Non repertorié"/>
    <x v="1"/>
    <s v="Non repertorié"/>
  </r>
  <r>
    <d v="2023-10-28T11:36:00"/>
    <s v="ANT-0781"/>
    <n v="81"/>
    <s v="Non Résolu"/>
    <x v="1"/>
    <s v="Non repertorié"/>
    <s v="Non repertorié"/>
    <x v="1"/>
    <s v="Non repertorié"/>
  </r>
  <r>
    <d v="2023-10-07T22:04:00"/>
    <s v="ANT-0166"/>
    <n v="13"/>
    <s v="Non Résolu"/>
    <x v="8"/>
    <n v="-10.56448"/>
    <n v="19.792876"/>
    <x v="2"/>
    <s v="Ericsson"/>
  </r>
  <r>
    <d v="2023-10-02T21:14:00"/>
    <s v="ANT-0553"/>
    <n v="54"/>
    <s v="En Cours"/>
    <x v="9"/>
    <n v="4.6287159999999998"/>
    <n v="19.407077999999998"/>
    <x v="0"/>
    <s v="Ericsson"/>
  </r>
  <r>
    <d v="2023-10-25T09:05:00"/>
    <s v="ANT-0977"/>
    <n v="53"/>
    <s v="En Cours"/>
    <x v="1"/>
    <s v="Non repertorié"/>
    <s v="Non repertorié"/>
    <x v="1"/>
    <s v="Non repertorié"/>
  </r>
  <r>
    <d v="2023-10-28T07:55:00"/>
    <s v="ANT-0798"/>
    <n v="81"/>
    <s v="Non Résolu"/>
    <x v="1"/>
    <s v="Non repertorié"/>
    <s v="Non repertorié"/>
    <x v="1"/>
    <s v="Non repertorié"/>
  </r>
  <r>
    <d v="2023-10-04T12:17:00"/>
    <s v="ANT-0945"/>
    <n v="64"/>
    <s v="En Cours"/>
    <x v="10"/>
    <n v="0.23583499999999999"/>
    <n v="24.889558999999998"/>
    <x v="3"/>
    <s v="ZTE"/>
  </r>
  <r>
    <d v="2023-10-15T20:53:00"/>
    <s v="ANT-0544"/>
    <n v="72"/>
    <s v="Résolu"/>
    <x v="1"/>
    <s v="Non repertorié"/>
    <s v="Non repertorié"/>
    <x v="1"/>
    <s v="Non repertorié"/>
  </r>
  <r>
    <d v="2023-10-12T05:23:00"/>
    <s v="ANT-0941"/>
    <n v="37"/>
    <s v="Résolu"/>
    <x v="0"/>
    <n v="-2.4662510000000002"/>
    <n v="18.007998000000001"/>
    <x v="2"/>
    <s v="Ericsson"/>
  </r>
  <r>
    <d v="2023-10-12T06:42:00"/>
    <s v="ANT-0001"/>
    <n v="75"/>
    <s v="Résolu"/>
    <x v="6"/>
    <n v="-8.1437910000000002"/>
    <n v="28.946161"/>
    <x v="0"/>
    <s v="ZTE"/>
  </r>
  <r>
    <d v="2023-10-09T22:59:00"/>
    <s v="ANT-0614"/>
    <n v="115"/>
    <s v="Résolu"/>
    <x v="10"/>
    <n v="-6.1837850000000003"/>
    <n v="25.138759"/>
    <x v="3"/>
    <s v="Ericsson"/>
  </r>
  <r>
    <d v="2023-10-22T20:04:00"/>
    <s v="ANT-0332"/>
    <n v="6"/>
    <s v="En Cours"/>
    <x v="11"/>
    <n v="-4.9789079999999997"/>
    <n v="28.506295000000001"/>
    <x v="0"/>
    <s v="Huawei"/>
  </r>
  <r>
    <d v="2023-10-20T20:10:00"/>
    <s v="ANT-0501"/>
    <n v="92"/>
    <s v="Résolu"/>
    <x v="1"/>
    <s v="Non repertorié"/>
    <s v="Non repertorié"/>
    <x v="1"/>
    <s v="Non repertorié"/>
  </r>
  <r>
    <d v="2023-10-18T23:15:00"/>
    <s v="ANT-0020"/>
    <n v="97"/>
    <s v="Non Résolu"/>
    <x v="11"/>
    <n v="-10.059846"/>
    <n v="14.375757999999999"/>
    <x v="0"/>
    <s v="Huawei"/>
  </r>
  <r>
    <d v="2023-10-06T14:24:00"/>
    <s v="ANT-0115"/>
    <n v="19"/>
    <s v="Non Résolu"/>
    <x v="1"/>
    <s v="Non repertorié"/>
    <s v="Non repertorié"/>
    <x v="1"/>
    <s v="Non repertorié"/>
  </r>
  <r>
    <d v="2023-10-09T20:44:00"/>
    <s v="ANT-0952"/>
    <n v="92"/>
    <s v="Résolu"/>
    <x v="12"/>
    <n v="-0.77432100000000004"/>
    <n v="18.628658999999999"/>
    <x v="0"/>
    <s v="Huawei"/>
  </r>
  <r>
    <d v="2023-10-18T07:43:00"/>
    <s v="ANT-0372"/>
    <n v="118"/>
    <s v="Non Résolu"/>
    <x v="1"/>
    <s v="Non repertorié"/>
    <s v="Non repertorié"/>
    <x v="1"/>
    <s v="Non repertorié"/>
  </r>
  <r>
    <d v="2023-10-11T01:14:00"/>
    <s v="ANT-0900"/>
    <n v="73"/>
    <s v="Résolu"/>
    <x v="0"/>
    <n v="-10.776204"/>
    <n v="24.672934000000001"/>
    <x v="0"/>
    <s v="Ericsson"/>
  </r>
  <r>
    <d v="2023-10-27T01:51:00"/>
    <s v="ANT-0852"/>
    <n v="101"/>
    <s v="Résolu"/>
    <x v="13"/>
    <n v="4.2493650000000001"/>
    <n v="28.355039999999999"/>
    <x v="3"/>
    <s v="ZTE"/>
  </r>
  <r>
    <d v="2023-10-03T06:58:00"/>
    <s v="ANT-0315"/>
    <n v="103"/>
    <s v="Non Résolu"/>
    <x v="14"/>
    <n v="4.9250049999999996"/>
    <n v="19.887931999999999"/>
    <x v="0"/>
    <s v="Huawei"/>
  </r>
  <r>
    <d v="2023-10-31T18:56:00"/>
    <s v="ANT-0246"/>
    <n v="87"/>
    <s v="Non Résolu"/>
    <x v="1"/>
    <s v="Non repertorié"/>
    <s v="Non repertorié"/>
    <x v="1"/>
    <s v="Non repertorié"/>
  </r>
  <r>
    <d v="2023-10-23T10:13:00"/>
    <s v="ANT-0060"/>
    <n v="48"/>
    <s v="Résolu"/>
    <x v="1"/>
    <s v="Non repertorié"/>
    <s v="Non repertorié"/>
    <x v="1"/>
    <s v="Non repertorié"/>
  </r>
  <r>
    <d v="2023-10-21T15:25:00"/>
    <s v="ANT-0247"/>
    <n v="19"/>
    <s v="Résolu"/>
    <x v="1"/>
    <s v="Non repertorié"/>
    <s v="Non repertorié"/>
    <x v="1"/>
    <s v="Non repertorié"/>
  </r>
  <r>
    <d v="2023-10-29T20:29:00"/>
    <s v="ANT-0900"/>
    <n v="42"/>
    <s v="Résolu"/>
    <x v="0"/>
    <n v="-10.776204"/>
    <n v="24.672934000000001"/>
    <x v="0"/>
    <s v="Ericsson"/>
  </r>
  <r>
    <d v="2023-10-05T08:08:00"/>
    <s v="ANT-0581"/>
    <n v="60"/>
    <s v="Résolu"/>
    <x v="1"/>
    <s v="Non repertorié"/>
    <s v="Non repertorié"/>
    <x v="1"/>
    <s v="Non repertorié"/>
  </r>
  <r>
    <d v="2023-10-08T23:35:00"/>
    <s v="ANT-0970"/>
    <n v="25"/>
    <s v="En Cours"/>
    <x v="9"/>
    <n v="-11.866133"/>
    <n v="27.068932"/>
    <x v="3"/>
    <s v="Huawei"/>
  </r>
  <r>
    <d v="2023-10-19T15:15:00"/>
    <s v="ANT-0650"/>
    <n v="17"/>
    <s v="En Cours"/>
    <x v="1"/>
    <s v="Non repertorié"/>
    <s v="Non repertorié"/>
    <x v="1"/>
    <s v="Non repertorié"/>
  </r>
  <r>
    <d v="2023-10-26T15:51:00"/>
    <s v="ANT-0874"/>
    <n v="14"/>
    <s v="Résolu"/>
    <x v="1"/>
    <s v="Non repertorié"/>
    <s v="Non repertorié"/>
    <x v="1"/>
    <s v="Non repertorié"/>
  </r>
  <r>
    <d v="2023-10-14T06:06:00"/>
    <s v="ANT-0271"/>
    <n v="73"/>
    <s v="En Cours"/>
    <x v="15"/>
    <n v="-5.1030600000000002"/>
    <n v="22.849231"/>
    <x v="2"/>
    <s v="ZTE"/>
  </r>
  <r>
    <d v="2023-10-04T21:27:00"/>
    <s v="ANT-0518"/>
    <n v="32"/>
    <s v="Résolu"/>
    <x v="1"/>
    <s v="Non repertorié"/>
    <s v="Non repertorié"/>
    <x v="1"/>
    <s v="Non repertorié"/>
  </r>
  <r>
    <d v="2023-10-12T13:26:00"/>
    <s v="ANT-0501"/>
    <n v="69"/>
    <s v="Non Résolu"/>
    <x v="1"/>
    <s v="Non repertorié"/>
    <s v="Non repertorié"/>
    <x v="1"/>
    <s v="Non repertorié"/>
  </r>
  <r>
    <d v="2023-10-15T23:03:00"/>
    <s v="ANT-0258"/>
    <n v="38"/>
    <s v="Résolu"/>
    <x v="16"/>
    <n v="-11.710407999999999"/>
    <n v="23.741330999999999"/>
    <x v="3"/>
    <s v="Huawei"/>
  </r>
  <r>
    <d v="2023-10-22T20:41:00"/>
    <s v="ANT-0928"/>
    <n v="21"/>
    <s v="Non Résolu"/>
    <x v="0"/>
    <n v="-1.864393"/>
    <n v="21.453434000000001"/>
    <x v="2"/>
    <s v="Ericsson"/>
  </r>
  <r>
    <d v="2023-10-04T01:25:00"/>
    <s v="ANT-0930"/>
    <n v="49"/>
    <s v="Résolu"/>
    <x v="1"/>
    <s v="Non repertorié"/>
    <s v="Non repertorié"/>
    <x v="1"/>
    <s v="Non repertorié"/>
  </r>
  <r>
    <d v="2023-10-24T10:51:00"/>
    <s v="ANT-0867"/>
    <n v="117"/>
    <s v="En Cours"/>
    <x v="1"/>
    <s v="Non repertorié"/>
    <s v="Non repertorié"/>
    <x v="1"/>
    <s v="Non repertorié"/>
  </r>
  <r>
    <d v="2023-10-28T03:15:00"/>
    <s v="ANT-0053"/>
    <n v="13"/>
    <s v="Non Résolu"/>
    <x v="1"/>
    <s v="Non repertorié"/>
    <s v="Non repertorié"/>
    <x v="1"/>
    <s v="Non repertorié"/>
  </r>
  <r>
    <d v="2023-10-07T06:34:00"/>
    <s v="ANT-0095"/>
    <n v="117"/>
    <s v="En Cours"/>
    <x v="1"/>
    <s v="Non repertorié"/>
    <s v="Non repertorié"/>
    <x v="1"/>
    <s v="Non repertorié"/>
  </r>
  <r>
    <d v="2023-10-15T04:27:00"/>
    <s v="ANT-0650"/>
    <n v="36"/>
    <s v="Non Résolu"/>
    <x v="1"/>
    <s v="Non repertorié"/>
    <s v="Non repertorié"/>
    <x v="1"/>
    <s v="Non repertorié"/>
  </r>
  <r>
    <d v="2023-10-06T08:29:00"/>
    <s v="ANT-0434"/>
    <n v="52"/>
    <s v="Non Résolu"/>
    <x v="0"/>
    <n v="3.1362930000000002"/>
    <n v="16.190878000000001"/>
    <x v="3"/>
    <s v="Nokia"/>
  </r>
  <r>
    <d v="2023-10-08T02:28:00"/>
    <s v="ANT-0850"/>
    <n v="41"/>
    <s v="Résolu"/>
    <x v="12"/>
    <n v="-5.9021970000000001"/>
    <n v="20.551169999999999"/>
    <x v="3"/>
    <s v="Huawei"/>
  </r>
  <r>
    <d v="2023-10-26T17:06:00"/>
    <s v="ANT-0284"/>
    <n v="25"/>
    <s v="Résolu"/>
    <x v="7"/>
    <n v="-5.5445120000000001"/>
    <n v="27.547335"/>
    <x v="0"/>
    <s v="Ericsson"/>
  </r>
  <r>
    <d v="2023-10-02T20:34:00"/>
    <s v="ANT-0046"/>
    <n v="61"/>
    <s v="Résolu"/>
    <x v="1"/>
    <s v="Non repertorié"/>
    <s v="Non repertorié"/>
    <x v="1"/>
    <s v="Non repertorié"/>
  </r>
  <r>
    <d v="2023-10-27T00:05:00"/>
    <s v="ANT-0004"/>
    <n v="111"/>
    <s v="Résolu"/>
    <x v="1"/>
    <s v="Non repertorié"/>
    <s v="Non repertorié"/>
    <x v="1"/>
    <s v="Non repertorié"/>
  </r>
  <r>
    <d v="2023-10-30T07:10:00"/>
    <s v="ANT-0342"/>
    <n v="74"/>
    <s v="En Cours"/>
    <x v="1"/>
    <s v="Non repertorié"/>
    <s v="Non repertorié"/>
    <x v="1"/>
    <s v="Non repertorié"/>
  </r>
  <r>
    <d v="2023-10-14T15:30:00"/>
    <s v="ANT-0790"/>
    <n v="95"/>
    <s v="Résolu"/>
    <x v="7"/>
    <n v="-2.9417719999999998"/>
    <n v="18.587305000000001"/>
    <x v="2"/>
    <s v="Ericsson"/>
  </r>
  <r>
    <d v="2023-10-07T12:57:00"/>
    <s v="ANT-0134"/>
    <n v="43"/>
    <s v="Résolu"/>
    <x v="4"/>
    <n v="-10.963041"/>
    <n v="12.269857"/>
    <x v="0"/>
    <s v="Huawei"/>
  </r>
  <r>
    <d v="2023-10-02T05:24:00"/>
    <s v="ANT-0653"/>
    <n v="83"/>
    <s v="Non Résolu"/>
    <x v="9"/>
    <n v="0.82868600000000003"/>
    <n v="26.958843999999999"/>
    <x v="2"/>
    <s v="ZTE"/>
  </r>
  <r>
    <d v="2023-10-01T12:16:00"/>
    <s v="ANT-0269"/>
    <n v="108"/>
    <s v="En Cours"/>
    <x v="1"/>
    <s v="Non repertorié"/>
    <s v="Non repertorié"/>
    <x v="1"/>
    <s v="Non repertorié"/>
  </r>
  <r>
    <d v="2023-10-30T14:18:00"/>
    <s v="ANT-0166"/>
    <n v="88"/>
    <s v="En Cours"/>
    <x v="8"/>
    <n v="-10.56448"/>
    <n v="19.792876"/>
    <x v="2"/>
    <s v="Ericsson"/>
  </r>
  <r>
    <d v="2023-10-14T22:46:00"/>
    <s v="ANT-0760"/>
    <n v="72"/>
    <s v="Non Résolu"/>
    <x v="17"/>
    <n v="-2.7140689999999998"/>
    <n v="22.222104000000002"/>
    <x v="0"/>
    <s v="Nokia"/>
  </r>
  <r>
    <d v="2023-10-26T17:42:00"/>
    <s v="ANT-0453"/>
    <n v="6"/>
    <s v="Non Résolu"/>
    <x v="1"/>
    <s v="Non repertorié"/>
    <s v="Non repertorié"/>
    <x v="1"/>
    <s v="Non repertorié"/>
  </r>
  <r>
    <d v="2023-10-23T15:09:00"/>
    <s v="ANT-0565"/>
    <n v="90"/>
    <s v="Résolu"/>
    <x v="0"/>
    <n v="-2.099631"/>
    <n v="13.974640000000001"/>
    <x v="3"/>
    <s v="Nokia"/>
  </r>
  <r>
    <d v="2023-10-07T09:13:00"/>
    <s v="ANT-0723"/>
    <n v="109"/>
    <s v="En Cours"/>
    <x v="1"/>
    <s v="Non repertorié"/>
    <s v="Non repertorié"/>
    <x v="1"/>
    <s v="Non repertorié"/>
  </r>
  <r>
    <d v="2023-10-31T01:37:00"/>
    <s v="ANT-0438"/>
    <n v="75"/>
    <s v="Résolu"/>
    <x v="1"/>
    <s v="Non repertorié"/>
    <s v="Non repertorié"/>
    <x v="1"/>
    <s v="Non repertorié"/>
  </r>
  <r>
    <d v="2023-10-24T17:03:00"/>
    <s v="ANT-0575"/>
    <n v="43"/>
    <s v="Non Résolu"/>
    <x v="1"/>
    <s v="Non repertorié"/>
    <s v="Non repertorié"/>
    <x v="1"/>
    <s v="Non repertorié"/>
  </r>
  <r>
    <d v="2023-10-24T10:03:00"/>
    <s v="ANT-0010"/>
    <n v="89"/>
    <s v="Résolu"/>
    <x v="7"/>
    <n v="4.4712560000000003"/>
    <n v="27.107028"/>
    <x v="3"/>
    <s v="Ericsson"/>
  </r>
  <r>
    <d v="2023-10-02T18:30:00"/>
    <s v="ANT-0115"/>
    <n v="18"/>
    <s v="En Cours"/>
    <x v="1"/>
    <s v="Non repertorié"/>
    <s v="Non repertorié"/>
    <x v="1"/>
    <s v="Non repertorié"/>
  </r>
  <r>
    <d v="2023-10-17T16:10:00"/>
    <s v="ANT-0078"/>
    <n v="117"/>
    <s v="Résolu"/>
    <x v="8"/>
    <n v="-12.141233"/>
    <n v="15.179043999999999"/>
    <x v="2"/>
    <s v="Ericsson"/>
  </r>
  <r>
    <d v="2023-10-02T16:05:00"/>
    <s v="ANT-0968"/>
    <n v="22"/>
    <s v="En Cours"/>
    <x v="1"/>
    <s v="Non repertorié"/>
    <s v="Non repertorié"/>
    <x v="1"/>
    <s v="Non repertorié"/>
  </r>
  <r>
    <d v="2023-10-28T05:04:00"/>
    <s v="ANT-0905"/>
    <n v="38"/>
    <s v="Résolu"/>
    <x v="1"/>
    <s v="Non repertorié"/>
    <s v="Non repertorié"/>
    <x v="1"/>
    <s v="Non repertorié"/>
  </r>
  <r>
    <d v="2023-10-20T02:43:00"/>
    <s v="ANT-0708"/>
    <n v="19"/>
    <s v="Résolu"/>
    <x v="4"/>
    <n v="-9.7712979999999998"/>
    <n v="19.827895999999999"/>
    <x v="3"/>
    <s v="ZTE"/>
  </r>
  <r>
    <d v="2023-10-28T07:25:00"/>
    <s v="ANT-0926"/>
    <n v="118"/>
    <s v="En Cours"/>
    <x v="8"/>
    <n v="-10.914952"/>
    <n v="26.409648000000001"/>
    <x v="0"/>
    <s v="Huawei"/>
  </r>
  <r>
    <d v="2023-10-04T18:15:00"/>
    <s v="ANT-0153"/>
    <n v="18"/>
    <s v="En Cours"/>
    <x v="6"/>
    <n v="0.94539899999999999"/>
    <n v="14.401821999999999"/>
    <x v="2"/>
    <s v="Nokia"/>
  </r>
  <r>
    <d v="2023-10-19T19:02:00"/>
    <s v="ANT-0559"/>
    <n v="100"/>
    <s v="En Cours"/>
    <x v="1"/>
    <s v="Non repertorié"/>
    <s v="Non repertorié"/>
    <x v="1"/>
    <s v="Non repertorié"/>
  </r>
  <r>
    <d v="2023-10-20T02:26:00"/>
    <s v="ANT-0037"/>
    <n v="75"/>
    <s v="Résolu"/>
    <x v="18"/>
    <n v="-7.0076900000000002"/>
    <n v="27.367121999999998"/>
    <x v="3"/>
    <s v="Nokia"/>
  </r>
  <r>
    <d v="2023-10-22T18:36:00"/>
    <s v="ANT-0855"/>
    <n v="24"/>
    <s v="Résolu"/>
    <x v="19"/>
    <n v="-11.514188000000001"/>
    <n v="15.971181"/>
    <x v="2"/>
    <s v="Ericsson"/>
  </r>
  <r>
    <d v="2023-10-17T10:59:00"/>
    <s v="ANT-0379"/>
    <n v="39"/>
    <s v="Résolu"/>
    <x v="3"/>
    <n v="-9.5266249999999992"/>
    <n v="27.889690999999999"/>
    <x v="0"/>
    <s v="Ericsson"/>
  </r>
  <r>
    <d v="2023-10-09T06:42:00"/>
    <s v="ANT-0597"/>
    <n v="41"/>
    <s v="Non Résolu"/>
    <x v="6"/>
    <n v="-9.3066320000000005"/>
    <n v="20.470889"/>
    <x v="2"/>
    <s v="ZTE"/>
  </r>
  <r>
    <d v="2023-10-23T10:15:00"/>
    <s v="ANT-0566"/>
    <n v="82"/>
    <s v="Résolu"/>
    <x v="20"/>
    <n v="-4.4697000000000001E-2"/>
    <n v="22.943373000000001"/>
    <x v="3"/>
    <s v="Huawei"/>
  </r>
  <r>
    <d v="2023-10-09T12:08:00"/>
    <s v="ANT-0152"/>
    <n v="31"/>
    <s v="En Cours"/>
    <x v="1"/>
    <s v="Non repertorié"/>
    <s v="Non repertorié"/>
    <x v="1"/>
    <s v="Non repertorié"/>
  </r>
  <r>
    <d v="2023-10-22T20:19:00"/>
    <s v="ANT-0441"/>
    <n v="96"/>
    <s v="En Cours"/>
    <x v="13"/>
    <n v="-5.2526849999999996"/>
    <n v="12.374528"/>
    <x v="3"/>
    <s v="Nokia"/>
  </r>
  <r>
    <d v="2023-10-15T10:59:00"/>
    <s v="ANT-0131"/>
    <n v="48"/>
    <s v="En Cours"/>
    <x v="8"/>
    <n v="-9.3652239999999995"/>
    <n v="22.593423999999999"/>
    <x v="2"/>
    <s v="Nokia"/>
  </r>
  <r>
    <d v="2023-10-25T02:00:00"/>
    <s v="ANT-0043"/>
    <n v="31"/>
    <s v="Résolu"/>
    <x v="1"/>
    <s v="Non repertorié"/>
    <s v="Non repertorié"/>
    <x v="1"/>
    <s v="Non repertorié"/>
  </r>
  <r>
    <d v="2023-10-15T19:36:00"/>
    <s v="ANT-0316"/>
    <n v="92"/>
    <s v="En Cours"/>
    <x v="1"/>
    <s v="Non repertorié"/>
    <s v="Non repertorié"/>
    <x v="1"/>
    <s v="Non repertorié"/>
  </r>
  <r>
    <d v="2023-10-31T00:07:00"/>
    <s v="ANT-0573"/>
    <n v="58"/>
    <s v="Résolu"/>
    <x v="16"/>
    <n v="-7.4608439999999998"/>
    <n v="23.268619999999999"/>
    <x v="0"/>
    <s v="Huawei"/>
  </r>
  <r>
    <d v="2023-10-29T08:11:00"/>
    <s v="ANT-0610"/>
    <n v="118"/>
    <s v="En Cours"/>
    <x v="1"/>
    <s v="Non repertorié"/>
    <s v="Non repertorié"/>
    <x v="1"/>
    <s v="Non repertorié"/>
  </r>
  <r>
    <d v="2023-10-19T08:02:00"/>
    <s v="ANT-0325"/>
    <n v="85"/>
    <s v="En Cours"/>
    <x v="1"/>
    <s v="Non repertorié"/>
    <s v="Non repertorié"/>
    <x v="1"/>
    <s v="Non repertorié"/>
  </r>
  <r>
    <d v="2023-10-04T19:27:00"/>
    <s v="ANT-0973"/>
    <n v="78"/>
    <s v="En Cours"/>
    <x v="1"/>
    <s v="Non repertorié"/>
    <s v="Non repertorié"/>
    <x v="1"/>
    <s v="Non repertorié"/>
  </r>
  <r>
    <d v="2023-10-12T23:50:00"/>
    <s v="ANT-0774"/>
    <n v="29"/>
    <s v="Non Résolu"/>
    <x v="1"/>
    <s v="Non repertorié"/>
    <s v="Non repertorié"/>
    <x v="1"/>
    <s v="Non repertorié"/>
  </r>
  <r>
    <d v="2023-10-11T13:38:00"/>
    <s v="ANT-0913"/>
    <n v="96"/>
    <s v="Résolu"/>
    <x v="21"/>
    <n v="-5.4126279999999998"/>
    <n v="25.498235999999999"/>
    <x v="2"/>
    <s v="ZTE"/>
  </r>
  <r>
    <d v="2023-10-17T03:24:00"/>
    <s v="ANT-0454"/>
    <n v="94"/>
    <s v="Résolu"/>
    <x v="9"/>
    <n v="1.8103860000000001"/>
    <n v="15.175582"/>
    <x v="3"/>
    <s v="Huawei"/>
  </r>
  <r>
    <d v="2023-10-29T18:12:00"/>
    <s v="ANT-0628"/>
    <n v="54"/>
    <s v="Résolu"/>
    <x v="1"/>
    <s v="Non repertorié"/>
    <s v="Non repertorié"/>
    <x v="1"/>
    <s v="Non repertorié"/>
  </r>
  <r>
    <d v="2023-10-09T01:45:00"/>
    <s v="ANT-0835"/>
    <n v="68"/>
    <s v="Résolu"/>
    <x v="9"/>
    <n v="1.017161"/>
    <n v="16.519689"/>
    <x v="3"/>
    <s v="Nokia"/>
  </r>
  <r>
    <d v="2023-10-14T00:33:00"/>
    <s v="ANT-0737"/>
    <n v="56"/>
    <s v="En Cours"/>
    <x v="2"/>
    <n v="-2.8211520000000001"/>
    <n v="20.651419000000001"/>
    <x v="2"/>
    <s v="Ericsson"/>
  </r>
  <r>
    <d v="2023-10-30T17:43:00"/>
    <s v="ANT-0914"/>
    <n v="36"/>
    <s v="Non Résolu"/>
    <x v="5"/>
    <n v="-11.218453999999999"/>
    <n v="28.230025000000001"/>
    <x v="2"/>
    <s v="ZTE"/>
  </r>
  <r>
    <d v="2023-10-24T23:47:00"/>
    <s v="ANT-0517"/>
    <n v="23"/>
    <s v="Résolu"/>
    <x v="17"/>
    <n v="-8.0922239999999999"/>
    <n v="15.483708"/>
    <x v="2"/>
    <s v="Nokia"/>
  </r>
  <r>
    <d v="2023-10-22T06:23:00"/>
    <s v="ANT-0437"/>
    <n v="88"/>
    <s v="Non Résolu"/>
    <x v="21"/>
    <n v="-1.339734"/>
    <n v="15.243098"/>
    <x v="3"/>
    <s v="Nokia"/>
  </r>
  <r>
    <d v="2023-10-14T02:42:00"/>
    <s v="ANT-0851"/>
    <n v="93"/>
    <s v="Résolu"/>
    <x v="1"/>
    <s v="Non repertorié"/>
    <s v="Non repertorié"/>
    <x v="1"/>
    <s v="Non repertorié"/>
  </r>
  <r>
    <d v="2023-10-30T10:39:00"/>
    <s v="ANT-0929"/>
    <n v="5"/>
    <s v="Résolu"/>
    <x v="3"/>
    <n v="-6.6803710000000001"/>
    <n v="21.955673000000001"/>
    <x v="0"/>
    <s v="Nokia"/>
  </r>
  <r>
    <d v="2023-10-11T21:54:00"/>
    <s v="ANT-0562"/>
    <n v="119"/>
    <s v="En Cours"/>
    <x v="1"/>
    <s v="Non repertorié"/>
    <s v="Non repertorié"/>
    <x v="1"/>
    <s v="Non repertorié"/>
  </r>
  <r>
    <d v="2023-10-04T23:57:00"/>
    <s v="ANT-0457"/>
    <n v="101"/>
    <s v="En Cours"/>
    <x v="9"/>
    <n v="-6.3148239999999998"/>
    <n v="24.507498999999999"/>
    <x v="3"/>
    <s v="ZTE"/>
  </r>
  <r>
    <d v="2023-10-10T16:19:00"/>
    <s v="ANT-0919"/>
    <n v="115"/>
    <s v="En Cours"/>
    <x v="1"/>
    <s v="Non repertorié"/>
    <s v="Non repertorié"/>
    <x v="1"/>
    <s v="Non repertorié"/>
  </r>
  <r>
    <d v="2023-10-22T13:20:00"/>
    <s v="ANT-0163"/>
    <n v="103"/>
    <s v="Non Résolu"/>
    <x v="1"/>
    <s v="Non repertorié"/>
    <s v="Non repertorié"/>
    <x v="1"/>
    <s v="Non repertorié"/>
  </r>
  <r>
    <d v="2023-10-13T22:18:00"/>
    <s v="ANT-0762"/>
    <n v="118"/>
    <s v="En Cours"/>
    <x v="1"/>
    <s v="Non repertorié"/>
    <s v="Non repertorié"/>
    <x v="1"/>
    <s v="Non repertorié"/>
  </r>
  <r>
    <d v="2023-10-18T04:12:00"/>
    <s v="ANT-0883"/>
    <n v="18"/>
    <s v="En Cours"/>
    <x v="13"/>
    <n v="-9.4702129999999993"/>
    <n v="12.826158"/>
    <x v="3"/>
    <s v="Ericsson"/>
  </r>
  <r>
    <d v="2023-10-14T21:24:00"/>
    <s v="ANT-0487"/>
    <n v="104"/>
    <s v="Résolu"/>
    <x v="1"/>
    <s v="Non repertorié"/>
    <s v="Non repertorié"/>
    <x v="1"/>
    <s v="Non repertorié"/>
  </r>
  <r>
    <d v="2023-10-22T23:57:00"/>
    <s v="ANT-0461"/>
    <n v="59"/>
    <s v="Résolu"/>
    <x v="1"/>
    <s v="Non repertorié"/>
    <s v="Non repertorié"/>
    <x v="1"/>
    <s v="Non repertorié"/>
  </r>
  <r>
    <d v="2023-10-06T19:36:00"/>
    <s v="ANT-0266"/>
    <n v="33"/>
    <s v="En Cours"/>
    <x v="1"/>
    <s v="Non repertorié"/>
    <s v="Non repertorié"/>
    <x v="1"/>
    <s v="Non repertorié"/>
  </r>
  <r>
    <d v="2023-10-10T12:35:00"/>
    <s v="ANT-0770"/>
    <n v="27"/>
    <s v="En Cours"/>
    <x v="12"/>
    <n v="2.4741019999999998"/>
    <n v="29.297391000000001"/>
    <x v="0"/>
    <s v="Ericsson"/>
  </r>
  <r>
    <d v="2023-10-27T00:19:00"/>
    <s v="ANT-0254"/>
    <n v="107"/>
    <s v="Non Résolu"/>
    <x v="1"/>
    <s v="Non repertorié"/>
    <s v="Non repertorié"/>
    <x v="1"/>
    <s v="Non repertorié"/>
  </r>
  <r>
    <d v="2023-10-10T06:27:00"/>
    <s v="ANT-0861"/>
    <n v="94"/>
    <s v="Non Résolu"/>
    <x v="1"/>
    <s v="Non repertorié"/>
    <s v="Non repertorié"/>
    <x v="1"/>
    <s v="Non repertorié"/>
  </r>
  <r>
    <d v="2023-10-26T18:38:00"/>
    <s v="ANT-0653"/>
    <n v="71"/>
    <s v="Résolu"/>
    <x v="9"/>
    <n v="0.82868600000000003"/>
    <n v="26.958843999999999"/>
    <x v="2"/>
    <s v="ZTE"/>
  </r>
  <r>
    <d v="2023-10-21T10:29:00"/>
    <s v="ANT-0284"/>
    <n v="64"/>
    <s v="Non Résolu"/>
    <x v="7"/>
    <n v="-5.5445120000000001"/>
    <n v="27.547335"/>
    <x v="0"/>
    <s v="Ericsson"/>
  </r>
  <r>
    <d v="2023-10-15T14:43:00"/>
    <s v="ANT-0785"/>
    <n v="11"/>
    <s v="En Cours"/>
    <x v="1"/>
    <s v="Non repertorié"/>
    <s v="Non repertorié"/>
    <x v="1"/>
    <s v="Non repertorié"/>
  </r>
  <r>
    <d v="2023-10-07T16:30:00"/>
    <s v="ANT-0797"/>
    <n v="76"/>
    <s v="En Cours"/>
    <x v="22"/>
    <n v="-12.100756000000001"/>
    <n v="21.938649999999999"/>
    <x v="0"/>
    <s v="Huawei"/>
  </r>
  <r>
    <d v="2023-10-26T23:10:00"/>
    <s v="ANT-0534"/>
    <n v="36"/>
    <s v="Résolu"/>
    <x v="0"/>
    <n v="-9.002459"/>
    <n v="25.182109000000001"/>
    <x v="2"/>
    <s v="Huawei"/>
  </r>
  <r>
    <d v="2023-10-22T02:18:00"/>
    <s v="ANT-0497"/>
    <n v="113"/>
    <s v="En Cours"/>
    <x v="1"/>
    <s v="Non repertorié"/>
    <s v="Non repertorié"/>
    <x v="1"/>
    <s v="Non repertorié"/>
  </r>
  <r>
    <d v="2023-10-17T21:40:00"/>
    <s v="ANT-0642"/>
    <n v="20"/>
    <s v="En Cours"/>
    <x v="12"/>
    <n v="-4.2408359999999998"/>
    <n v="26.210014000000001"/>
    <x v="0"/>
    <s v="Huawei"/>
  </r>
  <r>
    <d v="2023-10-20T10:05:00"/>
    <s v="ANT-0245"/>
    <n v="63"/>
    <s v="En Cours"/>
    <x v="5"/>
    <n v="-9.9875139999999991"/>
    <n v="12.013676999999999"/>
    <x v="3"/>
    <s v="ZTE"/>
  </r>
  <r>
    <d v="2023-10-27T07:43:00"/>
    <s v="ANT-0282"/>
    <n v="22"/>
    <s v="En Cours"/>
    <x v="9"/>
    <n v="-10.25074"/>
    <n v="26.099086"/>
    <x v="0"/>
    <s v="Huawei"/>
  </r>
  <r>
    <d v="2023-10-10T07:51:00"/>
    <s v="ANT-0451"/>
    <n v="107"/>
    <s v="Non Résolu"/>
    <x v="14"/>
    <n v="-5.0402180000000003"/>
    <n v="13.892471"/>
    <x v="3"/>
    <s v="ZTE"/>
  </r>
  <r>
    <d v="2023-10-07T04:01:00"/>
    <s v="ANT-0080"/>
    <n v="64"/>
    <s v="Non Résolu"/>
    <x v="18"/>
    <n v="0.24202000000000001"/>
    <n v="17.396256999999999"/>
    <x v="0"/>
    <s v="Huawei"/>
  </r>
  <r>
    <d v="2023-10-02T07:30:00"/>
    <s v="ANT-0731"/>
    <n v="90"/>
    <s v="Non Résolu"/>
    <x v="23"/>
    <n v="-12.333232000000001"/>
    <n v="25.229620000000001"/>
    <x v="2"/>
    <s v="Nokia"/>
  </r>
  <r>
    <d v="2023-10-20T02:29:00"/>
    <s v="ANT-0293"/>
    <n v="72"/>
    <s v="Non Résolu"/>
    <x v="5"/>
    <n v="-5.7035130000000001"/>
    <n v="14.331479"/>
    <x v="2"/>
    <s v="Nokia"/>
  </r>
  <r>
    <d v="2023-10-01T12:21:00"/>
    <s v="ANT-0287"/>
    <n v="24"/>
    <s v="En Cours"/>
    <x v="15"/>
    <n v="-11.622688999999999"/>
    <n v="18.483874"/>
    <x v="2"/>
    <s v="ZTE"/>
  </r>
  <r>
    <d v="2023-10-22T21:51:00"/>
    <s v="ANT-0902"/>
    <n v="60"/>
    <s v="Non Résolu"/>
    <x v="3"/>
    <n v="-10.414493"/>
    <n v="12.333356999999999"/>
    <x v="3"/>
    <s v="Ericsson"/>
  </r>
  <r>
    <d v="2023-10-13T23:10:00"/>
    <s v="ANT-0611"/>
    <n v="27"/>
    <s v="En Cours"/>
    <x v="2"/>
    <n v="0.79124300000000003"/>
    <n v="25.273389000000002"/>
    <x v="0"/>
    <s v="Nokia"/>
  </r>
  <r>
    <d v="2023-10-27T14:58:00"/>
    <s v="ANT-0719"/>
    <n v="98"/>
    <s v="En Cours"/>
    <x v="6"/>
    <n v="-7.9987219999999999"/>
    <n v="12.779335"/>
    <x v="2"/>
    <s v="Nokia"/>
  </r>
  <r>
    <d v="2023-10-05T19:34:00"/>
    <s v="ANT-0902"/>
    <n v="71"/>
    <s v="En Cours"/>
    <x v="3"/>
    <n v="-10.414493"/>
    <n v="12.333356999999999"/>
    <x v="3"/>
    <s v="Ericsson"/>
  </r>
  <r>
    <d v="2023-10-01T12:37:00"/>
    <s v="ANT-0283"/>
    <n v="88"/>
    <s v="En Cours"/>
    <x v="21"/>
    <n v="-1.6097570000000001"/>
    <n v="30.661662"/>
    <x v="0"/>
    <s v="Ericsson"/>
  </r>
  <r>
    <d v="2023-10-19T21:01:00"/>
    <s v="ANT-0570"/>
    <n v="39"/>
    <s v="Résolu"/>
    <x v="1"/>
    <s v="Non repertorié"/>
    <s v="Non repertorié"/>
    <x v="1"/>
    <s v="Non repertorié"/>
  </r>
  <r>
    <d v="2023-10-03T20:27:00"/>
    <s v="ANT-0011"/>
    <n v="83"/>
    <s v="Résolu"/>
    <x v="24"/>
    <n v="-1.607639"/>
    <n v="17.003636"/>
    <x v="0"/>
    <s v="Ericsson"/>
  </r>
  <r>
    <d v="2023-10-05T14:11:00"/>
    <s v="ANT-0530"/>
    <n v="108"/>
    <s v="Non Résolu"/>
    <x v="12"/>
    <n v="-8.5675749999999997"/>
    <n v="26.994581"/>
    <x v="3"/>
    <s v="Nokia"/>
  </r>
  <r>
    <d v="2023-10-02T08:24:00"/>
    <s v="ANT-0971"/>
    <n v="73"/>
    <s v="Résolu"/>
    <x v="1"/>
    <s v="Non repertorié"/>
    <s v="Non repertorié"/>
    <x v="1"/>
    <s v="Non repertorié"/>
  </r>
  <r>
    <d v="2023-10-11T06:29:00"/>
    <s v="ANT-0196"/>
    <n v="104"/>
    <s v="En Cours"/>
    <x v="1"/>
    <s v="Non repertorié"/>
    <s v="Non repertorié"/>
    <x v="1"/>
    <s v="Non repertorié"/>
  </r>
  <r>
    <d v="2023-10-11T10:48:00"/>
    <s v="ANT-0088"/>
    <n v="66"/>
    <s v="Résolu"/>
    <x v="16"/>
    <n v="-9.7803979999999999"/>
    <n v="17.686595000000001"/>
    <x v="0"/>
    <s v="Ericsson"/>
  </r>
  <r>
    <d v="2023-10-29T12:17:00"/>
    <s v="ANT-0248"/>
    <n v="64"/>
    <s v="Non Résolu"/>
    <x v="22"/>
    <n v="-4.4351269999999996"/>
    <n v="24.825467"/>
    <x v="0"/>
    <s v="Huawei"/>
  </r>
  <r>
    <d v="2023-10-25T13:16:00"/>
    <s v="ANT-0738"/>
    <n v="60"/>
    <s v="Non Résolu"/>
    <x v="0"/>
    <n v="-10.439686999999999"/>
    <n v="20.714210000000001"/>
    <x v="0"/>
    <s v="ZTE"/>
  </r>
  <r>
    <d v="2023-10-27T02:30:00"/>
    <s v="ANT-0417"/>
    <n v="110"/>
    <s v="Non Résolu"/>
    <x v="15"/>
    <n v="-2.3677800000000002"/>
    <n v="18.790323999999998"/>
    <x v="2"/>
    <s v="Huawei"/>
  </r>
  <r>
    <d v="2023-10-01T23:34:00"/>
    <s v="ANT-0501"/>
    <n v="98"/>
    <s v="Résolu"/>
    <x v="1"/>
    <s v="Non repertorié"/>
    <s v="Non repertorié"/>
    <x v="1"/>
    <s v="Non repertorié"/>
  </r>
  <r>
    <d v="2023-10-02T11:14:00"/>
    <s v="ANT-0569"/>
    <n v="80"/>
    <s v="Résolu"/>
    <x v="7"/>
    <n v="-3.3890790000000002"/>
    <n v="18.374571"/>
    <x v="2"/>
    <s v="ZTE"/>
  </r>
  <r>
    <d v="2023-10-21T02:49:00"/>
    <s v="ANT-0777"/>
    <n v="39"/>
    <s v="Résolu"/>
    <x v="1"/>
    <s v="Non repertorié"/>
    <s v="Non repertorié"/>
    <x v="1"/>
    <s v="Non repertorié"/>
  </r>
  <r>
    <d v="2023-10-31T20:02:00"/>
    <s v="ANT-0247"/>
    <n v="46"/>
    <s v="Non Résolu"/>
    <x v="1"/>
    <s v="Non repertorié"/>
    <s v="Non repertorié"/>
    <x v="1"/>
    <s v="Non repertorié"/>
  </r>
  <r>
    <d v="2023-10-25T00:15:00"/>
    <s v="ANT-0708"/>
    <n v="114"/>
    <s v="En Cours"/>
    <x v="4"/>
    <n v="-9.7712979999999998"/>
    <n v="19.827895999999999"/>
    <x v="3"/>
    <s v="ZTE"/>
  </r>
  <r>
    <d v="2023-10-07T00:39:00"/>
    <s v="ANT-0488"/>
    <n v="36"/>
    <s v="En Cours"/>
    <x v="3"/>
    <n v="-3.111418"/>
    <n v="14.144854"/>
    <x v="0"/>
    <s v="ZTE"/>
  </r>
  <r>
    <d v="2023-10-05T07:08:00"/>
    <s v="ANT-0662"/>
    <n v="111"/>
    <s v="Non Résolu"/>
    <x v="6"/>
    <n v="-1.342476"/>
    <n v="15.986086"/>
    <x v="0"/>
    <s v="Ericsson"/>
  </r>
  <r>
    <d v="2023-10-16T21:07:00"/>
    <s v="ANT-0729"/>
    <n v="16"/>
    <s v="Non Résolu"/>
    <x v="1"/>
    <s v="Non repertorié"/>
    <s v="Non repertorié"/>
    <x v="1"/>
    <s v="Non repertorié"/>
  </r>
  <r>
    <d v="2023-10-19T06:29:00"/>
    <s v="ANT-0503"/>
    <n v="40"/>
    <s v="Non Résolu"/>
    <x v="22"/>
    <n v="-1.8045979999999999"/>
    <n v="12.511096999999999"/>
    <x v="3"/>
    <s v="Huawei"/>
  </r>
  <r>
    <d v="2023-10-23T08:49:00"/>
    <s v="ANT-0459"/>
    <n v="117"/>
    <s v="Non Résolu"/>
    <x v="1"/>
    <s v="Non repertorié"/>
    <s v="Non repertorié"/>
    <x v="1"/>
    <s v="Non repertorié"/>
  </r>
  <r>
    <d v="2023-10-12T05:38:00"/>
    <s v="ANT-0812"/>
    <n v="62"/>
    <s v="En Cours"/>
    <x v="9"/>
    <n v="-2.3102109999999998"/>
    <n v="12.362488000000001"/>
    <x v="2"/>
    <s v="Nokia"/>
  </r>
  <r>
    <d v="2023-10-20T23:45:00"/>
    <s v="ANT-0018"/>
    <n v="36"/>
    <s v="Résolu"/>
    <x v="1"/>
    <s v="Non repertorié"/>
    <s v="Non repertorié"/>
    <x v="1"/>
    <s v="Non repertorié"/>
  </r>
  <r>
    <d v="2023-10-04T05:19:00"/>
    <s v="ANT-0096"/>
    <n v="101"/>
    <s v="Résolu"/>
    <x v="10"/>
    <n v="3.0603760000000002"/>
    <n v="19.708034000000001"/>
    <x v="3"/>
    <s v="ZTE"/>
  </r>
  <r>
    <d v="2023-10-04T18:01:00"/>
    <s v="ANT-0302"/>
    <n v="64"/>
    <s v="En Cours"/>
    <x v="25"/>
    <n v="-4.6818410000000004"/>
    <n v="17.541618"/>
    <x v="0"/>
    <s v="Ericsson"/>
  </r>
  <r>
    <d v="2023-10-30T09:36:00"/>
    <s v="ANT-0227"/>
    <n v="77"/>
    <s v="Résolu"/>
    <x v="1"/>
    <s v="Non repertorié"/>
    <s v="Non repertorié"/>
    <x v="1"/>
    <s v="Non repertorié"/>
  </r>
  <r>
    <d v="2023-10-22T12:25:00"/>
    <s v="ANT-0415"/>
    <n v="83"/>
    <s v="En Cours"/>
    <x v="13"/>
    <n v="-2.9651529999999999"/>
    <n v="29.79908"/>
    <x v="0"/>
    <s v="Ericsson"/>
  </r>
  <r>
    <d v="2023-10-31T22:12:00"/>
    <s v="ANT-0709"/>
    <n v="90"/>
    <s v="Résolu"/>
    <x v="1"/>
    <s v="Non repertorié"/>
    <s v="Non repertorié"/>
    <x v="1"/>
    <s v="Non repertorié"/>
  </r>
  <r>
    <d v="2023-10-03T18:44:00"/>
    <s v="ANT-0250"/>
    <n v="53"/>
    <s v="En Cours"/>
    <x v="25"/>
    <n v="-2.3743210000000001"/>
    <n v="22.399491000000001"/>
    <x v="2"/>
    <s v="Ericsson"/>
  </r>
  <r>
    <d v="2023-10-27T20:15:00"/>
    <s v="ANT-0314"/>
    <n v="48"/>
    <s v="Résolu"/>
    <x v="1"/>
    <s v="Non repertorié"/>
    <s v="Non repertorié"/>
    <x v="1"/>
    <s v="Non repertorié"/>
  </r>
  <r>
    <d v="2023-10-04T22:49:00"/>
    <s v="ANT-0680"/>
    <n v="8"/>
    <s v="Non Résolu"/>
    <x v="15"/>
    <n v="-0.79406600000000005"/>
    <n v="12.534793000000001"/>
    <x v="3"/>
    <s v="Huawei"/>
  </r>
  <r>
    <d v="2023-10-10T21:38:00"/>
    <s v="ANT-0596"/>
    <n v="68"/>
    <s v="Non Résolu"/>
    <x v="8"/>
    <n v="-8.3241560000000003"/>
    <n v="19.543866000000001"/>
    <x v="0"/>
    <s v="ZTE"/>
  </r>
  <r>
    <d v="2023-10-26T03:50:00"/>
    <s v="ANT-0378"/>
    <n v="113"/>
    <s v="Résolu"/>
    <x v="1"/>
    <s v="Non repertorié"/>
    <s v="Non repertorié"/>
    <x v="1"/>
    <s v="Non repertorié"/>
  </r>
  <r>
    <d v="2023-10-19T01:22:00"/>
    <s v="ANT-0485"/>
    <n v="46"/>
    <s v="En Cours"/>
    <x v="1"/>
    <s v="Non repertorié"/>
    <s v="Non repertorié"/>
    <x v="1"/>
    <s v="Non repertorié"/>
  </r>
  <r>
    <d v="2023-10-18T13:42:00"/>
    <s v="ANT-0567"/>
    <n v="28"/>
    <s v="Résolu"/>
    <x v="1"/>
    <s v="Non repertorié"/>
    <s v="Non repertorié"/>
    <x v="1"/>
    <s v="Non repertorié"/>
  </r>
  <r>
    <d v="2023-10-12T02:32:00"/>
    <s v="ANT-0544"/>
    <n v="67"/>
    <s v="Résolu"/>
    <x v="1"/>
    <s v="Non repertorié"/>
    <s v="Non repertorié"/>
    <x v="1"/>
    <s v="Non repertorié"/>
  </r>
  <r>
    <d v="2023-10-21T10:00:00"/>
    <s v="ANT-0353"/>
    <n v="32"/>
    <s v="Non Résolu"/>
    <x v="21"/>
    <n v="-11.991020000000001"/>
    <n v="22.514747"/>
    <x v="2"/>
    <s v="ZTE"/>
  </r>
  <r>
    <d v="2023-10-28T13:52:00"/>
    <s v="ANT-0436"/>
    <n v="50"/>
    <s v="En Cours"/>
    <x v="10"/>
    <n v="-4.5603610000000003"/>
    <n v="24.113918999999999"/>
    <x v="2"/>
    <s v="ZTE"/>
  </r>
  <r>
    <d v="2023-10-16T03:27:00"/>
    <s v="ANT-0764"/>
    <n v="107"/>
    <s v="Non Résolu"/>
    <x v="1"/>
    <s v="Non repertorié"/>
    <s v="Non repertorié"/>
    <x v="1"/>
    <s v="Non repertorié"/>
  </r>
  <r>
    <d v="2023-10-31T11:40:00"/>
    <s v="ANT-0564"/>
    <n v="38"/>
    <s v="Résolu"/>
    <x v="9"/>
    <n v="-12.336202"/>
    <n v="13.693683999999999"/>
    <x v="2"/>
    <s v="Huawei"/>
  </r>
  <r>
    <d v="2023-10-29T14:45:00"/>
    <s v="ANT-0339"/>
    <n v="48"/>
    <s v="Non Résolu"/>
    <x v="20"/>
    <n v="-3.6945459999999999"/>
    <n v="16.809108999999999"/>
    <x v="2"/>
    <s v="ZTE"/>
  </r>
  <r>
    <d v="2023-10-16T14:21:00"/>
    <s v="ANT-0259"/>
    <n v="7"/>
    <s v="En Cours"/>
    <x v="1"/>
    <s v="Non repertorié"/>
    <s v="Non repertorié"/>
    <x v="1"/>
    <s v="Non repertorié"/>
  </r>
  <r>
    <d v="2023-10-06T01:16:00"/>
    <s v="ANT-0332"/>
    <n v="102"/>
    <s v="Non Résolu"/>
    <x v="11"/>
    <n v="-4.9789079999999997"/>
    <n v="28.506295000000001"/>
    <x v="0"/>
    <s v="Huawei"/>
  </r>
  <r>
    <d v="2023-10-31T15:07:00"/>
    <s v="ANT-0119"/>
    <n v="91"/>
    <s v="Résolu"/>
    <x v="1"/>
    <s v="Non repertorié"/>
    <s v="Non repertorié"/>
    <x v="1"/>
    <s v="Non repertorié"/>
  </r>
  <r>
    <d v="2023-10-27T02:25:00"/>
    <s v="ANT-0994"/>
    <n v="110"/>
    <s v="Non Résolu"/>
    <x v="5"/>
    <n v="-2.2681789999999999"/>
    <n v="25.699068"/>
    <x v="3"/>
    <s v="ZTE"/>
  </r>
  <r>
    <d v="2023-10-16T02:36:00"/>
    <s v="ANT-0792"/>
    <n v="39"/>
    <s v="En Cours"/>
    <x v="1"/>
    <s v="Non repertorié"/>
    <s v="Non repertorié"/>
    <x v="1"/>
    <s v="Non repertorié"/>
  </r>
  <r>
    <d v="2023-10-21T21:03:00"/>
    <s v="ANT-0414"/>
    <n v="78"/>
    <s v="Résolu"/>
    <x v="21"/>
    <n v="-7.5418399999999997"/>
    <n v="16.931206"/>
    <x v="3"/>
    <s v="Nokia"/>
  </r>
  <r>
    <d v="2023-10-05T04:51:00"/>
    <s v="ANT-0886"/>
    <n v="10"/>
    <s v="Résolu"/>
    <x v="1"/>
    <s v="Non repertorié"/>
    <s v="Non repertorié"/>
    <x v="1"/>
    <s v="Non repertorié"/>
  </r>
  <r>
    <d v="2023-10-19T09:05:00"/>
    <s v="ANT-0527"/>
    <n v="102"/>
    <s v="Résolu"/>
    <x v="3"/>
    <n v="-4.4451280000000004"/>
    <n v="16.536944999999999"/>
    <x v="0"/>
    <s v="Ericsson"/>
  </r>
  <r>
    <d v="2023-10-08T03:35:00"/>
    <s v="ANT-0845"/>
    <n v="101"/>
    <s v="En Cours"/>
    <x v="16"/>
    <n v="-10.872631999999999"/>
    <n v="12.773279"/>
    <x v="3"/>
    <s v="ZTE"/>
  </r>
  <r>
    <d v="2023-10-25T13:38:00"/>
    <s v="ANT-0002"/>
    <n v="27"/>
    <s v="Résolu"/>
    <x v="24"/>
    <n v="-10.442425"/>
    <n v="23.243632000000002"/>
    <x v="0"/>
    <s v="Nokia"/>
  </r>
  <r>
    <d v="2023-10-20T19:14:00"/>
    <s v="ANT-0674"/>
    <n v="65"/>
    <s v="Non Résolu"/>
    <x v="15"/>
    <n v="0.52897499999999997"/>
    <n v="13.849651"/>
    <x v="3"/>
    <s v="ZTE"/>
  </r>
  <r>
    <d v="2023-10-25T16:24:00"/>
    <s v="ANT-0891"/>
    <n v="71"/>
    <s v="Résolu"/>
    <x v="1"/>
    <s v="Non repertorié"/>
    <s v="Non repertorié"/>
    <x v="1"/>
    <s v="Non repertorié"/>
  </r>
  <r>
    <d v="2023-10-15T14:19:00"/>
    <s v="ANT-0556"/>
    <n v="88"/>
    <s v="En Cours"/>
    <x v="1"/>
    <s v="Non repertorié"/>
    <s v="Non repertorié"/>
    <x v="1"/>
    <s v="Non repertorié"/>
  </r>
  <r>
    <d v="2023-10-28T18:27:00"/>
    <s v="ANT-0474"/>
    <n v="61"/>
    <s v="Non Résolu"/>
    <x v="1"/>
    <s v="Non repertorié"/>
    <s v="Non repertorié"/>
    <x v="1"/>
    <s v="Non repertorié"/>
  </r>
  <r>
    <d v="2023-10-10T18:39:00"/>
    <s v="ANT-0424"/>
    <n v="40"/>
    <s v="En Cours"/>
    <x v="16"/>
    <n v="-9.5243310000000001"/>
    <n v="30.541212000000002"/>
    <x v="3"/>
    <s v="Ericsson"/>
  </r>
  <r>
    <d v="2023-10-02T19:47:00"/>
    <s v="ANT-0056"/>
    <n v="28"/>
    <s v="Non Résolu"/>
    <x v="24"/>
    <n v="-9.3652280000000001"/>
    <n v="18.674116000000001"/>
    <x v="0"/>
    <s v="Huawei"/>
  </r>
  <r>
    <d v="2023-10-04T06:40:00"/>
    <s v="ANT-0193"/>
    <n v="79"/>
    <s v="Non Résolu"/>
    <x v="1"/>
    <s v="Non repertorié"/>
    <s v="Non repertorié"/>
    <x v="1"/>
    <s v="Non repertorié"/>
  </r>
  <r>
    <d v="2023-10-07T08:42:00"/>
    <s v="ANT-0531"/>
    <n v="60"/>
    <s v="En Cours"/>
    <x v="25"/>
    <n v="-4.2645619999999997"/>
    <n v="18.960726000000001"/>
    <x v="0"/>
    <s v="Huawei"/>
  </r>
  <r>
    <d v="2023-10-03T05:15:00"/>
    <s v="ANT-0371"/>
    <n v="86"/>
    <s v="En Cours"/>
    <x v="26"/>
    <n v="-12.112682"/>
    <n v="19.972052000000001"/>
    <x v="0"/>
    <s v="Huawei"/>
  </r>
  <r>
    <d v="2023-10-06T17:04:00"/>
    <s v="ANT-0638"/>
    <n v="109"/>
    <s v="En Cours"/>
    <x v="1"/>
    <s v="Non repertorié"/>
    <s v="Non repertorié"/>
    <x v="1"/>
    <s v="Non repertorié"/>
  </r>
  <r>
    <d v="2023-10-06T00:26:00"/>
    <s v="ANT-0775"/>
    <n v="67"/>
    <s v="En Cours"/>
    <x v="20"/>
    <n v="1.5278670000000001"/>
    <n v="13.899388999999999"/>
    <x v="3"/>
    <s v="Huawei"/>
  </r>
  <r>
    <d v="2023-10-15T22:38:00"/>
    <s v="ANT-0511"/>
    <n v="16"/>
    <s v="Résolu"/>
    <x v="26"/>
    <n v="1.210869"/>
    <n v="25.598741"/>
    <x v="0"/>
    <s v="Ericsson"/>
  </r>
  <r>
    <d v="2023-10-16T09:02:00"/>
    <s v="ANT-0641"/>
    <n v="65"/>
    <s v="En Cours"/>
    <x v="5"/>
    <n v="-2.2371569999999998"/>
    <n v="25.926188"/>
    <x v="3"/>
    <s v="Nokia"/>
  </r>
  <r>
    <d v="2023-10-08T09:45:00"/>
    <s v="ANT-0453"/>
    <n v="49"/>
    <s v="Non Résolu"/>
    <x v="1"/>
    <s v="Non repertorié"/>
    <s v="Non repertorié"/>
    <x v="1"/>
    <s v="Non repertorié"/>
  </r>
  <r>
    <d v="2023-10-10T22:55:00"/>
    <s v="ANT-0779"/>
    <n v="57"/>
    <s v="Résolu"/>
    <x v="1"/>
    <s v="Non repertorié"/>
    <s v="Non repertorié"/>
    <x v="1"/>
    <s v="Non repertorié"/>
  </r>
  <r>
    <d v="2023-10-15T02:43:00"/>
    <s v="ANT-0053"/>
    <n v="47"/>
    <s v="En Cours"/>
    <x v="1"/>
    <s v="Non repertorié"/>
    <s v="Non repertorié"/>
    <x v="1"/>
    <s v="Non repertorié"/>
  </r>
  <r>
    <d v="2023-10-08T08:50:00"/>
    <s v="ANT-0209"/>
    <n v="46"/>
    <s v="Résolu"/>
    <x v="0"/>
    <n v="-10.481026999999999"/>
    <n v="18.160464000000001"/>
    <x v="2"/>
    <s v="Huawei"/>
  </r>
  <r>
    <d v="2023-10-26T20:37:00"/>
    <s v="ANT-0274"/>
    <n v="90"/>
    <s v="Non Résolu"/>
    <x v="1"/>
    <s v="Non repertorié"/>
    <s v="Non repertorié"/>
    <x v="1"/>
    <s v="Non repertorié"/>
  </r>
  <r>
    <d v="2023-10-22T06:27:00"/>
    <s v="ANT-0563"/>
    <n v="18"/>
    <s v="Non Résolu"/>
    <x v="9"/>
    <n v="-1.8555980000000001"/>
    <n v="30.421918000000002"/>
    <x v="3"/>
    <s v="ZTE"/>
  </r>
  <r>
    <d v="2023-10-04T17:14:00"/>
    <s v="ANT-0135"/>
    <n v="114"/>
    <s v="Non Résolu"/>
    <x v="1"/>
    <s v="Non repertorié"/>
    <s v="Non repertorié"/>
    <x v="1"/>
    <s v="Non repertorié"/>
  </r>
  <r>
    <d v="2023-10-21T04:58:00"/>
    <s v="ANT-0950"/>
    <n v="25"/>
    <s v="Résolu"/>
    <x v="14"/>
    <n v="3.3289240000000002"/>
    <n v="24.412261000000001"/>
    <x v="2"/>
    <s v="Nokia"/>
  </r>
  <r>
    <d v="2023-10-09T04:04:00"/>
    <s v="ANT-0295"/>
    <n v="47"/>
    <s v="Résolu"/>
    <x v="11"/>
    <n v="-4.351254"/>
    <n v="30.097408999999999"/>
    <x v="2"/>
    <s v="Nokia"/>
  </r>
  <r>
    <d v="2023-10-02T05:50:00"/>
    <s v="ANT-0449"/>
    <n v="57"/>
    <s v="En Cours"/>
    <x v="1"/>
    <s v="Non repertorié"/>
    <s v="Non repertorié"/>
    <x v="1"/>
    <s v="Non repertorié"/>
  </r>
  <r>
    <d v="2023-10-10T19:47:00"/>
    <s v="ANT-0902"/>
    <n v="93"/>
    <s v="En Cours"/>
    <x v="3"/>
    <n v="-10.414493"/>
    <n v="12.333356999999999"/>
    <x v="3"/>
    <s v="Ericsson"/>
  </r>
  <r>
    <d v="2023-10-27T18:58:00"/>
    <s v="ANT-0716"/>
    <n v="68"/>
    <s v="En Cours"/>
    <x v="14"/>
    <n v="-0.37665700000000002"/>
    <n v="25.154807999999999"/>
    <x v="3"/>
    <s v="Nokia"/>
  </r>
  <r>
    <d v="2023-10-10T14:07:00"/>
    <s v="ANT-0497"/>
    <n v="41"/>
    <s v="Non Résolu"/>
    <x v="1"/>
    <s v="Non repertorié"/>
    <s v="Non repertorié"/>
    <x v="1"/>
    <s v="Non repertorié"/>
  </r>
  <r>
    <d v="2023-10-15T22:19:00"/>
    <s v="ANT-0125"/>
    <n v="89"/>
    <s v="En Cours"/>
    <x v="1"/>
    <s v="Non repertorié"/>
    <s v="Non repertorié"/>
    <x v="1"/>
    <s v="Non repertorié"/>
  </r>
  <r>
    <d v="2023-10-23T12:17:00"/>
    <s v="ANT-0030"/>
    <n v="56"/>
    <s v="Résolu"/>
    <x v="1"/>
    <s v="Non repertorié"/>
    <s v="Non repertorié"/>
    <x v="1"/>
    <s v="Non repertorié"/>
  </r>
  <r>
    <d v="2023-10-17T17:31:00"/>
    <s v="ANT-0997"/>
    <n v="109"/>
    <s v="En Cours"/>
    <x v="23"/>
    <n v="0.639208"/>
    <n v="20.701739"/>
    <x v="0"/>
    <s v="Huawei"/>
  </r>
  <r>
    <d v="2023-10-15T02:38:00"/>
    <s v="ANT-0646"/>
    <n v="102"/>
    <s v="Non Résolu"/>
    <x v="1"/>
    <s v="Non repertorié"/>
    <s v="Non repertorié"/>
    <x v="1"/>
    <s v="Non repertorié"/>
  </r>
  <r>
    <d v="2023-10-02T13:47:00"/>
    <s v="ANT-0624"/>
    <n v="75"/>
    <s v="En Cours"/>
    <x v="7"/>
    <n v="0.172153"/>
    <n v="21.091376"/>
    <x v="3"/>
    <s v="Ericsson"/>
  </r>
  <r>
    <d v="2023-10-11T19:16:00"/>
    <s v="ANT-0819"/>
    <n v="9"/>
    <s v="Non Résolu"/>
    <x v="1"/>
    <s v="Non repertorié"/>
    <s v="Non repertorié"/>
    <x v="1"/>
    <s v="Non repertorié"/>
  </r>
  <r>
    <d v="2023-10-01T02:14:00"/>
    <s v="ANT-0246"/>
    <n v="63"/>
    <s v="Non Résolu"/>
    <x v="1"/>
    <s v="Non repertorié"/>
    <s v="Non repertorié"/>
    <x v="1"/>
    <s v="Non repertorié"/>
  </r>
  <r>
    <d v="2023-10-31T21:53:00"/>
    <s v="ANT-0727"/>
    <n v="16"/>
    <s v="Non Résolu"/>
    <x v="1"/>
    <s v="Non repertorié"/>
    <s v="Non repertorié"/>
    <x v="1"/>
    <s v="Non repertorié"/>
  </r>
  <r>
    <d v="2023-10-28T18:37:00"/>
    <s v="ANT-0163"/>
    <n v="45"/>
    <s v="En Cours"/>
    <x v="1"/>
    <s v="Non repertorié"/>
    <s v="Non repertorié"/>
    <x v="1"/>
    <s v="Non repertorié"/>
  </r>
  <r>
    <d v="2023-10-13T14:59:00"/>
    <s v="ANT-0739"/>
    <n v="113"/>
    <s v="En Cours"/>
    <x v="1"/>
    <s v="Non repertorié"/>
    <s v="Non repertorié"/>
    <x v="1"/>
    <s v="Non repertorié"/>
  </r>
  <r>
    <d v="2023-10-11T06:44:00"/>
    <s v="ANT-0786"/>
    <n v="43"/>
    <s v="Non Résolu"/>
    <x v="8"/>
    <n v="-12.342053999999999"/>
    <n v="18.756862000000002"/>
    <x v="3"/>
    <s v="Ericsson"/>
  </r>
  <r>
    <d v="2023-10-08T13:02:00"/>
    <s v="ANT-0698"/>
    <n v="54"/>
    <s v="Résolu"/>
    <x v="1"/>
    <s v="Non repertorié"/>
    <s v="Non repertorié"/>
    <x v="1"/>
    <s v="Non repertorié"/>
  </r>
  <r>
    <d v="2023-10-11T23:30:00"/>
    <s v="ANT-0859"/>
    <n v="114"/>
    <s v="En Cours"/>
    <x v="1"/>
    <s v="Non repertorié"/>
    <s v="Non repertorié"/>
    <x v="1"/>
    <s v="Non repertorié"/>
  </r>
  <r>
    <d v="2023-10-23T12:24:00"/>
    <s v="ANT-0141"/>
    <n v="66"/>
    <s v="Résolu"/>
    <x v="1"/>
    <s v="Non repertorié"/>
    <s v="Non repertorié"/>
    <x v="1"/>
    <s v="Non repertorié"/>
  </r>
  <r>
    <d v="2023-10-22T20:09:00"/>
    <s v="ANT-0644"/>
    <n v="18"/>
    <s v="Résolu"/>
    <x v="1"/>
    <s v="Non repertorié"/>
    <s v="Non repertorié"/>
    <x v="1"/>
    <s v="Non repertorié"/>
  </r>
  <r>
    <d v="2023-10-16T01:08:00"/>
    <s v="ANT-0100"/>
    <n v="35"/>
    <s v="Résolu"/>
    <x v="1"/>
    <s v="Non repertorié"/>
    <s v="Non repertorié"/>
    <x v="1"/>
    <s v="Non repertorié"/>
  </r>
  <r>
    <d v="2023-10-17T18:21:00"/>
    <s v="ANT-0926"/>
    <n v="53"/>
    <s v="Non Résolu"/>
    <x v="8"/>
    <n v="-10.914952"/>
    <n v="26.409648000000001"/>
    <x v="0"/>
    <s v="Huawei"/>
  </r>
  <r>
    <d v="2023-10-28T03:55:00"/>
    <s v="ANT-0643"/>
    <n v="78"/>
    <s v="Non Résolu"/>
    <x v="1"/>
    <s v="Non repertorié"/>
    <s v="Non repertorié"/>
    <x v="1"/>
    <s v="Non repertorié"/>
  </r>
  <r>
    <d v="2023-10-28T14:06:00"/>
    <s v="ANT-0662"/>
    <n v="50"/>
    <s v="Non Résolu"/>
    <x v="6"/>
    <n v="-1.342476"/>
    <n v="15.986086"/>
    <x v="0"/>
    <s v="Ericsson"/>
  </r>
  <r>
    <d v="2023-10-17T14:00:00"/>
    <s v="ANT-0041"/>
    <n v="78"/>
    <s v="En Cours"/>
    <x v="7"/>
    <n v="0.16841400000000001"/>
    <n v="30.029876999999999"/>
    <x v="2"/>
    <s v="Huawei"/>
  </r>
  <r>
    <d v="2023-10-24T04:26:00"/>
    <s v="ANT-0317"/>
    <n v="42"/>
    <s v="Non Résolu"/>
    <x v="1"/>
    <s v="Non repertorié"/>
    <s v="Non repertorié"/>
    <x v="1"/>
    <s v="Non repertorié"/>
  </r>
  <r>
    <d v="2023-10-28T20:09:00"/>
    <s v="ANT-0808"/>
    <n v="94"/>
    <s v="En Cours"/>
    <x v="1"/>
    <s v="Non repertorié"/>
    <s v="Non repertorié"/>
    <x v="1"/>
    <s v="Non repertorié"/>
  </r>
  <r>
    <d v="2023-10-03T15:50:00"/>
    <s v="ANT-0452"/>
    <n v="42"/>
    <s v="Résolu"/>
    <x v="1"/>
    <s v="Non repertorié"/>
    <s v="Non repertorié"/>
    <x v="1"/>
    <s v="Non repertorié"/>
  </r>
  <r>
    <d v="2023-10-09T10:39:00"/>
    <s v="ANT-0035"/>
    <n v="7"/>
    <s v="En Cours"/>
    <x v="26"/>
    <n v="-6.3324319999999998"/>
    <n v="24.887858000000001"/>
    <x v="0"/>
    <s v="ZTE"/>
  </r>
  <r>
    <d v="2023-10-23T12:41:00"/>
    <s v="ANT-0594"/>
    <n v="111"/>
    <s v="Résolu"/>
    <x v="1"/>
    <s v="Non repertorié"/>
    <s v="Non repertorié"/>
    <x v="1"/>
    <s v="Non repertorié"/>
  </r>
  <r>
    <d v="2023-10-03T10:54:00"/>
    <s v="ANT-0374"/>
    <n v="89"/>
    <s v="En Cours"/>
    <x v="1"/>
    <s v="Non repertorié"/>
    <s v="Non repertorié"/>
    <x v="1"/>
    <s v="Non repertorié"/>
  </r>
  <r>
    <d v="2023-10-22T17:24:00"/>
    <s v="ANT-0750"/>
    <n v="55"/>
    <s v="Non Résolu"/>
    <x v="23"/>
    <n v="-1.3976519999999999"/>
    <n v="14.098819000000001"/>
    <x v="3"/>
    <s v="Ericsson"/>
  </r>
  <r>
    <d v="2023-10-31T10:40:00"/>
    <s v="ANT-0135"/>
    <n v="40"/>
    <s v="Résolu"/>
    <x v="1"/>
    <s v="Non repertorié"/>
    <s v="Non repertorié"/>
    <x v="1"/>
    <s v="Non repertorié"/>
  </r>
  <r>
    <d v="2023-10-23T15:55:00"/>
    <s v="ANT-0093"/>
    <n v="6"/>
    <s v="En Cours"/>
    <x v="2"/>
    <n v="2.975352"/>
    <n v="22.535886000000001"/>
    <x v="0"/>
    <s v="Huawei"/>
  </r>
  <r>
    <d v="2023-10-18T01:39:00"/>
    <s v="ANT-0932"/>
    <n v="77"/>
    <s v="En Cours"/>
    <x v="1"/>
    <s v="Non repertorié"/>
    <s v="Non repertorié"/>
    <x v="1"/>
    <s v="Non repertorié"/>
  </r>
  <r>
    <d v="2023-10-03T07:40:00"/>
    <s v="ANT-0303"/>
    <n v="115"/>
    <s v="Non Résolu"/>
    <x v="1"/>
    <s v="Non repertorié"/>
    <s v="Non repertorié"/>
    <x v="1"/>
    <s v="Non repertorié"/>
  </r>
  <r>
    <d v="2023-10-22T09:14:00"/>
    <s v="ANT-0335"/>
    <n v="92"/>
    <s v="Non Résolu"/>
    <x v="1"/>
    <s v="Non repertorié"/>
    <s v="Non repertorié"/>
    <x v="1"/>
    <s v="Non repertorié"/>
  </r>
  <r>
    <d v="2023-10-24T02:27:00"/>
    <s v="ANT-0766"/>
    <n v="104"/>
    <s v="Non Résolu"/>
    <x v="1"/>
    <s v="Non repertorié"/>
    <s v="Non repertorié"/>
    <x v="1"/>
    <s v="Non repertorié"/>
  </r>
  <r>
    <d v="2023-10-04T20:45:00"/>
    <s v="ANT-0426"/>
    <n v="100"/>
    <s v="En Cours"/>
    <x v="1"/>
    <s v="Non repertorié"/>
    <s v="Non repertorié"/>
    <x v="1"/>
    <s v="Non repertorié"/>
  </r>
  <r>
    <d v="2023-10-28T03:28:00"/>
    <s v="ANT-0180"/>
    <n v="11"/>
    <s v="Non Résolu"/>
    <x v="10"/>
    <n v="2.4425979999999998"/>
    <n v="24.924308"/>
    <x v="2"/>
    <s v="Ericsson"/>
  </r>
  <r>
    <d v="2023-10-06T22:19:00"/>
    <s v="ANT-0206"/>
    <n v="82"/>
    <s v="En Cours"/>
    <x v="16"/>
    <n v="4.0157999999999996"/>
    <n v="21.430246"/>
    <x v="2"/>
    <s v="Nokia"/>
  </r>
  <r>
    <d v="2023-10-29T00:02:00"/>
    <s v="ANT-0136"/>
    <n v="100"/>
    <s v="Non Résolu"/>
    <x v="13"/>
    <n v="-9.3900009999999998"/>
    <n v="30.001517"/>
    <x v="3"/>
    <s v="Nokia"/>
  </r>
  <r>
    <d v="2023-10-11T01:18:00"/>
    <s v="ANT-0806"/>
    <n v="68"/>
    <s v="En Cours"/>
    <x v="1"/>
    <s v="Non repertorié"/>
    <s v="Non repertorié"/>
    <x v="1"/>
    <s v="Non repertorié"/>
  </r>
  <r>
    <d v="2023-10-12T11:27:00"/>
    <s v="ANT-0553"/>
    <n v="111"/>
    <s v="Résolu"/>
    <x v="9"/>
    <n v="4.6287159999999998"/>
    <n v="19.407077999999998"/>
    <x v="0"/>
    <s v="Ericsson"/>
  </r>
  <r>
    <d v="2023-10-05T07:33:00"/>
    <s v="ANT-0898"/>
    <n v="120"/>
    <s v="Non Résolu"/>
    <x v="1"/>
    <s v="Non repertorié"/>
    <s v="Non repertorié"/>
    <x v="1"/>
    <s v="Non repertorié"/>
  </r>
  <r>
    <d v="2023-10-14T18:43:00"/>
    <s v="ANT-0995"/>
    <n v="120"/>
    <s v="Résolu"/>
    <x v="17"/>
    <n v="-7.5969509999999998"/>
    <n v="22.153986"/>
    <x v="3"/>
    <s v="Ericsson"/>
  </r>
  <r>
    <d v="2023-10-26T05:10:00"/>
    <s v="ANT-0375"/>
    <n v="41"/>
    <s v="En Cours"/>
    <x v="24"/>
    <n v="-4.9552579999999997"/>
    <n v="22.008103999999999"/>
    <x v="0"/>
    <s v="Huawei"/>
  </r>
  <r>
    <d v="2023-10-06T02:39:00"/>
    <s v="ANT-0544"/>
    <n v="104"/>
    <s v="Résolu"/>
    <x v="1"/>
    <s v="Non repertorié"/>
    <s v="Non repertorié"/>
    <x v="1"/>
    <s v="Non repertorié"/>
  </r>
  <r>
    <d v="2023-10-28T12:39:00"/>
    <s v="ANT-0514"/>
    <n v="107"/>
    <s v="Non Résolu"/>
    <x v="0"/>
    <n v="-1.50664"/>
    <n v="27.795642000000001"/>
    <x v="2"/>
    <s v="ZTE"/>
  </r>
  <r>
    <d v="2023-10-22T07:31:00"/>
    <s v="ANT-0936"/>
    <n v="34"/>
    <s v="Non Résolu"/>
    <x v="11"/>
    <n v="-10.165072"/>
    <n v="29.428024000000001"/>
    <x v="2"/>
    <s v="Huawei"/>
  </r>
  <r>
    <d v="2023-10-30T18:09:00"/>
    <s v="ANT-0280"/>
    <n v="82"/>
    <s v="En Cours"/>
    <x v="1"/>
    <s v="Non repertorié"/>
    <s v="Non repertorié"/>
    <x v="1"/>
    <s v="Non repertorié"/>
  </r>
  <r>
    <d v="2023-10-08T14:40:00"/>
    <s v="ANT-0851"/>
    <n v="107"/>
    <s v="Non Résolu"/>
    <x v="1"/>
    <s v="Non repertorié"/>
    <s v="Non repertorié"/>
    <x v="1"/>
    <s v="Non repertorié"/>
  </r>
  <r>
    <d v="2023-10-09T14:16:00"/>
    <s v="ANT-0169"/>
    <n v="50"/>
    <s v="Résolu"/>
    <x v="1"/>
    <s v="Non repertorié"/>
    <s v="Non repertorié"/>
    <x v="1"/>
    <s v="Non repertorié"/>
  </r>
  <r>
    <d v="2023-10-22T00:57:00"/>
    <s v="ANT-0264"/>
    <n v="33"/>
    <s v="Non Résolu"/>
    <x v="21"/>
    <n v="0.48965500000000001"/>
    <n v="26.176860000000001"/>
    <x v="0"/>
    <s v="Huawei"/>
  </r>
  <r>
    <d v="2023-10-26T14:57:00"/>
    <s v="ANT-0936"/>
    <n v="86"/>
    <s v="Résolu"/>
    <x v="11"/>
    <n v="-10.165072"/>
    <n v="29.428024000000001"/>
    <x v="2"/>
    <s v="Huawei"/>
  </r>
  <r>
    <d v="2023-10-10T21:34:00"/>
    <s v="ANT-0845"/>
    <n v="29"/>
    <s v="Non Résolu"/>
    <x v="16"/>
    <n v="-10.872631999999999"/>
    <n v="12.773279"/>
    <x v="3"/>
    <s v="ZTE"/>
  </r>
  <r>
    <d v="2023-10-06T02:28:00"/>
    <s v="ANT-0967"/>
    <n v="84"/>
    <s v="En Cours"/>
    <x v="1"/>
    <s v="Non repertorié"/>
    <s v="Non repertorié"/>
    <x v="1"/>
    <s v="Non repertorié"/>
  </r>
  <r>
    <d v="2023-10-31T11:37:00"/>
    <s v="ANT-0494"/>
    <n v="37"/>
    <s v="Non Résolu"/>
    <x v="2"/>
    <n v="-12.564277000000001"/>
    <n v="28.480798"/>
    <x v="2"/>
    <s v="ZTE"/>
  </r>
  <r>
    <d v="2023-10-10T20:27:00"/>
    <s v="ANT-0991"/>
    <n v="91"/>
    <s v="En Cours"/>
    <x v="4"/>
    <n v="-12.431227"/>
    <n v="18.414290999999999"/>
    <x v="2"/>
    <s v="Huawei"/>
  </r>
  <r>
    <d v="2023-10-23T08:29:00"/>
    <s v="ANT-0826"/>
    <n v="101"/>
    <s v="Non Résolu"/>
    <x v="9"/>
    <n v="-10.846306999999999"/>
    <n v="19.201827999999999"/>
    <x v="0"/>
    <s v="Ericsson"/>
  </r>
  <r>
    <d v="2023-10-08T17:08:00"/>
    <s v="ANT-0111"/>
    <n v="99"/>
    <s v="Non Résolu"/>
    <x v="1"/>
    <s v="Non repertorié"/>
    <s v="Non repertorié"/>
    <x v="1"/>
    <s v="Non repertorié"/>
  </r>
  <r>
    <d v="2023-10-13T14:23:00"/>
    <s v="ANT-0503"/>
    <n v="58"/>
    <s v="Non Résolu"/>
    <x v="22"/>
    <n v="-1.8045979999999999"/>
    <n v="12.511096999999999"/>
    <x v="3"/>
    <s v="Huawei"/>
  </r>
  <r>
    <d v="2023-10-22T23:44:00"/>
    <s v="ANT-0730"/>
    <n v="72"/>
    <s v="Non Résolu"/>
    <x v="1"/>
    <s v="Non repertorié"/>
    <s v="Non repertorié"/>
    <x v="1"/>
    <s v="Non repertorié"/>
  </r>
  <r>
    <d v="2023-10-31T17:26:00"/>
    <s v="ANT-0932"/>
    <n v="19"/>
    <s v="Non Résolu"/>
    <x v="1"/>
    <s v="Non repertorié"/>
    <s v="Non repertorié"/>
    <x v="1"/>
    <s v="Non repertorié"/>
  </r>
  <r>
    <d v="2023-10-19T23:46:00"/>
    <s v="ANT-0455"/>
    <n v="100"/>
    <s v="Résolu"/>
    <x v="1"/>
    <s v="Non repertorié"/>
    <s v="Non repertorié"/>
    <x v="1"/>
    <s v="Non repertorié"/>
  </r>
  <r>
    <d v="2023-10-05T13:41:00"/>
    <s v="ANT-0076"/>
    <n v="13"/>
    <s v="En Cours"/>
    <x v="1"/>
    <s v="Non repertorié"/>
    <s v="Non repertorié"/>
    <x v="1"/>
    <s v="Non repertorié"/>
  </r>
  <r>
    <d v="2023-10-04T15:39:00"/>
    <s v="ANT-0921"/>
    <n v="65"/>
    <s v="En Cours"/>
    <x v="7"/>
    <n v="2.016505"/>
    <n v="14.294164"/>
    <x v="2"/>
    <s v="Huawei"/>
  </r>
  <r>
    <d v="2023-10-14T08:02:00"/>
    <s v="ANT-0083"/>
    <n v="62"/>
    <s v="Résolu"/>
    <x v="1"/>
    <s v="Non repertorié"/>
    <s v="Non repertorié"/>
    <x v="1"/>
    <s v="Non repertorié"/>
  </r>
  <r>
    <d v="2023-10-23T11:13:00"/>
    <s v="ANT-0330"/>
    <n v="104"/>
    <s v="En Cours"/>
    <x v="1"/>
    <s v="Non repertorié"/>
    <s v="Non repertorié"/>
    <x v="1"/>
    <s v="Non repertorié"/>
  </r>
  <r>
    <d v="2023-10-15T14:15:00"/>
    <s v="ANT-0623"/>
    <n v="51"/>
    <s v="En Cours"/>
    <x v="1"/>
    <s v="Non repertorié"/>
    <s v="Non repertorié"/>
    <x v="1"/>
    <s v="Non repertorié"/>
  </r>
  <r>
    <d v="2023-10-28T11:06:00"/>
    <s v="ANT-0152"/>
    <n v="70"/>
    <s v="En Cours"/>
    <x v="1"/>
    <s v="Non repertorié"/>
    <s v="Non repertorié"/>
    <x v="1"/>
    <s v="Non repertorié"/>
  </r>
  <r>
    <d v="2023-10-22T11:34:00"/>
    <s v="ANT-0068"/>
    <n v="80"/>
    <s v="En Cours"/>
    <x v="1"/>
    <s v="Non repertorié"/>
    <s v="Non repertorié"/>
    <x v="1"/>
    <s v="Non repertorié"/>
  </r>
  <r>
    <d v="2023-10-29T20:22:00"/>
    <s v="ANT-0130"/>
    <n v="18"/>
    <s v="En Cours"/>
    <x v="1"/>
    <s v="Non repertorié"/>
    <s v="Non repertorié"/>
    <x v="1"/>
    <s v="Non repertorié"/>
  </r>
  <r>
    <d v="2023-10-02T12:17:00"/>
    <s v="ANT-0282"/>
    <n v="62"/>
    <s v="Non Résolu"/>
    <x v="9"/>
    <n v="-10.25074"/>
    <n v="26.099086"/>
    <x v="0"/>
    <s v="Huawei"/>
  </r>
  <r>
    <d v="2023-10-07T03:54:00"/>
    <s v="ANT-0640"/>
    <n v="69"/>
    <s v="Résolu"/>
    <x v="1"/>
    <s v="Non repertorié"/>
    <s v="Non repertorié"/>
    <x v="1"/>
    <s v="Non repertorié"/>
  </r>
  <r>
    <d v="2023-10-27T14:05:00"/>
    <s v="ANT-0649"/>
    <n v="33"/>
    <s v="En Cours"/>
    <x v="6"/>
    <n v="-7.7839049999999999"/>
    <n v="14.114281999999999"/>
    <x v="3"/>
    <s v="ZTE"/>
  </r>
  <r>
    <d v="2023-10-22T06:41:00"/>
    <s v="ANT-0600"/>
    <n v="83"/>
    <s v="En Cours"/>
    <x v="15"/>
    <n v="-12.292039000000001"/>
    <n v="27.538202999999999"/>
    <x v="3"/>
    <s v="Huawei"/>
  </r>
  <r>
    <d v="2023-10-21T19:01:00"/>
    <s v="ANT-0562"/>
    <n v="10"/>
    <s v="En Cours"/>
    <x v="1"/>
    <s v="Non repertorié"/>
    <s v="Non repertorié"/>
    <x v="1"/>
    <s v="Non repertorié"/>
  </r>
  <r>
    <d v="2023-10-02T10:15:00"/>
    <s v="ANT-0730"/>
    <n v="98"/>
    <s v="Non Résolu"/>
    <x v="1"/>
    <s v="Non repertorié"/>
    <s v="Non repertorié"/>
    <x v="1"/>
    <s v="Non repertorié"/>
  </r>
  <r>
    <d v="2023-10-05T18:13:00"/>
    <s v="ANT-0333"/>
    <n v="105"/>
    <s v="En Cours"/>
    <x v="1"/>
    <s v="Non repertorié"/>
    <s v="Non repertorié"/>
    <x v="1"/>
    <s v="Non repertorié"/>
  </r>
  <r>
    <d v="2023-10-03T17:13:00"/>
    <s v="ANT-0391"/>
    <n v="115"/>
    <s v="En Cours"/>
    <x v="0"/>
    <n v="-1.5936220000000001"/>
    <n v="14.928856"/>
    <x v="2"/>
    <s v="Ericsson"/>
  </r>
  <r>
    <d v="2023-10-19T06:52:00"/>
    <s v="ANT-0612"/>
    <n v="89"/>
    <s v="Résolu"/>
    <x v="4"/>
    <n v="-7.5129409999999996"/>
    <n v="18.701522000000001"/>
    <x v="0"/>
    <s v="Nokia"/>
  </r>
  <r>
    <d v="2023-10-28T07:21:00"/>
    <s v="ANT-0544"/>
    <n v="71"/>
    <s v="Non Résolu"/>
    <x v="1"/>
    <s v="Non repertorié"/>
    <s v="Non repertorié"/>
    <x v="1"/>
    <s v="Non repertorié"/>
  </r>
  <r>
    <d v="2023-10-25T04:50:00"/>
    <s v="ANT-0302"/>
    <n v="43"/>
    <s v="En Cours"/>
    <x v="25"/>
    <n v="-4.6818410000000004"/>
    <n v="17.541618"/>
    <x v="0"/>
    <s v="Ericsson"/>
  </r>
  <r>
    <d v="2023-10-29T19:00:00"/>
    <s v="ANT-0465"/>
    <n v="63"/>
    <s v="Résolu"/>
    <x v="0"/>
    <n v="-11.144149000000001"/>
    <n v="27.244658999999999"/>
    <x v="0"/>
    <s v="Nokia"/>
  </r>
  <r>
    <d v="2023-10-09T04:08:00"/>
    <s v="ANT-0518"/>
    <n v="87"/>
    <s v="Résolu"/>
    <x v="1"/>
    <s v="Non repertorié"/>
    <s v="Non repertorié"/>
    <x v="1"/>
    <s v="Non repertorié"/>
  </r>
  <r>
    <d v="2023-10-18T08:51:00"/>
    <s v="ANT-0620"/>
    <n v="8"/>
    <s v="Résolu"/>
    <x v="9"/>
    <n v="-4.1754939999999996"/>
    <n v="16.704664999999999"/>
    <x v="3"/>
    <s v="Ericsson"/>
  </r>
  <r>
    <d v="2023-10-06T03:42:00"/>
    <s v="ANT-0441"/>
    <n v="12"/>
    <s v="Résolu"/>
    <x v="13"/>
    <n v="-5.2526849999999996"/>
    <n v="12.374528"/>
    <x v="3"/>
    <s v="Nokia"/>
  </r>
  <r>
    <d v="2023-10-28T00:08:00"/>
    <s v="ANT-0102"/>
    <n v="66"/>
    <s v="En Cours"/>
    <x v="1"/>
    <s v="Non repertorié"/>
    <s v="Non repertorié"/>
    <x v="1"/>
    <s v="Non repertorié"/>
  </r>
  <r>
    <d v="2023-10-01T11:50:00"/>
    <s v="ANT-0813"/>
    <n v="113"/>
    <s v="Résolu"/>
    <x v="13"/>
    <n v="-1.5419050000000001"/>
    <n v="14.730632999999999"/>
    <x v="3"/>
    <s v="ZTE"/>
  </r>
  <r>
    <d v="2023-10-26T07:37:00"/>
    <s v="ANT-0719"/>
    <n v="56"/>
    <s v="Non Résolu"/>
    <x v="6"/>
    <n v="-7.9987219999999999"/>
    <n v="12.779335"/>
    <x v="2"/>
    <s v="Nokia"/>
  </r>
  <r>
    <d v="2023-10-11T00:11:00"/>
    <s v="ANT-0118"/>
    <n v="59"/>
    <s v="Non Résolu"/>
    <x v="1"/>
    <s v="Non repertorié"/>
    <s v="Non repertorié"/>
    <x v="1"/>
    <s v="Non repertorié"/>
  </r>
  <r>
    <d v="2023-10-09T01:08:00"/>
    <s v="ANT-0874"/>
    <n v="92"/>
    <s v="En Cours"/>
    <x v="1"/>
    <s v="Non repertorié"/>
    <s v="Non repertorié"/>
    <x v="1"/>
    <s v="Non repertorié"/>
  </r>
  <r>
    <d v="2023-10-22T03:26:00"/>
    <s v="ANT-0727"/>
    <n v="43"/>
    <s v="Résolu"/>
    <x v="1"/>
    <s v="Non repertorié"/>
    <s v="Non repertorié"/>
    <x v="1"/>
    <s v="Non repertorié"/>
  </r>
  <r>
    <d v="2023-10-12T21:48:00"/>
    <s v="ANT-0656"/>
    <n v="32"/>
    <s v="Non Résolu"/>
    <x v="1"/>
    <s v="Non repertorié"/>
    <s v="Non repertorié"/>
    <x v="1"/>
    <s v="Non repertorié"/>
  </r>
  <r>
    <d v="2023-10-14T23:03:00"/>
    <s v="ANT-0428"/>
    <n v="103"/>
    <s v="Non Résolu"/>
    <x v="1"/>
    <s v="Non repertorié"/>
    <s v="Non repertorié"/>
    <x v="1"/>
    <s v="Non repertorié"/>
  </r>
  <r>
    <d v="2023-10-10T11:06:00"/>
    <s v="ANT-0118"/>
    <n v="102"/>
    <s v="En Cours"/>
    <x v="1"/>
    <s v="Non repertorié"/>
    <s v="Non repertorié"/>
    <x v="1"/>
    <s v="Non repertorié"/>
  </r>
  <r>
    <d v="2023-10-19T16:13:00"/>
    <s v="ANT-0415"/>
    <n v="37"/>
    <s v="En Cours"/>
    <x v="13"/>
    <n v="-2.9651529999999999"/>
    <n v="29.79908"/>
    <x v="0"/>
    <s v="Ericsson"/>
  </r>
  <r>
    <d v="2023-10-05T21:30:00"/>
    <s v="ANT-0022"/>
    <n v="42"/>
    <s v="Non Résolu"/>
    <x v="1"/>
    <s v="Non repertorié"/>
    <s v="Non repertorié"/>
    <x v="1"/>
    <s v="Non repertorié"/>
  </r>
  <r>
    <d v="2023-10-08T03:22:00"/>
    <s v="ANT-0990"/>
    <n v="46"/>
    <s v="Non Résolu"/>
    <x v="2"/>
    <n v="-12.112399999999999"/>
    <n v="15.872226"/>
    <x v="0"/>
    <s v="Nokia"/>
  </r>
  <r>
    <d v="2023-10-28T17:23:00"/>
    <s v="ANT-0333"/>
    <n v="20"/>
    <s v="Résolu"/>
    <x v="1"/>
    <s v="Non repertorié"/>
    <s v="Non repertorié"/>
    <x v="1"/>
    <s v="Non repertorié"/>
  </r>
  <r>
    <d v="2023-10-04T08:36:00"/>
    <s v="ANT-0176"/>
    <n v="5"/>
    <s v="Résolu"/>
    <x v="1"/>
    <s v="Non repertorié"/>
    <s v="Non repertorié"/>
    <x v="1"/>
    <s v="Non repertorié"/>
  </r>
  <r>
    <d v="2023-10-08T13:54:00"/>
    <s v="ANT-0821"/>
    <n v="68"/>
    <s v="Résolu"/>
    <x v="18"/>
    <n v="-3.7720639999999999"/>
    <n v="16.006277999999998"/>
    <x v="2"/>
    <s v="ZTE"/>
  </r>
  <r>
    <d v="2023-10-18T19:39:00"/>
    <s v="ANT-0971"/>
    <n v="100"/>
    <s v="Résolu"/>
    <x v="1"/>
    <s v="Non repertorié"/>
    <s v="Non repertorié"/>
    <x v="1"/>
    <s v="Non repertorié"/>
  </r>
  <r>
    <d v="2023-10-22T20:35:00"/>
    <s v="ANT-0633"/>
    <n v="60"/>
    <s v="En Cours"/>
    <x v="1"/>
    <s v="Non repertorié"/>
    <s v="Non repertorié"/>
    <x v="1"/>
    <s v="Non repertorié"/>
  </r>
  <r>
    <d v="2023-10-01T19:59:00"/>
    <s v="ANT-0472"/>
    <n v="27"/>
    <s v="Résolu"/>
    <x v="13"/>
    <n v="1.2419519999999999"/>
    <n v="25.261382999999999"/>
    <x v="0"/>
    <s v="Huawei"/>
  </r>
  <r>
    <d v="2023-10-22T22:17:00"/>
    <s v="ANT-0852"/>
    <n v="21"/>
    <s v="Résolu"/>
    <x v="13"/>
    <n v="4.2493650000000001"/>
    <n v="28.355039999999999"/>
    <x v="3"/>
    <s v="ZTE"/>
  </r>
  <r>
    <d v="2023-10-01T05:17:00"/>
    <s v="ANT-0707"/>
    <n v="53"/>
    <s v="Non Résolu"/>
    <x v="1"/>
    <s v="Non repertorié"/>
    <s v="Non repertorié"/>
    <x v="1"/>
    <s v="Non repertorié"/>
  </r>
  <r>
    <d v="2023-10-23T09:58:00"/>
    <s v="ANT-0942"/>
    <n v="73"/>
    <s v="Résolu"/>
    <x v="6"/>
    <n v="-4.8128659999999996"/>
    <n v="18.559304999999998"/>
    <x v="2"/>
    <s v="ZTE"/>
  </r>
  <r>
    <d v="2023-10-11T11:00:00"/>
    <s v="ANT-0371"/>
    <n v="95"/>
    <s v="Non Résolu"/>
    <x v="26"/>
    <n v="-12.112682"/>
    <n v="19.972052000000001"/>
    <x v="0"/>
    <s v="Huawei"/>
  </r>
  <r>
    <d v="2023-10-06T04:36:00"/>
    <s v="ANT-0091"/>
    <n v="34"/>
    <s v="Résolu"/>
    <x v="17"/>
    <n v="-4.7886769999999999"/>
    <n v="23.600221999999999"/>
    <x v="3"/>
    <s v="ZTE"/>
  </r>
  <r>
    <d v="2023-10-22T12:04:00"/>
    <s v="ANT-0448"/>
    <n v="69"/>
    <s v="Résolu"/>
    <x v="1"/>
    <s v="Non repertorié"/>
    <s v="Non repertorié"/>
    <x v="1"/>
    <s v="Non repertorié"/>
  </r>
  <r>
    <d v="2023-10-05T23:40:00"/>
    <s v="ANT-0865"/>
    <n v="76"/>
    <s v="Non Résolu"/>
    <x v="22"/>
    <n v="-4.869434"/>
    <n v="22.326522000000001"/>
    <x v="2"/>
    <s v="Ericsson"/>
  </r>
  <r>
    <d v="2023-10-01T02:47:00"/>
    <s v="ANT-0109"/>
    <n v="111"/>
    <s v="En Cours"/>
    <x v="1"/>
    <s v="Non repertorié"/>
    <s v="Non repertorié"/>
    <x v="1"/>
    <s v="Non repertorié"/>
  </r>
  <r>
    <d v="2023-10-17T06:24:00"/>
    <s v="ANT-0250"/>
    <n v="90"/>
    <s v="En Cours"/>
    <x v="25"/>
    <n v="-2.3743210000000001"/>
    <n v="22.399491000000001"/>
    <x v="2"/>
    <s v="Ericsson"/>
  </r>
  <r>
    <d v="2023-10-14T14:21:00"/>
    <s v="ANT-0447"/>
    <n v="108"/>
    <s v="Non Résolu"/>
    <x v="1"/>
    <s v="Non repertorié"/>
    <s v="Non repertorié"/>
    <x v="1"/>
    <s v="Non repertorié"/>
  </r>
  <r>
    <d v="2023-10-06T11:19:00"/>
    <s v="ANT-0604"/>
    <n v="50"/>
    <s v="Non Résolu"/>
    <x v="26"/>
    <n v="2.628638"/>
    <n v="28.420582"/>
    <x v="0"/>
    <s v="Huawei"/>
  </r>
  <r>
    <d v="2023-10-24T10:49:00"/>
    <s v="ANT-0411"/>
    <n v="14"/>
    <s v="En Cours"/>
    <x v="15"/>
    <n v="-2.571777"/>
    <n v="12.120642"/>
    <x v="3"/>
    <s v="Huawei"/>
  </r>
  <r>
    <d v="2023-10-31T18:38:00"/>
    <s v="ANT-0537"/>
    <n v="55"/>
    <s v="Non Résolu"/>
    <x v="1"/>
    <s v="Non repertorié"/>
    <s v="Non repertorié"/>
    <x v="1"/>
    <s v="Non repertorié"/>
  </r>
  <r>
    <d v="2023-10-03T01:09:00"/>
    <s v="ANT-0081"/>
    <n v="115"/>
    <s v="Non Résolu"/>
    <x v="15"/>
    <n v="-10.577049000000001"/>
    <n v="23.721854"/>
    <x v="0"/>
    <s v="ZTE"/>
  </r>
  <r>
    <d v="2023-10-06T19:03:00"/>
    <s v="ANT-0406"/>
    <n v="99"/>
    <s v="Non Résolu"/>
    <x v="1"/>
    <s v="Non repertorié"/>
    <s v="Non repertorié"/>
    <x v="1"/>
    <s v="Non repertorié"/>
  </r>
  <r>
    <d v="2023-10-22T02:17:00"/>
    <s v="ANT-0892"/>
    <n v="10"/>
    <s v="Non Résolu"/>
    <x v="1"/>
    <s v="Non repertorié"/>
    <s v="Non repertorié"/>
    <x v="1"/>
    <s v="Non repertorié"/>
  </r>
  <r>
    <d v="2023-10-15T21:27:00"/>
    <s v="ANT-0318"/>
    <n v="60"/>
    <s v="Non Résolu"/>
    <x v="1"/>
    <s v="Non repertorié"/>
    <s v="Non repertorié"/>
    <x v="1"/>
    <s v="Non repertorié"/>
  </r>
  <r>
    <d v="2023-10-16T19:28:00"/>
    <s v="ANT-0764"/>
    <n v="7"/>
    <s v="En Cours"/>
    <x v="1"/>
    <s v="Non repertorié"/>
    <s v="Non repertorié"/>
    <x v="1"/>
    <s v="Non repertorié"/>
  </r>
  <r>
    <d v="2023-10-14T08:13:00"/>
    <s v="ANT-0348"/>
    <n v="63"/>
    <s v="Non Résolu"/>
    <x v="13"/>
    <n v="0.31740800000000002"/>
    <n v="27.197666999999999"/>
    <x v="2"/>
    <s v="Nokia"/>
  </r>
  <r>
    <d v="2023-10-25T16:07:00"/>
    <s v="ANT-0227"/>
    <n v="14"/>
    <s v="En Cours"/>
    <x v="1"/>
    <s v="Non repertorié"/>
    <s v="Non repertorié"/>
    <x v="1"/>
    <s v="Non repertorié"/>
  </r>
  <r>
    <d v="2023-10-12T13:07:00"/>
    <s v="ANT-0342"/>
    <n v="115"/>
    <s v="Résolu"/>
    <x v="1"/>
    <s v="Non repertorié"/>
    <s v="Non repertorié"/>
    <x v="1"/>
    <s v="Non repertorié"/>
  </r>
  <r>
    <d v="2023-10-10T21:43:00"/>
    <s v="ANT-0798"/>
    <n v="45"/>
    <s v="En Cours"/>
    <x v="1"/>
    <s v="Non repertorié"/>
    <s v="Non repertorié"/>
    <x v="1"/>
    <s v="Non repertorié"/>
  </r>
  <r>
    <d v="2023-10-19T15:33:00"/>
    <s v="ANT-0173"/>
    <n v="78"/>
    <s v="Résolu"/>
    <x v="1"/>
    <s v="Non repertorié"/>
    <s v="Non repertorié"/>
    <x v="1"/>
    <s v="Non repertorié"/>
  </r>
  <r>
    <d v="2023-10-22T09:02:00"/>
    <s v="ANT-0079"/>
    <n v="59"/>
    <s v="En Cours"/>
    <x v="25"/>
    <n v="-8.4824669999999998"/>
    <n v="21.897777999999999"/>
    <x v="2"/>
    <s v="Ericsson"/>
  </r>
  <r>
    <d v="2023-10-08T12:38:00"/>
    <s v="ANT-0523"/>
    <n v="78"/>
    <s v="En Cours"/>
    <x v="7"/>
    <n v="-9.4229749999999992"/>
    <n v="29.375005999999999"/>
    <x v="3"/>
    <s v="Ericsson"/>
  </r>
  <r>
    <d v="2023-10-02T00:13:00"/>
    <s v="ANT-0649"/>
    <n v="56"/>
    <s v="Non Résolu"/>
    <x v="6"/>
    <n v="-7.7839049999999999"/>
    <n v="14.114281999999999"/>
    <x v="3"/>
    <s v="ZTE"/>
  </r>
  <r>
    <d v="2023-10-02T01:23:00"/>
    <s v="ANT-0989"/>
    <n v="103"/>
    <s v="Résolu"/>
    <x v="7"/>
    <n v="-11.594525000000001"/>
    <n v="29.744895"/>
    <x v="3"/>
    <s v="ZTE"/>
  </r>
  <r>
    <d v="2023-10-27T09:04:00"/>
    <s v="ANT-0829"/>
    <n v="74"/>
    <s v="En Cours"/>
    <x v="19"/>
    <n v="4.6809229999999999"/>
    <n v="28.934242000000001"/>
    <x v="2"/>
    <s v="Nokia"/>
  </r>
  <r>
    <d v="2023-10-21T02:39:00"/>
    <s v="ANT-0804"/>
    <n v="111"/>
    <s v="En Cours"/>
    <x v="18"/>
    <n v="-4.1250960000000001"/>
    <n v="27.799897999999999"/>
    <x v="3"/>
    <s v="Nokia"/>
  </r>
  <r>
    <d v="2023-10-20T16:24:00"/>
    <s v="ANT-0481"/>
    <n v="99"/>
    <s v="Non Résolu"/>
    <x v="2"/>
    <n v="-9.5840350000000001"/>
    <n v="15.966024000000001"/>
    <x v="2"/>
    <s v="Nokia"/>
  </r>
  <r>
    <d v="2023-10-15T18:35:00"/>
    <s v="ANT-0926"/>
    <n v="118"/>
    <s v="Résolu"/>
    <x v="8"/>
    <n v="-10.914952"/>
    <n v="26.409648000000001"/>
    <x v="0"/>
    <s v="Huawei"/>
  </r>
  <r>
    <d v="2023-10-31T23:57:00"/>
    <s v="ANT-0856"/>
    <n v="72"/>
    <s v="En Cours"/>
    <x v="18"/>
    <n v="-1.9120569999999999"/>
    <n v="15.236072999999999"/>
    <x v="2"/>
    <s v="Huawei"/>
  </r>
  <r>
    <d v="2023-10-02T14:58:00"/>
    <s v="ANT-0199"/>
    <n v="9"/>
    <s v="Résolu"/>
    <x v="1"/>
    <s v="Non repertorié"/>
    <s v="Non repertorié"/>
    <x v="1"/>
    <s v="Non repertorié"/>
  </r>
  <r>
    <d v="2023-10-26T18:41:00"/>
    <s v="ANT-0377"/>
    <n v="89"/>
    <s v="Résolu"/>
    <x v="1"/>
    <s v="Non repertorié"/>
    <s v="Non repertorié"/>
    <x v="1"/>
    <s v="Non repertorié"/>
  </r>
  <r>
    <d v="2023-10-07T10:38:00"/>
    <s v="ANT-0695"/>
    <n v="48"/>
    <s v="En Cours"/>
    <x v="26"/>
    <n v="0.16327700000000001"/>
    <n v="14.871577"/>
    <x v="0"/>
    <s v="Huawei"/>
  </r>
  <r>
    <d v="2023-10-16T16:09:00"/>
    <s v="ANT-0970"/>
    <n v="117"/>
    <s v="En Cours"/>
    <x v="9"/>
    <n v="-11.866133"/>
    <n v="27.068932"/>
    <x v="3"/>
    <s v="Huawei"/>
  </r>
  <r>
    <d v="2023-10-31T01:28:00"/>
    <s v="ANT-0585"/>
    <n v="103"/>
    <s v="Résolu"/>
    <x v="1"/>
    <s v="Non repertorié"/>
    <s v="Non repertorié"/>
    <x v="1"/>
    <s v="Non repertorié"/>
  </r>
  <r>
    <d v="2023-10-04T10:45:00"/>
    <s v="ANT-0452"/>
    <n v="84"/>
    <s v="En Cours"/>
    <x v="1"/>
    <s v="Non repertorié"/>
    <s v="Non repertorié"/>
    <x v="1"/>
    <s v="Non repertorié"/>
  </r>
  <r>
    <d v="2023-10-03T16:41:00"/>
    <s v="ANT-0473"/>
    <n v="21"/>
    <s v="Résolu"/>
    <x v="1"/>
    <s v="Non repertorié"/>
    <s v="Non repertorié"/>
    <x v="1"/>
    <s v="Non repertorié"/>
  </r>
  <r>
    <d v="2023-10-06T01:15:00"/>
    <s v="ANT-0788"/>
    <n v="81"/>
    <s v="En Cours"/>
    <x v="11"/>
    <n v="1.5802860000000001"/>
    <n v="20.99053"/>
    <x v="0"/>
    <s v="ZTE"/>
  </r>
  <r>
    <d v="2023-10-23T14:28:00"/>
    <s v="ANT-0289"/>
    <n v="53"/>
    <s v="Non Résolu"/>
    <x v="1"/>
    <s v="Non repertorié"/>
    <s v="Non repertorié"/>
    <x v="1"/>
    <s v="Non repertorié"/>
  </r>
  <r>
    <d v="2023-10-17T16:39:00"/>
    <s v="ANT-0797"/>
    <n v="24"/>
    <s v="En Cours"/>
    <x v="22"/>
    <n v="-12.100756000000001"/>
    <n v="21.938649999999999"/>
    <x v="0"/>
    <s v="Huawei"/>
  </r>
  <r>
    <d v="2023-10-06T11:23:00"/>
    <s v="ANT-0392"/>
    <n v="25"/>
    <s v="Résolu"/>
    <x v="22"/>
    <n v="-1.013558"/>
    <n v="17.346937"/>
    <x v="2"/>
    <s v="Huawei"/>
  </r>
  <r>
    <d v="2023-10-30T09:24:00"/>
    <s v="ANT-0515"/>
    <n v="28"/>
    <s v="En Cours"/>
    <x v="16"/>
    <n v="-10.967288"/>
    <n v="17.617781000000001"/>
    <x v="0"/>
    <s v="Ericsson"/>
  </r>
  <r>
    <d v="2023-10-14T10:43:00"/>
    <s v="ANT-0541"/>
    <n v="111"/>
    <s v="Résolu"/>
    <x v="1"/>
    <s v="Non repertorié"/>
    <s v="Non repertorié"/>
    <x v="1"/>
    <s v="Non repertorié"/>
  </r>
  <r>
    <d v="2023-10-20T01:50:00"/>
    <s v="ANT-0429"/>
    <n v="93"/>
    <s v="En Cours"/>
    <x v="1"/>
    <s v="Non repertorié"/>
    <s v="Non repertorié"/>
    <x v="1"/>
    <s v="Non repertorié"/>
  </r>
  <r>
    <d v="2023-10-21T20:21:00"/>
    <s v="ANT-0990"/>
    <n v="103"/>
    <s v="Résolu"/>
    <x v="2"/>
    <n v="-12.112399999999999"/>
    <n v="15.872226"/>
    <x v="0"/>
    <s v="Nokia"/>
  </r>
  <r>
    <d v="2023-10-03T10:06:00"/>
    <s v="ANT-0166"/>
    <n v="84"/>
    <s v="Résolu"/>
    <x v="8"/>
    <n v="-10.56448"/>
    <n v="19.792876"/>
    <x v="2"/>
    <s v="Ericsson"/>
  </r>
  <r>
    <d v="2023-10-18T21:24:00"/>
    <s v="ANT-0837"/>
    <n v="108"/>
    <s v="En Cours"/>
    <x v="19"/>
    <n v="-5.3762689999999997"/>
    <n v="28.189575999999999"/>
    <x v="2"/>
    <s v="Huawei"/>
  </r>
  <r>
    <d v="2023-10-10T08:46:00"/>
    <s v="ANT-0205"/>
    <n v="120"/>
    <s v="Résolu"/>
    <x v="17"/>
    <n v="-1.4110389999999999"/>
    <n v="21.261644"/>
    <x v="0"/>
    <s v="ZTE"/>
  </r>
  <r>
    <d v="2023-10-28T21:58:00"/>
    <s v="ANT-0821"/>
    <n v="26"/>
    <s v="Non Résolu"/>
    <x v="18"/>
    <n v="-3.7720639999999999"/>
    <n v="16.006277999999998"/>
    <x v="2"/>
    <s v="ZTE"/>
  </r>
  <r>
    <d v="2023-10-20T04:21:00"/>
    <s v="ANT-0620"/>
    <n v="97"/>
    <s v="Non Résolu"/>
    <x v="9"/>
    <n v="-4.1754939999999996"/>
    <n v="16.704664999999999"/>
    <x v="3"/>
    <s v="Ericsson"/>
  </r>
  <r>
    <d v="2023-10-03T18:42:00"/>
    <s v="ANT-0142"/>
    <n v="61"/>
    <s v="En Cours"/>
    <x v="0"/>
    <n v="-12.229338"/>
    <n v="29.587834999999998"/>
    <x v="0"/>
    <s v="Nokia"/>
  </r>
  <r>
    <d v="2023-10-05T11:19:00"/>
    <s v="ANT-0894"/>
    <n v="10"/>
    <s v="Résolu"/>
    <x v="9"/>
    <n v="4.9455159999999996"/>
    <n v="23.647746000000001"/>
    <x v="2"/>
    <s v="Huawei"/>
  </r>
  <r>
    <d v="2023-10-31T20:44:00"/>
    <s v="ANT-0257"/>
    <n v="57"/>
    <s v="Résolu"/>
    <x v="13"/>
    <n v="-4.1694589999999998"/>
    <n v="23.376487000000001"/>
    <x v="3"/>
    <s v="Nokia"/>
  </r>
  <r>
    <d v="2023-10-22T12:08:00"/>
    <s v="ANT-0054"/>
    <n v="51"/>
    <s v="Résolu"/>
    <x v="19"/>
    <n v="-1.231033"/>
    <n v="28.851388"/>
    <x v="3"/>
    <s v="Ericsson"/>
  </r>
  <r>
    <d v="2023-10-20T22:05:00"/>
    <s v="ANT-0657"/>
    <n v="91"/>
    <s v="En Cours"/>
    <x v="1"/>
    <s v="Non repertorié"/>
    <s v="Non repertorié"/>
    <x v="1"/>
    <s v="Non repertorié"/>
  </r>
  <r>
    <d v="2023-10-10T17:24:00"/>
    <s v="ANT-0493"/>
    <n v="97"/>
    <s v="En Cours"/>
    <x v="1"/>
    <s v="Non repertorié"/>
    <s v="Non repertorié"/>
    <x v="1"/>
    <s v="Non repertorié"/>
  </r>
  <r>
    <d v="2023-10-21T10:52:00"/>
    <s v="ANT-0896"/>
    <n v="35"/>
    <s v="Non Résolu"/>
    <x v="1"/>
    <s v="Non repertorié"/>
    <s v="Non repertorié"/>
    <x v="1"/>
    <s v="Non repertorié"/>
  </r>
  <r>
    <d v="2023-10-05T21:44:00"/>
    <s v="ANT-0381"/>
    <n v="61"/>
    <s v="Résolu"/>
    <x v="20"/>
    <n v="4.497306"/>
    <n v="12.857251"/>
    <x v="2"/>
    <s v="Ericsson"/>
  </r>
  <r>
    <d v="2023-10-27T23:43:00"/>
    <s v="ANT-0568"/>
    <n v="83"/>
    <s v="Non Résolu"/>
    <x v="1"/>
    <s v="Non repertorié"/>
    <s v="Non repertorié"/>
    <x v="1"/>
    <s v="Non repertorié"/>
  </r>
  <r>
    <d v="2023-10-30T16:05:00"/>
    <s v="ANT-0957"/>
    <n v="41"/>
    <s v="En Cours"/>
    <x v="26"/>
    <n v="-7.1785899999999998"/>
    <n v="24.4404"/>
    <x v="0"/>
    <s v="Nokia"/>
  </r>
  <r>
    <d v="2023-10-21T21:27:00"/>
    <s v="ANT-0106"/>
    <n v="101"/>
    <s v="En Cours"/>
    <x v="20"/>
    <n v="-2.2876210000000001"/>
    <n v="27.582545"/>
    <x v="0"/>
    <s v="Huawei"/>
  </r>
  <r>
    <d v="2023-10-17T11:01:00"/>
    <s v="ANT-0729"/>
    <n v="100"/>
    <s v="Non Résolu"/>
    <x v="1"/>
    <s v="Non repertorié"/>
    <s v="Non repertorié"/>
    <x v="1"/>
    <s v="Non repertorié"/>
  </r>
  <r>
    <d v="2023-10-12T09:11:00"/>
    <s v="ANT-0867"/>
    <n v="105"/>
    <s v="Résolu"/>
    <x v="1"/>
    <s v="Non repertorié"/>
    <s v="Non repertorié"/>
    <x v="1"/>
    <s v="Non repertorié"/>
  </r>
  <r>
    <d v="2023-10-31T06:21:00"/>
    <s v="ANT-0529"/>
    <n v="62"/>
    <s v="Résolu"/>
    <x v="19"/>
    <n v="3.6344850000000002"/>
    <n v="12.158348999999999"/>
    <x v="2"/>
    <s v="Ericsson"/>
  </r>
  <r>
    <d v="2023-10-31T15:12:00"/>
    <s v="ANT-0872"/>
    <n v="34"/>
    <s v="Résolu"/>
    <x v="23"/>
    <n v="2.486888"/>
    <n v="23.798074"/>
    <x v="2"/>
    <s v="ZTE"/>
  </r>
  <r>
    <d v="2023-10-08T04:09:00"/>
    <s v="ANT-0128"/>
    <n v="73"/>
    <s v="En Cours"/>
    <x v="1"/>
    <s v="Non repertorié"/>
    <s v="Non repertorié"/>
    <x v="1"/>
    <s v="Non repertorié"/>
  </r>
  <r>
    <d v="2023-10-03T09:54:00"/>
    <s v="ANT-0292"/>
    <n v="35"/>
    <s v="Résolu"/>
    <x v="20"/>
    <n v="-6.4197189999999997"/>
    <n v="22.287264"/>
    <x v="3"/>
    <s v="Ericsson"/>
  </r>
  <r>
    <d v="2023-10-26T03:32:00"/>
    <s v="ANT-0086"/>
    <n v="44"/>
    <s v="Résolu"/>
    <x v="13"/>
    <n v="4.2904629999999999"/>
    <n v="26.354195000000001"/>
    <x v="3"/>
    <s v="Ericsson"/>
  </r>
  <r>
    <d v="2023-10-08T09:07:00"/>
    <s v="ANT-0455"/>
    <n v="118"/>
    <s v="En Cours"/>
    <x v="1"/>
    <s v="Non repertorié"/>
    <s v="Non repertorié"/>
    <x v="1"/>
    <s v="Non repertorié"/>
  </r>
  <r>
    <d v="2023-10-02T07:26:00"/>
    <s v="ANT-0360"/>
    <n v="56"/>
    <s v="En Cours"/>
    <x v="1"/>
    <s v="Non repertorié"/>
    <s v="Non repertorié"/>
    <x v="1"/>
    <s v="Non repertorié"/>
  </r>
  <r>
    <d v="2023-10-21T19:29:00"/>
    <s v="ANT-0458"/>
    <n v="100"/>
    <s v="En Cours"/>
    <x v="12"/>
    <n v="-0.98830399999999996"/>
    <n v="28.099966999999999"/>
    <x v="3"/>
    <s v="Huawei"/>
  </r>
  <r>
    <d v="2023-10-03T03:53:00"/>
    <s v="ANT-0044"/>
    <n v="61"/>
    <s v="Non Résolu"/>
    <x v="9"/>
    <n v="-6.5529849999999996"/>
    <n v="21.990606"/>
    <x v="3"/>
    <s v="Huawei"/>
  </r>
  <r>
    <d v="2023-10-29T15:38:00"/>
    <s v="ant-0745"/>
    <n v="119"/>
    <s v="Résolu"/>
    <x v="13"/>
    <n v="2.453036"/>
    <n v="20.555484"/>
    <x v="2"/>
    <s v="Ericsson"/>
  </r>
  <r>
    <d v="2023-10-18T00:40:00"/>
    <s v="ANT-0891"/>
    <n v="54"/>
    <s v="Non Résolu"/>
    <x v="1"/>
    <s v="Non repertorié"/>
    <s v="Non repertorié"/>
    <x v="1"/>
    <s v="Non repertorié"/>
  </r>
  <r>
    <d v="2023-10-17T18:15:00"/>
    <s v="ANT-0934"/>
    <n v="48"/>
    <s v="Résolu"/>
    <x v="18"/>
    <n v="-11.002602"/>
    <n v="23.918247999999998"/>
    <x v="2"/>
    <s v="ZTE"/>
  </r>
  <r>
    <d v="2023-10-23T04:18:00"/>
    <s v="ANT-0362"/>
    <n v="28"/>
    <s v="Non Résolu"/>
    <x v="21"/>
    <n v="-0.90854400000000002"/>
    <n v="17.154896999999998"/>
    <x v="3"/>
    <s v="Huawei"/>
  </r>
  <r>
    <d v="2023-10-14T00:39:00"/>
    <s v="ANT-0630"/>
    <n v="68"/>
    <s v="En Cours"/>
    <x v="4"/>
    <n v="-8.1210620000000002"/>
    <n v="21.094390000000001"/>
    <x v="2"/>
    <s v="ZTE"/>
  </r>
  <r>
    <d v="2023-10-12T07:36:00"/>
    <s v="ANT-0446"/>
    <n v="93"/>
    <s v="En Cours"/>
    <x v="16"/>
    <n v="1.286548"/>
    <n v="29.823702999999998"/>
    <x v="0"/>
    <s v="ZTE"/>
  </r>
  <r>
    <d v="2023-10-14T05:42:00"/>
    <s v="ANT-0282"/>
    <n v="68"/>
    <s v="En Cours"/>
    <x v="9"/>
    <n v="-10.25074"/>
    <n v="26.099086"/>
    <x v="0"/>
    <s v="Huawei"/>
  </r>
  <r>
    <d v="2023-10-22T02:33:00"/>
    <s v="ANT-0655"/>
    <n v="52"/>
    <s v="En Cours"/>
    <x v="1"/>
    <s v="Non repertorié"/>
    <s v="Non repertorié"/>
    <x v="1"/>
    <s v="Non repertorié"/>
  </r>
  <r>
    <d v="2023-10-12T02:33:00"/>
    <s v="ANT-0811"/>
    <n v="107"/>
    <s v="Résolu"/>
    <x v="11"/>
    <n v="-5.125"/>
    <n v="23.513119"/>
    <x v="2"/>
    <s v="Huawei"/>
  </r>
  <r>
    <d v="2023-10-18T16:50:00"/>
    <s v="ANT-0971"/>
    <n v="71"/>
    <s v="Non Résolu"/>
    <x v="1"/>
    <s v="Non repertorié"/>
    <s v="Non repertorié"/>
    <x v="1"/>
    <s v="Non repertorié"/>
  </r>
  <r>
    <d v="2023-10-17T17:01:00"/>
    <s v="ANT-0059"/>
    <n v="39"/>
    <s v="Résolu"/>
    <x v="18"/>
    <n v="-0.34051900000000002"/>
    <n v="17.079799000000001"/>
    <x v="2"/>
    <s v="Ericsson"/>
  </r>
  <r>
    <d v="2023-10-13T15:02:00"/>
    <s v="ANT-0077"/>
    <n v="107"/>
    <s v="Non Résolu"/>
    <x v="1"/>
    <s v="Non repertorié"/>
    <s v="Non repertorié"/>
    <x v="1"/>
    <s v="Non repertorié"/>
  </r>
  <r>
    <d v="2023-10-21T12:23:00"/>
    <s v="ANT-0688"/>
    <n v="15"/>
    <s v="En Cours"/>
    <x v="1"/>
    <s v="Non repertorié"/>
    <s v="Non repertorié"/>
    <x v="1"/>
    <s v="Non repertorié"/>
  </r>
  <r>
    <d v="2023-10-09T23:01:00"/>
    <s v="ANT-0653"/>
    <n v="98"/>
    <s v="En Cours"/>
    <x v="9"/>
    <n v="0.82868600000000003"/>
    <n v="26.958843999999999"/>
    <x v="2"/>
    <s v="ZTE"/>
  </r>
  <r>
    <d v="2023-10-12T02:22:00"/>
    <s v="ANT-0416"/>
    <n v="59"/>
    <s v="En Cours"/>
    <x v="8"/>
    <n v="-11.387295999999999"/>
    <n v="19.384257999999999"/>
    <x v="3"/>
    <s v="Huawei"/>
  </r>
  <r>
    <d v="2023-10-08T23:42:00"/>
    <s v="ANT-0373"/>
    <n v="15"/>
    <s v="Non Résolu"/>
    <x v="4"/>
    <n v="-9.0798120000000004"/>
    <n v="14.945484"/>
    <x v="2"/>
    <s v="Ericsson"/>
  </r>
  <r>
    <d v="2023-10-21T03:49:00"/>
    <s v="ANT-0526"/>
    <n v="60"/>
    <s v="En Cours"/>
    <x v="10"/>
    <n v="-9.4133639999999996"/>
    <n v="15.682482"/>
    <x v="0"/>
    <s v="Huawei"/>
  </r>
  <r>
    <d v="2023-10-19T23:48:00"/>
    <s v="ANT-0821"/>
    <n v="82"/>
    <s v="Résolu"/>
    <x v="18"/>
    <n v="-3.7720639999999999"/>
    <n v="16.006277999999998"/>
    <x v="2"/>
    <s v="ZTE"/>
  </r>
  <r>
    <d v="2023-10-11T04:02:00"/>
    <s v="ANT-0768"/>
    <n v="110"/>
    <s v="Résolu"/>
    <x v="0"/>
    <n v="-9.9565739999999998"/>
    <n v="21.017202000000001"/>
    <x v="0"/>
    <s v="Huawei"/>
  </r>
  <r>
    <d v="2023-10-12T17:21:00"/>
    <s v="ANT-0696"/>
    <n v="28"/>
    <s v="Résolu"/>
    <x v="22"/>
    <n v="-6.9624990000000002"/>
    <n v="20.759834999999999"/>
    <x v="0"/>
    <s v="Huawei"/>
  </r>
  <r>
    <d v="2023-10-27T20:11:00"/>
    <s v="ANT-0164"/>
    <n v="74"/>
    <s v="Non Résolu"/>
    <x v="21"/>
    <n v="-11.389362"/>
    <n v="22.240174"/>
    <x v="2"/>
    <s v="ZTE"/>
  </r>
  <r>
    <d v="2023-10-27T21:29:00"/>
    <s v="ANT-0976"/>
    <n v="42"/>
    <s v="Résolu"/>
    <x v="1"/>
    <s v="Non repertorié"/>
    <s v="Non repertorié"/>
    <x v="1"/>
    <s v="Non repertorié"/>
  </r>
  <r>
    <d v="2023-10-23T15:40:00"/>
    <s v="ANT-0032"/>
    <n v="46"/>
    <s v="En Cours"/>
    <x v="5"/>
    <n v="-11.266565999999999"/>
    <n v="26.245055000000001"/>
    <x v="3"/>
    <s v="Ericsson"/>
  </r>
  <r>
    <d v="2023-10-06T04:04:00"/>
    <s v="ANT-0147"/>
    <n v="18"/>
    <s v="Non Résolu"/>
    <x v="11"/>
    <n v="4.8689660000000003"/>
    <n v="25.112373000000002"/>
    <x v="3"/>
    <s v="Huawei"/>
  </r>
  <r>
    <d v="2023-10-23T14:02:00"/>
    <s v="ANT-0870"/>
    <n v="15"/>
    <s v="En Cours"/>
    <x v="14"/>
    <n v="-9.1215879999999991"/>
    <n v="16.457916999999998"/>
    <x v="0"/>
    <s v="Nokia"/>
  </r>
  <r>
    <d v="2023-10-10T06:02:00"/>
    <s v="ANT-0623"/>
    <n v="46"/>
    <s v="Non Résolu"/>
    <x v="1"/>
    <s v="Non repertorié"/>
    <s v="Non repertorié"/>
    <x v="1"/>
    <s v="Non repertorié"/>
  </r>
  <r>
    <d v="2023-10-26T06:56:00"/>
    <s v="ANT-0695"/>
    <n v="89"/>
    <s v="Résolu"/>
    <x v="26"/>
    <n v="0.16327700000000001"/>
    <n v="14.871577"/>
    <x v="0"/>
    <s v="Huawei"/>
  </r>
  <r>
    <d v="2023-10-02T10:59:00"/>
    <s v="ANT-0801"/>
    <n v="42"/>
    <s v="En Cours"/>
    <x v="1"/>
    <s v="Non repertorié"/>
    <s v="Non repertorié"/>
    <x v="1"/>
    <s v="Non repertorié"/>
  </r>
  <r>
    <d v="2023-10-10T16:25:00"/>
    <s v="ANT-0449"/>
    <n v="44"/>
    <s v="En Cours"/>
    <x v="1"/>
    <s v="Non repertorié"/>
    <s v="Non repertorié"/>
    <x v="1"/>
    <s v="Non repertorié"/>
  </r>
  <r>
    <d v="2023-10-27T17:30:00"/>
    <s v="ANT-0036"/>
    <n v="62"/>
    <s v="Non Résolu"/>
    <x v="1"/>
    <s v="Non repertorié"/>
    <s v="Non repertorié"/>
    <x v="1"/>
    <s v="Non repertorié"/>
  </r>
  <r>
    <d v="2023-10-09T01:48:00"/>
    <s v="ANT-0130"/>
    <n v="82"/>
    <s v="En Cours"/>
    <x v="1"/>
    <s v="Non repertorié"/>
    <s v="Non repertorié"/>
    <x v="1"/>
    <s v="Non repertorié"/>
  </r>
  <r>
    <d v="2023-10-21T06:18:00"/>
    <s v="ANT-0069"/>
    <n v="96"/>
    <s v="Résolu"/>
    <x v="1"/>
    <s v="Non repertorié"/>
    <s v="Non repertorié"/>
    <x v="1"/>
    <s v="Non repertorié"/>
  </r>
  <r>
    <d v="2023-10-12T01:55:00"/>
    <s v="ANT-0242"/>
    <n v="59"/>
    <s v="Non Résolu"/>
    <x v="1"/>
    <s v="Non repertorié"/>
    <s v="Non repertorié"/>
    <x v="1"/>
    <s v="Non repertorié"/>
  </r>
  <r>
    <d v="2023-10-21T10:17:00"/>
    <s v="ANT-0798"/>
    <n v="26"/>
    <s v="En Cours"/>
    <x v="1"/>
    <s v="Non repertorié"/>
    <s v="Non repertorié"/>
    <x v="1"/>
    <s v="Non repertorié"/>
  </r>
  <r>
    <d v="2023-10-04T11:27:00"/>
    <s v="ANT-0661"/>
    <n v="93"/>
    <s v="Non Résolu"/>
    <x v="1"/>
    <s v="Non repertorié"/>
    <s v="Non repertorié"/>
    <x v="1"/>
    <s v="Non repertorié"/>
  </r>
  <r>
    <d v="2023-10-03T21:54:00"/>
    <s v="ANT-0126"/>
    <n v="68"/>
    <s v="En Cours"/>
    <x v="1"/>
    <s v="Non repertorié"/>
    <s v="Non repertorié"/>
    <x v="1"/>
    <s v="Non repertorié"/>
  </r>
  <r>
    <d v="2023-10-11T21:22:00"/>
    <s v="ANT-0274"/>
    <n v="118"/>
    <s v="Résolu"/>
    <x v="1"/>
    <s v="Non repertorié"/>
    <s v="Non repertorié"/>
    <x v="1"/>
    <s v="Non repertorié"/>
  </r>
  <r>
    <d v="2023-10-23T02:35:00"/>
    <s v="ANT-0461"/>
    <n v="85"/>
    <s v="Résolu"/>
    <x v="1"/>
    <s v="Non repertorié"/>
    <s v="Non repertorié"/>
    <x v="1"/>
    <s v="Non repertorié"/>
  </r>
  <r>
    <d v="2023-10-18T09:57:00"/>
    <s v="ANT-0254"/>
    <n v="74"/>
    <s v="En Cours"/>
    <x v="1"/>
    <s v="Non repertorié"/>
    <s v="Non repertorié"/>
    <x v="1"/>
    <s v="Non repertorié"/>
  </r>
  <r>
    <d v="2023-10-10T05:45:00"/>
    <s v="ANT-0145"/>
    <n v="42"/>
    <s v="En Cours"/>
    <x v="1"/>
    <s v="Non repertorié"/>
    <s v="Non repertorié"/>
    <x v="1"/>
    <s v="Non repertorié"/>
  </r>
  <r>
    <d v="2023-10-23T22:40:00"/>
    <s v="ANT-0100"/>
    <n v="87"/>
    <s v="Non Résolu"/>
    <x v="1"/>
    <s v="Non repertorié"/>
    <s v="Non repertorié"/>
    <x v="1"/>
    <s v="Non repertorié"/>
  </r>
  <r>
    <d v="2023-10-06T11:32:00"/>
    <s v="ANT-0052"/>
    <n v="43"/>
    <s v="Non Résolu"/>
    <x v="1"/>
    <s v="Non repertorié"/>
    <s v="Non repertorié"/>
    <x v="1"/>
    <s v="Non repertorié"/>
  </r>
  <r>
    <d v="2023-10-08T03:12:00"/>
    <s v="ANT-0298"/>
    <n v="66"/>
    <s v="Non Résolu"/>
    <x v="23"/>
    <n v="-5.4073029999999997"/>
    <n v="29.762294000000001"/>
    <x v="3"/>
    <s v="Ericsson"/>
  </r>
  <r>
    <d v="2023-10-26T04:15:00"/>
    <s v="ANT-0969"/>
    <n v="36"/>
    <s v="En Cours"/>
    <x v="1"/>
    <s v="Non repertorié"/>
    <s v="Non repertorié"/>
    <x v="1"/>
    <s v="Non repertorié"/>
  </r>
  <r>
    <d v="2023-10-26T15:01:00"/>
    <s v="ANT-0394"/>
    <n v="108"/>
    <s v="En Cours"/>
    <x v="8"/>
    <n v="-10.611184"/>
    <n v="23.022268"/>
    <x v="2"/>
    <s v="ZTE"/>
  </r>
  <r>
    <d v="2023-10-12T17:36:00"/>
    <s v="ANT-0885"/>
    <n v="108"/>
    <s v="Non Résolu"/>
    <x v="1"/>
    <s v="Non repertorié"/>
    <s v="Non repertorié"/>
    <x v="1"/>
    <s v="Non repertorié"/>
  </r>
  <r>
    <d v="2023-10-12T14:51:00"/>
    <s v="ANT-0631"/>
    <n v="92"/>
    <s v="Résolu"/>
    <x v="10"/>
    <n v="-0.85624699999999998"/>
    <n v="28.624870000000001"/>
    <x v="3"/>
    <s v="Ericsson"/>
  </r>
  <r>
    <d v="2023-10-18T04:39:00"/>
    <s v="ANT-0429"/>
    <n v="56"/>
    <s v="Résolu"/>
    <x v="1"/>
    <s v="Non repertorié"/>
    <s v="Non repertorié"/>
    <x v="1"/>
    <s v="Non repertorié"/>
  </r>
  <r>
    <d v="2023-10-29T02:04:00"/>
    <s v="ANT-0255"/>
    <n v="43"/>
    <s v="En Cours"/>
    <x v="17"/>
    <n v="-6.4883290000000002"/>
    <n v="25.103404000000001"/>
    <x v="2"/>
    <s v="ZTE"/>
  </r>
  <r>
    <d v="2023-10-10T12:45:00"/>
    <s v="ANT-0986"/>
    <n v="63"/>
    <s v="Résolu"/>
    <x v="25"/>
    <n v="1.727095"/>
    <n v="22.099651999999999"/>
    <x v="0"/>
    <s v="Huawei"/>
  </r>
  <r>
    <d v="2023-10-24T15:33:00"/>
    <s v="ANT-0887"/>
    <n v="14"/>
    <s v="En Cours"/>
    <x v="1"/>
    <s v="Non repertorié"/>
    <s v="Non repertorié"/>
    <x v="1"/>
    <s v="Non repertorié"/>
  </r>
  <r>
    <d v="2023-10-14T13:52:00"/>
    <s v="ANT-0924"/>
    <n v="93"/>
    <s v="Non Résolu"/>
    <x v="1"/>
    <s v="Non repertorié"/>
    <s v="Non repertorié"/>
    <x v="1"/>
    <s v="Non repertorié"/>
  </r>
  <r>
    <d v="2023-10-19T02:08:00"/>
    <s v="ANT-0164"/>
    <n v="12"/>
    <s v="En Cours"/>
    <x v="21"/>
    <n v="-11.389362"/>
    <n v="22.240174"/>
    <x v="2"/>
    <s v="ZTE"/>
  </r>
  <r>
    <d v="2023-10-11T20:04:00"/>
    <s v="ANT-0834"/>
    <n v="25"/>
    <s v="En Cours"/>
    <x v="1"/>
    <s v="Non repertorié"/>
    <s v="Non repertorié"/>
    <x v="1"/>
    <s v="Non repertorié"/>
  </r>
  <r>
    <d v="2023-10-15T14:43:00"/>
    <s v="ANT-0336"/>
    <n v="61"/>
    <s v="En Cours"/>
    <x v="1"/>
    <s v="Non repertorié"/>
    <s v="Non repertorié"/>
    <x v="1"/>
    <s v="Non repertorié"/>
  </r>
  <r>
    <d v="2023-10-17T11:08:00"/>
    <s v="ANT-0957"/>
    <n v="58"/>
    <s v="Résolu"/>
    <x v="26"/>
    <n v="-7.1785899999999998"/>
    <n v="24.4404"/>
    <x v="0"/>
    <s v="Nokia"/>
  </r>
  <r>
    <d v="2023-10-29T17:40:00"/>
    <s v="ANT-0592"/>
    <n v="66"/>
    <s v="En Cours"/>
    <x v="23"/>
    <n v="-4.4831099999999999"/>
    <n v="25.406548000000001"/>
    <x v="2"/>
    <s v="Nokia"/>
  </r>
  <r>
    <d v="2023-10-19T05:49:00"/>
    <s v="ANT-0739"/>
    <n v="64"/>
    <s v="Résolu"/>
    <x v="1"/>
    <s v="Non repertorié"/>
    <s v="Non repertorié"/>
    <x v="1"/>
    <s v="Non repertorié"/>
  </r>
  <r>
    <d v="2023-10-31T04:27:00"/>
    <s v="ANT-0321"/>
    <n v="31"/>
    <s v="Non Résolu"/>
    <x v="1"/>
    <s v="Non repertorié"/>
    <s v="Non repertorié"/>
    <x v="1"/>
    <s v="Non repertorié"/>
  </r>
  <r>
    <d v="2023-10-17T01:53:00"/>
    <s v="ANT-0195"/>
    <n v="48"/>
    <s v="Non Résolu"/>
    <x v="8"/>
    <n v="-8.0864899999999995"/>
    <n v="14.555277"/>
    <x v="3"/>
    <s v="Ericsson"/>
  </r>
  <r>
    <d v="2023-10-04T16:09:00"/>
    <s v="ANT-0782"/>
    <n v="82"/>
    <s v="Résolu"/>
    <x v="1"/>
    <s v="Non repertorié"/>
    <s v="Non repertorié"/>
    <x v="1"/>
    <s v="Non repertorié"/>
  </r>
  <r>
    <d v="2023-10-10T05:10:00"/>
    <s v="ANT-0164"/>
    <n v="23"/>
    <s v="En Cours"/>
    <x v="21"/>
    <n v="-11.389362"/>
    <n v="22.240174"/>
    <x v="2"/>
    <s v="ZTE"/>
  </r>
  <r>
    <d v="2023-10-11T22:14:00"/>
    <s v="ANT-0511"/>
    <n v="45"/>
    <s v="Non Résolu"/>
    <x v="26"/>
    <n v="1.210869"/>
    <n v="25.598741"/>
    <x v="0"/>
    <s v="Ericsson"/>
  </r>
  <r>
    <d v="2023-10-12T16:57:00"/>
    <s v="ANT-0528"/>
    <n v="115"/>
    <s v="En Cours"/>
    <x v="1"/>
    <s v="Non repertorié"/>
    <s v="Non repertorié"/>
    <x v="1"/>
    <s v="Non repertorié"/>
  </r>
  <r>
    <d v="2023-10-10T02:16:00"/>
    <s v="ANT-0479"/>
    <n v="96"/>
    <s v="Résolu"/>
    <x v="1"/>
    <s v="Non repertorié"/>
    <s v="Non repertorié"/>
    <x v="1"/>
    <s v="Non repertorié"/>
  </r>
  <r>
    <d v="2023-10-07T20:35:00"/>
    <s v="ANT-0511"/>
    <n v="45"/>
    <s v="En Cours"/>
    <x v="26"/>
    <n v="1.210869"/>
    <n v="25.598741"/>
    <x v="0"/>
    <s v="Ericsson"/>
  </r>
  <r>
    <d v="2023-10-09T04:40:00"/>
    <s v="ANT-0901"/>
    <n v="98"/>
    <s v="Non Résolu"/>
    <x v="1"/>
    <s v="Non repertorié"/>
    <s v="Non repertorié"/>
    <x v="1"/>
    <s v="Non repertorié"/>
  </r>
  <r>
    <d v="2023-10-10T19:34:00"/>
    <s v="ANT-0316"/>
    <n v="115"/>
    <s v="En Cours"/>
    <x v="1"/>
    <s v="Non repertorié"/>
    <s v="Non repertorié"/>
    <x v="1"/>
    <s v="Non repertorié"/>
  </r>
  <r>
    <d v="2023-10-03T16:41:00"/>
    <s v="ANT-0510"/>
    <n v="49"/>
    <s v="Non Résolu"/>
    <x v="1"/>
    <s v="Non repertorié"/>
    <s v="Non repertorié"/>
    <x v="1"/>
    <s v="Non repertorié"/>
  </r>
  <r>
    <d v="2023-10-06T18:37:00"/>
    <s v="ANT-0024"/>
    <n v="56"/>
    <s v="En Cours"/>
    <x v="1"/>
    <s v="Non repertorié"/>
    <s v="Non repertorié"/>
    <x v="1"/>
    <s v="Non repertorié"/>
  </r>
  <r>
    <d v="2023-10-05T05:42:00"/>
    <s v="ANT-0093"/>
    <n v="21"/>
    <s v="Non Résolu"/>
    <x v="2"/>
    <n v="2.975352"/>
    <n v="22.535886000000001"/>
    <x v="0"/>
    <s v="Huawei"/>
  </r>
  <r>
    <d v="2023-10-20T23:57:00"/>
    <s v="ANT-0968"/>
    <n v="102"/>
    <s v="Non Résolu"/>
    <x v="1"/>
    <s v="Non repertorié"/>
    <s v="Non repertorié"/>
    <x v="1"/>
    <s v="Non repertorié"/>
  </r>
  <r>
    <d v="2023-10-20T10:53:00"/>
    <s v="ANT-0403"/>
    <n v="52"/>
    <s v="Non Résolu"/>
    <x v="1"/>
    <s v="Non repertorié"/>
    <s v="Non repertorié"/>
    <x v="1"/>
    <s v="Non repertorié"/>
  </r>
  <r>
    <d v="2023-10-30T18:02:00"/>
    <s v="ant-0518"/>
    <n v="70"/>
    <s v="Résolu"/>
    <x v="1"/>
    <s v="Non repertorié"/>
    <s v="Non repertorié"/>
    <x v="1"/>
    <s v="Non repertorié"/>
  </r>
  <r>
    <d v="2023-10-27T00:05:00"/>
    <s v="ANT-0469"/>
    <n v="76"/>
    <s v="Résolu"/>
    <x v="1"/>
    <s v="Non repertorié"/>
    <s v="Non repertorié"/>
    <x v="1"/>
    <s v="Non repertorié"/>
  </r>
  <r>
    <d v="2023-10-02T20:49:00"/>
    <s v="ANT-0990"/>
    <n v="18"/>
    <s v="Résolu"/>
    <x v="2"/>
    <n v="-12.112399999999999"/>
    <n v="15.872226"/>
    <x v="0"/>
    <s v="Nokia"/>
  </r>
  <r>
    <d v="2023-10-19T08:41:00"/>
    <s v="ANT-0247"/>
    <n v="45"/>
    <s v="En Cours"/>
    <x v="1"/>
    <s v="Non repertorié"/>
    <s v="Non repertorié"/>
    <x v="1"/>
    <s v="Non repertorié"/>
  </r>
  <r>
    <d v="2023-10-07T18:26:00"/>
    <s v="ANT-0221"/>
    <n v="35"/>
    <s v="En Cours"/>
    <x v="1"/>
    <s v="Non repertorié"/>
    <s v="Non repertorié"/>
    <x v="1"/>
    <s v="Non repertorié"/>
  </r>
  <r>
    <d v="2023-10-20T20:01:00"/>
    <s v="ANT-0598"/>
    <n v="64"/>
    <s v="En Cours"/>
    <x v="1"/>
    <s v="Non repertorié"/>
    <s v="Non repertorié"/>
    <x v="1"/>
    <s v="Non repertorié"/>
  </r>
  <r>
    <d v="2023-10-02T01:02:00"/>
    <s v="ANT-0052"/>
    <n v="45"/>
    <s v="Non Résolu"/>
    <x v="1"/>
    <s v="Non repertorié"/>
    <s v="Non repertorié"/>
    <x v="1"/>
    <s v="Non repertorié"/>
  </r>
  <r>
    <d v="2023-10-05T22:21:00"/>
    <s v="ANT-0686"/>
    <n v="66"/>
    <s v="Résolu"/>
    <x v="1"/>
    <s v="Non repertorié"/>
    <s v="Non repertorié"/>
    <x v="1"/>
    <s v="Non repertorié"/>
  </r>
  <r>
    <d v="2023-10-26T15:33:00"/>
    <s v="ANT-0927"/>
    <n v="49"/>
    <s v="Résolu"/>
    <x v="1"/>
    <s v="Non repertorié"/>
    <s v="Non repertorié"/>
    <x v="1"/>
    <s v="Non repertorié"/>
  </r>
  <r>
    <d v="2023-10-15T04:38:00"/>
    <s v="ANT-0544"/>
    <n v="76"/>
    <s v="En Cours"/>
    <x v="1"/>
    <s v="Non repertorié"/>
    <s v="Non repertorié"/>
    <x v="1"/>
    <s v="Non repertorié"/>
  </r>
  <r>
    <d v="2023-10-29T16:08:00"/>
    <s v="ANT-0232"/>
    <n v="106"/>
    <s v="Résolu"/>
    <x v="16"/>
    <n v="2.0392079999999999"/>
    <n v="19.090841999999999"/>
    <x v="0"/>
    <s v="Nokia"/>
  </r>
  <r>
    <d v="2023-10-11T19:20:00"/>
    <s v="ANT-0654"/>
    <n v="97"/>
    <s v="Résolu"/>
    <x v="1"/>
    <s v="Non repertorié"/>
    <s v="Non repertorié"/>
    <x v="1"/>
    <s v="Non repertorié"/>
  </r>
  <r>
    <d v="2023-10-06T12:39:00"/>
    <s v="ANT-0239"/>
    <n v="40"/>
    <s v="En Cours"/>
    <x v="9"/>
    <n v="-5.42171"/>
    <n v="24.202960999999998"/>
    <x v="2"/>
    <s v="Ericsson"/>
  </r>
  <r>
    <d v="2023-10-24T09:37:00"/>
    <s v="ANT-0054"/>
    <n v="41"/>
    <s v="En Cours"/>
    <x v="19"/>
    <n v="-1.231033"/>
    <n v="28.851388"/>
    <x v="3"/>
    <s v="Ericsson"/>
  </r>
  <r>
    <d v="2023-10-11T16:53:00"/>
    <s v="ANT-0103"/>
    <n v="20"/>
    <s v="Résolu"/>
    <x v="14"/>
    <n v="-0.79459900000000006"/>
    <n v="26.775570999999999"/>
    <x v="2"/>
    <s v="Huawei"/>
  </r>
  <r>
    <d v="2023-10-17T17:31:00"/>
    <s v="ANT-0424"/>
    <n v="78"/>
    <s v="Non Résolu"/>
    <x v="16"/>
    <n v="-9.5243310000000001"/>
    <n v="30.541212000000002"/>
    <x v="3"/>
    <s v="Ericsson"/>
  </r>
  <r>
    <d v="2023-10-23T18:19:00"/>
    <s v="ANT-0339"/>
    <n v="91"/>
    <s v="En Cours"/>
    <x v="20"/>
    <n v="-3.6945459999999999"/>
    <n v="16.809108999999999"/>
    <x v="2"/>
    <s v="ZTE"/>
  </r>
  <r>
    <d v="2023-10-16T00:23:00"/>
    <s v="ANT-0735"/>
    <n v="74"/>
    <s v="Résolu"/>
    <x v="3"/>
    <n v="-5.8352820000000003"/>
    <n v="26.603978000000001"/>
    <x v="0"/>
    <s v="Huawei"/>
  </r>
  <r>
    <d v="2023-10-11T21:07:00"/>
    <s v="ANT-0484"/>
    <n v="53"/>
    <s v="Résolu"/>
    <x v="5"/>
    <n v="-7.8770429999999996"/>
    <n v="16.357762999999998"/>
    <x v="0"/>
    <s v="Ericsson"/>
  </r>
  <r>
    <d v="2023-10-14T18:19:00"/>
    <s v="ANT-0103"/>
    <n v="119"/>
    <s v="En Cours"/>
    <x v="14"/>
    <n v="-0.79459900000000006"/>
    <n v="26.775570999999999"/>
    <x v="2"/>
    <s v="Huawei"/>
  </r>
  <r>
    <d v="2023-10-26T23:55:00"/>
    <s v="ANT-0698"/>
    <n v="55"/>
    <s v="Non Résolu"/>
    <x v="1"/>
    <s v="Non repertorié"/>
    <s v="Non repertorié"/>
    <x v="1"/>
    <s v="Non repertorié"/>
  </r>
  <r>
    <d v="2023-10-23T20:01:00"/>
    <s v="ANT-0790"/>
    <n v="109"/>
    <s v="Non Résolu"/>
    <x v="7"/>
    <n v="-2.9417719999999998"/>
    <n v="18.587305000000001"/>
    <x v="2"/>
    <s v="Ericsson"/>
  </r>
  <r>
    <d v="2023-10-20T15:16:00"/>
    <s v="ANT-0141"/>
    <n v="49"/>
    <s v="Résolu"/>
    <x v="1"/>
    <s v="Non repertorié"/>
    <s v="Non repertorié"/>
    <x v="1"/>
    <s v="Non repertorié"/>
  </r>
  <r>
    <d v="2023-10-31T20:50:00"/>
    <s v="ANT-0006"/>
    <n v="103"/>
    <s v="En Cours"/>
    <x v="20"/>
    <n v="-2.8532869999999999"/>
    <n v="22.117896000000002"/>
    <x v="2"/>
    <s v="Huawei"/>
  </r>
  <r>
    <d v="2023-10-25T18:36:00"/>
    <s v="ANT-0988"/>
    <n v="107"/>
    <s v="En Cours"/>
    <x v="14"/>
    <n v="-5.7200150000000001"/>
    <n v="25.022109"/>
    <x v="2"/>
    <s v="ZTE"/>
  </r>
  <r>
    <d v="2023-10-08T23:03:00"/>
    <s v="ANT-0564"/>
    <n v="23"/>
    <s v="En Cours"/>
    <x v="9"/>
    <n v="-12.336202"/>
    <n v="13.693683999999999"/>
    <x v="2"/>
    <s v="Huawei"/>
  </r>
  <r>
    <d v="2023-10-19T15:10:00"/>
    <s v="ANT-0952"/>
    <n v="42"/>
    <s v="Non Résolu"/>
    <x v="12"/>
    <n v="-0.77432100000000004"/>
    <n v="18.628658999999999"/>
    <x v="0"/>
    <s v="Huawei"/>
  </r>
  <r>
    <d v="2023-10-17T20:46:00"/>
    <s v="ANT-0162"/>
    <n v="10"/>
    <s v="Non Résolu"/>
    <x v="23"/>
    <n v="-1.648326"/>
    <n v="25.528901999999999"/>
    <x v="0"/>
    <s v="Huawei"/>
  </r>
  <r>
    <d v="2023-10-20T12:09:00"/>
    <s v="ANT-0417"/>
    <n v="41"/>
    <s v="Non Résolu"/>
    <x v="15"/>
    <n v="-2.3677800000000002"/>
    <n v="18.790323999999998"/>
    <x v="2"/>
    <s v="Huawei"/>
  </r>
  <r>
    <d v="2023-10-27T21:15:00"/>
    <s v="ANT-0669"/>
    <n v="96"/>
    <s v="En Cours"/>
    <x v="1"/>
    <s v="Non repertorié"/>
    <s v="Non repertorié"/>
    <x v="1"/>
    <s v="Non repertorié"/>
  </r>
  <r>
    <d v="2023-10-02T18:44:00"/>
    <s v="ANT-0958"/>
    <n v="15"/>
    <s v="Résolu"/>
    <x v="1"/>
    <s v="Non repertorié"/>
    <s v="Non repertorié"/>
    <x v="1"/>
    <s v="Non repertorié"/>
  </r>
  <r>
    <d v="2023-10-04T06:01:00"/>
    <s v="ANT-0902"/>
    <n v="49"/>
    <s v="Non Résolu"/>
    <x v="3"/>
    <n v="-10.414493"/>
    <n v="12.333356999999999"/>
    <x v="3"/>
    <s v="Ericsson"/>
  </r>
  <r>
    <d v="2023-10-15T10:26:00"/>
    <s v="ANT-0900"/>
    <n v="61"/>
    <s v="En Cours"/>
    <x v="0"/>
    <n v="-10.776204"/>
    <n v="24.672934000000001"/>
    <x v="0"/>
    <s v="Ericsson"/>
  </r>
  <r>
    <d v="2023-10-05T13:44:00"/>
    <s v="ANT-0488"/>
    <n v="88"/>
    <s v="En Cours"/>
    <x v="3"/>
    <n v="-3.111418"/>
    <n v="14.144854"/>
    <x v="0"/>
    <s v="ZTE"/>
  </r>
  <r>
    <d v="2023-10-07T13:32:00"/>
    <s v="ANT-0489"/>
    <n v="37"/>
    <s v="Résolu"/>
    <x v="22"/>
    <n v="0.20866199999999999"/>
    <n v="18.556439000000001"/>
    <x v="0"/>
    <s v="Nokia"/>
  </r>
  <r>
    <d v="2023-10-25T19:58:00"/>
    <s v="ANT-0667"/>
    <n v="100"/>
    <s v="Résolu"/>
    <x v="1"/>
    <s v="Non repertorié"/>
    <s v="Non repertorié"/>
    <x v="1"/>
    <s v="Non repertorié"/>
  </r>
  <r>
    <d v="2023-10-16T23:46:00"/>
    <s v="ANT-0205"/>
    <n v="66"/>
    <s v="En Cours"/>
    <x v="17"/>
    <n v="-1.4110389999999999"/>
    <n v="21.261644"/>
    <x v="0"/>
    <s v="ZTE"/>
  </r>
  <r>
    <d v="2023-10-02T22:08:00"/>
    <s v="ANT-0775"/>
    <n v="32"/>
    <s v="Résolu"/>
    <x v="20"/>
    <n v="1.5278670000000001"/>
    <n v="13.899388999999999"/>
    <x v="3"/>
    <s v="Huawei"/>
  </r>
  <r>
    <d v="2023-10-17T06:35:00"/>
    <s v="ANT-0988"/>
    <n v="30"/>
    <s v="Non Résolu"/>
    <x v="14"/>
    <n v="-5.7200150000000001"/>
    <n v="25.022109"/>
    <x v="2"/>
    <s v="ZTE"/>
  </r>
  <r>
    <d v="2023-10-11T21:30:00"/>
    <s v="ANT-0295"/>
    <n v="110"/>
    <s v="En Cours"/>
    <x v="11"/>
    <n v="-4.351254"/>
    <n v="30.097408999999999"/>
    <x v="2"/>
    <s v="Nokia"/>
  </r>
  <r>
    <d v="2023-10-17T12:20:00"/>
    <s v="ANT-0329"/>
    <n v="73"/>
    <s v="Non Résolu"/>
    <x v="1"/>
    <s v="Non repertorié"/>
    <s v="Non repertorié"/>
    <x v="1"/>
    <s v="Non repertorié"/>
  </r>
  <r>
    <d v="2023-10-31T05:29:00"/>
    <s v="ANT-0293"/>
    <n v="39"/>
    <s v="En Cours"/>
    <x v="5"/>
    <n v="-5.7035130000000001"/>
    <n v="14.331479"/>
    <x v="2"/>
    <s v="Nokia"/>
  </r>
  <r>
    <d v="2023-10-30T17:21:00"/>
    <s v="ANT-0662"/>
    <n v="76"/>
    <s v="Non Résolu"/>
    <x v="6"/>
    <n v="-1.342476"/>
    <n v="15.986086"/>
    <x v="0"/>
    <s v="Ericsson"/>
  </r>
  <r>
    <d v="2023-10-18T11:43:00"/>
    <s v="ANT-0061"/>
    <n v="94"/>
    <s v="Résolu"/>
    <x v="1"/>
    <s v="Non repertorié"/>
    <s v="Non repertorié"/>
    <x v="1"/>
    <s v="Non repertorié"/>
  </r>
  <r>
    <d v="2023-10-25T23:43:00"/>
    <s v="ANT-0930"/>
    <n v="39"/>
    <s v="Résolu"/>
    <x v="1"/>
    <s v="Non repertorié"/>
    <s v="Non repertorié"/>
    <x v="1"/>
    <s v="Non repertorié"/>
  </r>
  <r>
    <d v="2023-10-21T22:16:00"/>
    <s v="ANT-0788"/>
    <n v="22"/>
    <s v="Non Résolu"/>
    <x v="11"/>
    <n v="1.5802860000000001"/>
    <n v="20.99053"/>
    <x v="0"/>
    <s v="ZTE"/>
  </r>
  <r>
    <d v="2023-10-20T15:12:00"/>
    <s v="ANT-0092"/>
    <n v="18"/>
    <s v="En Cours"/>
    <x v="1"/>
    <s v="Non repertorié"/>
    <s v="Non repertorié"/>
    <x v="1"/>
    <s v="Non repertorié"/>
  </r>
  <r>
    <d v="2023-10-31T07:17:00"/>
    <s v="ANT-0668"/>
    <n v="83"/>
    <s v="En Cours"/>
    <x v="2"/>
    <n v="-9.8208710000000004"/>
    <n v="23.229807000000001"/>
    <x v="2"/>
    <s v="Nokia"/>
  </r>
  <r>
    <d v="2023-10-18T09:14:00"/>
    <s v="ANT-0588"/>
    <n v="99"/>
    <s v="Non Résolu"/>
    <x v="26"/>
    <n v="-4.8157019999999999"/>
    <n v="27.679798000000002"/>
    <x v="3"/>
    <s v="Ericsson"/>
  </r>
  <r>
    <d v="2023-10-31T09:49:00"/>
    <s v="ANT-0238"/>
    <n v="80"/>
    <s v="Non Résolu"/>
    <x v="12"/>
    <n v="0.62055499999999997"/>
    <n v="21.222035000000002"/>
    <x v="2"/>
    <s v="Nokia"/>
  </r>
  <r>
    <d v="2023-10-10T22:13:00"/>
    <s v="ANT-0548"/>
    <n v="35"/>
    <s v="Résolu"/>
    <x v="1"/>
    <s v="Non repertorié"/>
    <s v="Non repertorié"/>
    <x v="1"/>
    <s v="Non repertorié"/>
  </r>
  <r>
    <d v="2023-10-23T22:31:00"/>
    <s v="ANT-0757"/>
    <n v="36"/>
    <s v="Résolu"/>
    <x v="1"/>
    <s v="Non repertorié"/>
    <s v="Non repertorié"/>
    <x v="1"/>
    <s v="Non repertorié"/>
  </r>
  <r>
    <d v="2023-10-03T12:42:00"/>
    <s v="ANT-0670"/>
    <n v="109"/>
    <s v="Non Résolu"/>
    <x v="22"/>
    <n v="-7.1483749999999997"/>
    <n v="26.014271000000001"/>
    <x v="2"/>
    <s v="Huawei"/>
  </r>
  <r>
    <d v="2023-10-04T05:08:00"/>
    <s v="ANT-0881"/>
    <n v="5"/>
    <s v="Résolu"/>
    <x v="9"/>
    <n v="-6.5332999999999997"/>
    <n v="20.098018"/>
    <x v="0"/>
    <s v="Huawei"/>
  </r>
  <r>
    <d v="2023-10-16T10:59:00"/>
    <s v="ANT-0357"/>
    <n v="100"/>
    <s v="Résolu"/>
    <x v="0"/>
    <n v="-11.793894"/>
    <n v="20.433340999999999"/>
    <x v="2"/>
    <s v="Nokia"/>
  </r>
  <r>
    <d v="2023-10-08T00:16:00"/>
    <s v="ANT-0122"/>
    <n v="32"/>
    <s v="Résolu"/>
    <x v="3"/>
    <n v="1.897178"/>
    <n v="23.902604"/>
    <x v="3"/>
    <s v="Nokia"/>
  </r>
  <r>
    <d v="2023-10-13T07:28:00"/>
    <s v="ANT-0183"/>
    <n v="79"/>
    <s v="Résolu"/>
    <x v="4"/>
    <n v="4.8319039999999998"/>
    <n v="20.733468999999999"/>
    <x v="2"/>
    <s v="Ericsson"/>
  </r>
  <r>
    <d v="2023-10-25T08:21:00"/>
    <s v="ANT-0551"/>
    <n v="14"/>
    <s v="Résolu"/>
    <x v="15"/>
    <n v="-7.789663"/>
    <n v="26.529098000000001"/>
    <x v="2"/>
    <s v="Nokia"/>
  </r>
  <r>
    <d v="2023-10-10T18:46:00"/>
    <s v="ANT-0403"/>
    <n v="10"/>
    <s v="Non Résolu"/>
    <x v="1"/>
    <s v="Non repertorié"/>
    <s v="Non repertorié"/>
    <x v="1"/>
    <s v="Non repertorié"/>
  </r>
  <r>
    <d v="2023-10-19T00:16:00"/>
    <s v="ANT-0542"/>
    <n v="59"/>
    <s v="Résolu"/>
    <x v="1"/>
    <s v="Non repertorié"/>
    <s v="Non repertorié"/>
    <x v="1"/>
    <s v="Non repertorié"/>
  </r>
  <r>
    <d v="2023-10-21T11:44:00"/>
    <s v="ANT-0131"/>
    <n v="49"/>
    <s v="En Cours"/>
    <x v="8"/>
    <n v="-9.3652239999999995"/>
    <n v="22.593423999999999"/>
    <x v="2"/>
    <s v="Nokia"/>
  </r>
  <r>
    <d v="2023-10-08T01:42:00"/>
    <s v="ANT-0746"/>
    <n v="94"/>
    <s v="Non Résolu"/>
    <x v="14"/>
    <n v="-1.1284540000000001"/>
    <n v="23.000360000000001"/>
    <x v="2"/>
    <s v="Ericsson"/>
  </r>
  <r>
    <d v="2023-10-04T14:19:00"/>
    <s v="ANT-0229"/>
    <n v="13"/>
    <s v="Non Résolu"/>
    <x v="15"/>
    <n v="-1.9540519999999999"/>
    <n v="12.667945"/>
    <x v="0"/>
    <s v="Huawei"/>
  </r>
  <r>
    <d v="2023-10-06T12:43:00"/>
    <s v="ANT-0855"/>
    <n v="74"/>
    <s v="Non Résolu"/>
    <x v="19"/>
    <n v="-11.514188000000001"/>
    <n v="15.971181"/>
    <x v="2"/>
    <s v="Ericsson"/>
  </r>
  <r>
    <d v="2023-10-17T22:49:00"/>
    <s v="ANT-0004"/>
    <n v="12"/>
    <s v="Résolu"/>
    <x v="1"/>
    <s v="Non repertorié"/>
    <s v="Non repertorié"/>
    <x v="1"/>
    <s v="Non repertorié"/>
  </r>
  <r>
    <d v="2023-10-10T22:07:00"/>
    <s v="ANT-0775"/>
    <n v="119"/>
    <s v="Résolu"/>
    <x v="20"/>
    <n v="1.5278670000000001"/>
    <n v="13.899388999999999"/>
    <x v="3"/>
    <s v="Huawei"/>
  </r>
  <r>
    <d v="2023-10-21T09:23:00"/>
    <s v="ANT-0024"/>
    <n v="13"/>
    <s v="Non Résolu"/>
    <x v="1"/>
    <s v="Non repertorié"/>
    <s v="Non repertorié"/>
    <x v="1"/>
    <s v="Non repertorié"/>
  </r>
  <r>
    <d v="2023-10-20T07:14:00"/>
    <s v="ANT-0306"/>
    <n v="65"/>
    <s v="Résolu"/>
    <x v="1"/>
    <s v="Non repertorié"/>
    <s v="Non repertorié"/>
    <x v="1"/>
    <s v="Non repertorié"/>
  </r>
  <r>
    <d v="2023-10-31T04:30:00"/>
    <s v="ANT-0475"/>
    <n v="9"/>
    <s v="En Cours"/>
    <x v="1"/>
    <s v="Non repertorié"/>
    <s v="Non repertorié"/>
    <x v="1"/>
    <s v="Non repertorié"/>
  </r>
  <r>
    <d v="2023-10-05T14:47:00"/>
    <s v="ANT-0690"/>
    <n v="41"/>
    <s v="En Cours"/>
    <x v="21"/>
    <n v="1.3006180000000001"/>
    <n v="29.060970999999999"/>
    <x v="3"/>
    <s v="ZTE"/>
  </r>
  <r>
    <d v="2023-10-20T11:26:00"/>
    <s v="ANT-0737"/>
    <n v="57"/>
    <s v="Résolu"/>
    <x v="2"/>
    <n v="-2.8211520000000001"/>
    <n v="20.651419000000001"/>
    <x v="2"/>
    <s v="Ericsson"/>
  </r>
  <r>
    <d v="2023-10-23T17:58:00"/>
    <s v="ANT-0558"/>
    <n v="28"/>
    <s v="Non Résolu"/>
    <x v="7"/>
    <n v="-11.468578000000001"/>
    <n v="16.914501999999999"/>
    <x v="0"/>
    <s v="Ericsson"/>
  </r>
  <r>
    <d v="2023-10-16T17:51:00"/>
    <s v="ANT-0435"/>
    <n v="103"/>
    <s v="Résolu"/>
    <x v="1"/>
    <s v="Non repertorié"/>
    <s v="Non repertorié"/>
    <x v="1"/>
    <s v="Non repertorié"/>
  </r>
  <r>
    <d v="2023-10-22T06:48:00"/>
    <s v="ANT-0545"/>
    <n v="22"/>
    <s v="Résolu"/>
    <x v="21"/>
    <n v="-2.6665070000000002"/>
    <n v="18.623692999999999"/>
    <x v="3"/>
    <s v="ZTE"/>
  </r>
  <r>
    <d v="2023-10-08T21:48:00"/>
    <s v="ANT-0389"/>
    <n v="103"/>
    <s v="Résolu"/>
    <x v="1"/>
    <s v="Non repertorié"/>
    <s v="Non repertorié"/>
    <x v="1"/>
    <s v="Non repertorié"/>
  </r>
  <r>
    <d v="2023-10-20T02:33:00"/>
    <s v="ANT-0844"/>
    <n v="87"/>
    <s v="Non Résolu"/>
    <x v="1"/>
    <s v="Non repertorié"/>
    <s v="Non repertorié"/>
    <x v="1"/>
    <s v="Non repertorié"/>
  </r>
  <r>
    <d v="2023-10-15T16:45:00"/>
    <s v="ANT-0236"/>
    <n v="98"/>
    <s v="En Cours"/>
    <x v="24"/>
    <n v="-12.192204"/>
    <n v="28.468682000000001"/>
    <x v="3"/>
    <s v="ZTE"/>
  </r>
  <r>
    <d v="2023-10-12T02:58:00"/>
    <s v="ANT-0254"/>
    <n v="87"/>
    <s v="Résolu"/>
    <x v="1"/>
    <s v="Non repertorié"/>
    <s v="Non repertorié"/>
    <x v="1"/>
    <s v="Non repertorié"/>
  </r>
  <r>
    <d v="2023-10-19T03:03:00"/>
    <s v="ANT-0472"/>
    <n v="58"/>
    <s v="Non Résolu"/>
    <x v="13"/>
    <n v="1.2419519999999999"/>
    <n v="25.261382999999999"/>
    <x v="0"/>
    <s v="Huawei"/>
  </r>
  <r>
    <d v="2023-10-27T17:57:00"/>
    <s v="ANT-0355"/>
    <n v="52"/>
    <s v="Non Résolu"/>
    <x v="1"/>
    <s v="Non repertorié"/>
    <s v="Non repertorié"/>
    <x v="1"/>
    <s v="Non repertorié"/>
  </r>
  <r>
    <d v="2023-10-17T06:36:00"/>
    <s v="ANT-0159"/>
    <n v="119"/>
    <s v="En Cours"/>
    <x v="13"/>
    <n v="2.4414509999999998"/>
    <n v="30.167489"/>
    <x v="2"/>
    <s v="Nokia"/>
  </r>
  <r>
    <d v="2023-10-18T04:10:00"/>
    <s v="ANT-0283"/>
    <n v="53"/>
    <s v="Non Résolu"/>
    <x v="21"/>
    <n v="-1.6097570000000001"/>
    <n v="30.661662"/>
    <x v="0"/>
    <s v="Ericsson"/>
  </r>
  <r>
    <d v="2023-10-11T16:28:00"/>
    <s v="ANT-0194"/>
    <n v="62"/>
    <s v="Non Résolu"/>
    <x v="6"/>
    <n v="8.5490999999999998E-2"/>
    <n v="26.296129000000001"/>
    <x v="3"/>
    <s v="ZTE"/>
  </r>
  <r>
    <d v="2023-10-04T21:13:00"/>
    <s v="ANT-0960"/>
    <n v="116"/>
    <s v="Non Résolu"/>
    <x v="1"/>
    <s v="Non repertorié"/>
    <s v="Non repertorié"/>
    <x v="1"/>
    <s v="Non repertorié"/>
  </r>
  <r>
    <d v="2023-10-23T18:31:00"/>
    <s v="ANT-0897"/>
    <n v="53"/>
    <s v="En Cours"/>
    <x v="1"/>
    <s v="Non repertorié"/>
    <s v="Non repertorié"/>
    <x v="1"/>
    <s v="Non repertorié"/>
  </r>
  <r>
    <d v="2023-10-03T16:28:00"/>
    <s v="ANT-0743"/>
    <n v="53"/>
    <s v="Résolu"/>
    <x v="1"/>
    <s v="Non repertorié"/>
    <s v="Non repertorié"/>
    <x v="1"/>
    <s v="Non repertorié"/>
  </r>
  <r>
    <d v="2023-10-26T01:29:00"/>
    <s v="ANT-0784"/>
    <n v="15"/>
    <s v="En Cours"/>
    <x v="1"/>
    <s v="Non repertorié"/>
    <s v="Non repertorié"/>
    <x v="1"/>
    <s v="Non repertorié"/>
  </r>
  <r>
    <d v="2023-10-05T16:26:00"/>
    <s v="ANT-0116"/>
    <n v="92"/>
    <s v="Résolu"/>
    <x v="1"/>
    <s v="Non repertorié"/>
    <s v="Non repertorié"/>
    <x v="1"/>
    <s v="Non repertorié"/>
  </r>
  <r>
    <d v="2023-10-15T18:03:00"/>
    <s v="ANT-0033"/>
    <n v="89"/>
    <s v="Non Résolu"/>
    <x v="1"/>
    <s v="Non repertorié"/>
    <s v="Non repertorié"/>
    <x v="1"/>
    <s v="Non repertorié"/>
  </r>
  <r>
    <d v="2023-10-26T09:46:00"/>
    <s v="ANT-0677"/>
    <n v="74"/>
    <s v="Résolu"/>
    <x v="4"/>
    <n v="-4.6957509999999996"/>
    <n v="14.233525999999999"/>
    <x v="0"/>
    <s v="Nokia"/>
  </r>
  <r>
    <d v="2023-10-01T12:16:00"/>
    <s v="ANT-0430"/>
    <n v="22"/>
    <s v="En Cours"/>
    <x v="12"/>
    <n v="-10.939712999999999"/>
    <n v="18.276230999999999"/>
    <x v="0"/>
    <s v="ZTE"/>
  </r>
  <r>
    <d v="2023-10-22T13:35:00"/>
    <s v="ANT-0007"/>
    <n v="87"/>
    <s v="Non Résolu"/>
    <x v="10"/>
    <n v="4.7777349999999998"/>
    <n v="16.392204"/>
    <x v="2"/>
    <s v="ZTE"/>
  </r>
  <r>
    <d v="2023-10-16T01:22:00"/>
    <s v="ANT-0545"/>
    <n v="99"/>
    <s v="Non Résolu"/>
    <x v="21"/>
    <n v="-2.6665070000000002"/>
    <n v="18.623692999999999"/>
    <x v="3"/>
    <s v="ZTE"/>
  </r>
  <r>
    <d v="2023-10-31T20:42:00"/>
    <s v="ANT-0565"/>
    <n v="67"/>
    <s v="Résolu"/>
    <x v="0"/>
    <n v="-2.099631"/>
    <n v="13.974640000000001"/>
    <x v="3"/>
    <s v="Nokia"/>
  </r>
  <r>
    <d v="2023-10-13T16:20:00"/>
    <s v="ANT-0422"/>
    <n v="63"/>
    <s v="Résolu"/>
    <x v="1"/>
    <s v="Non repertorié"/>
    <s v="Non repertorié"/>
    <x v="1"/>
    <s v="Non repertorié"/>
  </r>
  <r>
    <d v="2023-10-23T13:26:00"/>
    <s v="ANT-0013"/>
    <n v="26"/>
    <s v="En Cours"/>
    <x v="1"/>
    <s v="Non repertorié"/>
    <s v="Non repertorié"/>
    <x v="1"/>
    <s v="Non repertorié"/>
  </r>
  <r>
    <d v="2023-10-05T09:24:00"/>
    <s v="ANT-0018"/>
    <n v="98"/>
    <s v="En Cours"/>
    <x v="1"/>
    <s v="Non repertorié"/>
    <s v="Non repertorié"/>
    <x v="1"/>
    <s v="Non repertorié"/>
  </r>
  <r>
    <d v="2023-10-06T17:30:00"/>
    <s v="ANT-0543"/>
    <n v="106"/>
    <s v="En Cours"/>
    <x v="7"/>
    <n v="-4.4958720000000003"/>
    <n v="18.514112000000001"/>
    <x v="0"/>
    <s v="Nokia"/>
  </r>
  <r>
    <d v="2023-10-08T07:19:00"/>
    <s v="ANT-0740"/>
    <n v="50"/>
    <s v="Non Résolu"/>
    <x v="1"/>
    <s v="Non repertorié"/>
    <s v="Non repertorié"/>
    <x v="1"/>
    <s v="Non repertorié"/>
  </r>
  <r>
    <d v="2023-10-28T22:09:00"/>
    <s v="ANT-0282"/>
    <n v="26"/>
    <s v="En Cours"/>
    <x v="9"/>
    <n v="-10.25074"/>
    <n v="26.099086"/>
    <x v="0"/>
    <s v="Huawei"/>
  </r>
  <r>
    <d v="2023-10-26T14:58:00"/>
    <s v="ANT-0549"/>
    <n v="22"/>
    <s v="Résolu"/>
    <x v="24"/>
    <n v="-0.47411900000000001"/>
    <n v="27.184329000000002"/>
    <x v="2"/>
    <s v="ZTE"/>
  </r>
  <r>
    <d v="2023-10-02T17:26:00"/>
    <s v="ANT-0294"/>
    <n v="97"/>
    <s v="Non Résolu"/>
    <x v="23"/>
    <n v="-4.3639070000000002"/>
    <n v="16.283307000000001"/>
    <x v="2"/>
    <s v="Huawei"/>
  </r>
  <r>
    <d v="2023-10-31T13:35:00"/>
    <s v="ANT-0018"/>
    <n v="74"/>
    <s v="Résolu"/>
    <x v="1"/>
    <s v="Non repertorié"/>
    <s v="Non repertorié"/>
    <x v="1"/>
    <s v="Non repertorié"/>
  </r>
  <r>
    <d v="2023-10-17T04:24:00"/>
    <s v="ANT-0515"/>
    <n v="67"/>
    <s v="Non Résolu"/>
    <x v="16"/>
    <n v="-10.967288"/>
    <n v="17.617781000000001"/>
    <x v="0"/>
    <s v="Ericsson"/>
  </r>
  <r>
    <d v="2023-10-08T08:13:00"/>
    <s v="ANT-0833"/>
    <n v="28"/>
    <s v="Résolu"/>
    <x v="20"/>
    <n v="0.40267799999999998"/>
    <n v="16.000858000000001"/>
    <x v="3"/>
    <s v="Nokia"/>
  </r>
  <r>
    <d v="2023-10-11T20:05:00"/>
    <s v="ANT-0715"/>
    <n v="118"/>
    <s v="Résolu"/>
    <x v="19"/>
    <n v="-11.407966"/>
    <n v="28.378274000000001"/>
    <x v="0"/>
    <s v="ZTE"/>
  </r>
  <r>
    <d v="2023-10-30T14:54:00"/>
    <s v="ANT-0691"/>
    <n v="74"/>
    <s v="En Cours"/>
    <x v="22"/>
    <n v="-12.488033"/>
    <n v="16.139648000000001"/>
    <x v="0"/>
    <s v="Huawei"/>
  </r>
  <r>
    <d v="2023-10-12T02:34:00"/>
    <s v="ANT-0441"/>
    <n v="87"/>
    <s v="En Cours"/>
    <x v="13"/>
    <n v="-5.2526849999999996"/>
    <n v="12.374528"/>
    <x v="3"/>
    <s v="Nokia"/>
  </r>
  <r>
    <d v="2023-10-24T06:03:00"/>
    <s v="ANT-0826"/>
    <n v="12"/>
    <s v="Non Résolu"/>
    <x v="9"/>
    <n v="-10.846306999999999"/>
    <n v="19.201827999999999"/>
    <x v="0"/>
    <s v="Ericsson"/>
  </r>
  <r>
    <d v="2023-10-09T12:43:00"/>
    <s v="ANT-0963"/>
    <n v="72"/>
    <s v="En Cours"/>
    <x v="1"/>
    <s v="Non repertorié"/>
    <s v="Non repertorié"/>
    <x v="1"/>
    <s v="Non repertorié"/>
  </r>
  <r>
    <d v="2023-10-20T19:02:00"/>
    <s v="ANT-0932"/>
    <n v="9"/>
    <s v="Non Résolu"/>
    <x v="1"/>
    <s v="Non repertorié"/>
    <s v="Non repertorié"/>
    <x v="1"/>
    <s v="Non repertorié"/>
  </r>
  <r>
    <d v="2023-10-28T02:12:00"/>
    <s v="ANT-0184"/>
    <n v="112"/>
    <s v="Résolu"/>
    <x v="12"/>
    <n v="-10.161428000000001"/>
    <n v="19.362325999999999"/>
    <x v="3"/>
    <s v="Nokia"/>
  </r>
  <r>
    <d v="2023-10-26T18:46:00"/>
    <s v="ANT-0110"/>
    <n v="113"/>
    <s v="Non Résolu"/>
    <x v="0"/>
    <n v="-7.9425049999999997"/>
    <n v="24.111059000000001"/>
    <x v="3"/>
    <s v="ZTE"/>
  </r>
  <r>
    <d v="2023-10-22T17:13:00"/>
    <s v="ANT-0941"/>
    <n v="14"/>
    <s v="Résolu"/>
    <x v="0"/>
    <n v="-2.4662510000000002"/>
    <n v="18.007998000000001"/>
    <x v="2"/>
    <s v="Ericsson"/>
  </r>
  <r>
    <d v="2023-10-16T06:55:00"/>
    <s v="ANT-0099"/>
    <n v="109"/>
    <s v="Résolu"/>
    <x v="2"/>
    <n v="-11.157245"/>
    <n v="21.262627999999999"/>
    <x v="2"/>
    <s v="ZTE"/>
  </r>
  <r>
    <d v="2023-10-30T10:19:00"/>
    <s v="ANT-0537"/>
    <n v="90"/>
    <s v="Résolu"/>
    <x v="1"/>
    <s v="Non repertorié"/>
    <s v="Non repertorié"/>
    <x v="1"/>
    <s v="Non repertorié"/>
  </r>
  <r>
    <d v="2023-10-31T00:13:00"/>
    <s v="ANT-0153"/>
    <n v="11"/>
    <s v="Non Résolu"/>
    <x v="6"/>
    <n v="0.94539899999999999"/>
    <n v="14.401821999999999"/>
    <x v="2"/>
    <s v="Nokia"/>
  </r>
  <r>
    <d v="2023-10-30T06:47:00"/>
    <s v="ANT-0247"/>
    <n v="102"/>
    <s v="Non Résolu"/>
    <x v="1"/>
    <s v="Non repertorié"/>
    <s v="Non repertorié"/>
    <x v="1"/>
    <s v="Non repertorié"/>
  </r>
  <r>
    <d v="2023-10-04T23:48:00"/>
    <s v="ANT-0197"/>
    <n v="5"/>
    <s v="En Cours"/>
    <x v="1"/>
    <s v="Non repertorié"/>
    <s v="Non repertorié"/>
    <x v="1"/>
    <s v="Non repertorié"/>
  </r>
  <r>
    <d v="2023-10-16T07:44:00"/>
    <s v="ANT-0635"/>
    <n v="57"/>
    <s v="En Cours"/>
    <x v="1"/>
    <s v="Non repertorié"/>
    <s v="Non repertorié"/>
    <x v="1"/>
    <s v="Non repertorié"/>
  </r>
  <r>
    <d v="2023-10-20T22:13:00"/>
    <s v="ANT-0540"/>
    <n v="22"/>
    <s v="Résolu"/>
    <x v="1"/>
    <s v="Non repertorié"/>
    <s v="Non repertorié"/>
    <x v="1"/>
    <s v="Non repertorié"/>
  </r>
  <r>
    <d v="2023-10-13T07:35:00"/>
    <s v="ANT-0259"/>
    <n v="112"/>
    <s v="Résolu"/>
    <x v="1"/>
    <s v="Non repertorié"/>
    <s v="Non repertorié"/>
    <x v="1"/>
    <s v="Non repertorié"/>
  </r>
  <r>
    <d v="2023-10-11T09:24:00"/>
    <s v="ANT-0835"/>
    <n v="85"/>
    <s v="Non Résolu"/>
    <x v="9"/>
    <n v="1.017161"/>
    <n v="16.519689"/>
    <x v="3"/>
    <s v="Nokia"/>
  </r>
  <r>
    <d v="2023-10-15T17:41:00"/>
    <s v="ANT-0363"/>
    <n v="34"/>
    <s v="En Cours"/>
    <x v="12"/>
    <n v="5.3608999999999997E-2"/>
    <n v="28.346852999999999"/>
    <x v="3"/>
    <s v="ZTE"/>
  </r>
  <r>
    <d v="2023-10-12T09:16:00"/>
    <s v="ANT-0274"/>
    <n v="13"/>
    <s v="Non Résolu"/>
    <x v="1"/>
    <s v="Non repertorié"/>
    <s v="Non repertorié"/>
    <x v="1"/>
    <s v="Non repertorié"/>
  </r>
  <r>
    <d v="2023-10-12T16:56:00"/>
    <s v="ANT-0815"/>
    <n v="95"/>
    <s v="Non Résolu"/>
    <x v="1"/>
    <s v="Non repertorié"/>
    <s v="Non repertorié"/>
    <x v="1"/>
    <s v="Non repertorié"/>
  </r>
  <r>
    <d v="2023-10-16T14:06:00"/>
    <s v="ANT-0407"/>
    <n v="24"/>
    <s v="Non Résolu"/>
    <x v="25"/>
    <n v="2.5458379999999998"/>
    <n v="13.308655"/>
    <x v="2"/>
    <s v="ZTE"/>
  </r>
  <r>
    <d v="2023-10-26T23:30:00"/>
    <s v="ANT-0081"/>
    <n v="6"/>
    <s v="Résolu"/>
    <x v="15"/>
    <n v="-10.577049000000001"/>
    <n v="23.721854"/>
    <x v="0"/>
    <s v="ZTE"/>
  </r>
  <r>
    <d v="2023-10-25T10:58:00"/>
    <s v="ANT-0383"/>
    <n v="32"/>
    <s v="Résolu"/>
    <x v="1"/>
    <s v="Non repertorié"/>
    <s v="Non repertorié"/>
    <x v="1"/>
    <s v="Non repertorié"/>
  </r>
  <r>
    <d v="2023-10-07T11:20:00"/>
    <s v="ANT-0983"/>
    <n v="69"/>
    <s v="En Cours"/>
    <x v="1"/>
    <s v="Non repertorié"/>
    <s v="Non repertorié"/>
    <x v="1"/>
    <s v="Non repertorié"/>
  </r>
  <r>
    <d v="2023-10-14T01:36:00"/>
    <s v="ANT-0416"/>
    <n v="63"/>
    <s v="Résolu"/>
    <x v="8"/>
    <n v="-11.387295999999999"/>
    <n v="19.384257999999999"/>
    <x v="3"/>
    <s v="Huawei"/>
  </r>
  <r>
    <d v="2023-10-28T07:47:00"/>
    <s v="ANT-0471"/>
    <n v="52"/>
    <s v="Résolu"/>
    <x v="1"/>
    <s v="Non repertorié"/>
    <s v="Non repertorié"/>
    <x v="1"/>
    <s v="Non repertorié"/>
  </r>
  <r>
    <d v="2023-10-05T00:16:00"/>
    <s v="ANT-0579"/>
    <n v="12"/>
    <s v="Non Résolu"/>
    <x v="25"/>
    <n v="-1.6488929999999999"/>
    <n v="27.284617000000001"/>
    <x v="2"/>
    <s v="Nokia"/>
  </r>
  <r>
    <d v="2023-10-18T18:37:00"/>
    <s v="ANT-0250"/>
    <n v="84"/>
    <s v="Résolu"/>
    <x v="25"/>
    <n v="-2.3743210000000001"/>
    <n v="22.399491000000001"/>
    <x v="2"/>
    <s v="Ericsson"/>
  </r>
  <r>
    <d v="2023-10-24T13:18:00"/>
    <s v="ANT-0714"/>
    <n v="86"/>
    <s v="Non Résolu"/>
    <x v="8"/>
    <n v="-12.050063"/>
    <n v="26.636987999999999"/>
    <x v="3"/>
    <s v="Nokia"/>
  </r>
  <r>
    <d v="2023-10-05T06:21:00"/>
    <s v="ANT-0232"/>
    <n v="90"/>
    <s v="En Cours"/>
    <x v="16"/>
    <n v="2.0392079999999999"/>
    <n v="19.090841999999999"/>
    <x v="0"/>
    <s v="Nokia"/>
  </r>
  <r>
    <d v="2023-10-08T12:36:00"/>
    <s v="ANT-0308"/>
    <n v="83"/>
    <s v="Résolu"/>
    <x v="1"/>
    <s v="Non repertorié"/>
    <s v="Non repertorié"/>
    <x v="1"/>
    <s v="Non repertorié"/>
  </r>
  <r>
    <d v="2023-10-27T07:31:00"/>
    <s v="ANT-0701"/>
    <n v="66"/>
    <s v="En Cours"/>
    <x v="14"/>
    <n v="-12.839263000000001"/>
    <n v="12.355677"/>
    <x v="3"/>
    <s v="Huawei"/>
  </r>
  <r>
    <d v="2023-10-18T20:43:00"/>
    <s v="ANT-0848"/>
    <n v="89"/>
    <s v="Résolu"/>
    <x v="1"/>
    <s v="Non repertorié"/>
    <s v="Non repertorié"/>
    <x v="1"/>
    <s v="Non repertorié"/>
  </r>
  <r>
    <d v="2023-10-11T08:48:00"/>
    <s v="ANT-0869"/>
    <n v="67"/>
    <s v="Non Résolu"/>
    <x v="16"/>
    <n v="-8.0301989999999996"/>
    <n v="24.122495000000001"/>
    <x v="2"/>
    <s v="ZTE"/>
  </r>
  <r>
    <d v="2023-10-27T15:46:00"/>
    <s v="ANT-0083"/>
    <n v="7"/>
    <s v="Résolu"/>
    <x v="1"/>
    <s v="Non repertorié"/>
    <s v="Non repertorié"/>
    <x v="1"/>
    <s v="Non repertorié"/>
  </r>
  <r>
    <d v="2023-10-25T23:08:00"/>
    <s v="ANT-0334"/>
    <n v="83"/>
    <s v="Non Résolu"/>
    <x v="1"/>
    <s v="Non repertorié"/>
    <s v="Non repertorié"/>
    <x v="1"/>
    <s v="Non repertorié"/>
  </r>
  <r>
    <d v="2023-10-26T22:46:00"/>
    <s v="ANT-0386"/>
    <n v="30"/>
    <s v="Résolu"/>
    <x v="4"/>
    <n v="-10.653247"/>
    <n v="14.685601"/>
    <x v="0"/>
    <s v="Ericsson"/>
  </r>
  <r>
    <d v="2023-10-03T16:47:00"/>
    <s v="ANT-0288"/>
    <n v="63"/>
    <s v="Non Résolu"/>
    <x v="10"/>
    <n v="1.400674"/>
    <n v="13.503126999999999"/>
    <x v="2"/>
    <s v="ZTE"/>
  </r>
  <r>
    <d v="2023-10-12T01:06:00"/>
    <s v="ANT-0837"/>
    <n v="18"/>
    <s v="En Cours"/>
    <x v="19"/>
    <n v="-5.3762689999999997"/>
    <n v="28.189575999999999"/>
    <x v="2"/>
    <s v="Huawei"/>
  </r>
  <r>
    <d v="2023-10-14T07:53:00"/>
    <s v="ANT-0805"/>
    <n v="22"/>
    <s v="En Cours"/>
    <x v="1"/>
    <s v="Non repertorié"/>
    <s v="Non repertorié"/>
    <x v="1"/>
    <s v="Non repertorié"/>
  </r>
  <r>
    <d v="2023-10-03T10:38:00"/>
    <s v="ANT-0403"/>
    <n v="43"/>
    <s v="Résolu"/>
    <x v="1"/>
    <s v="Non repertorié"/>
    <s v="Non repertorié"/>
    <x v="1"/>
    <s v="Non repertorié"/>
  </r>
  <r>
    <d v="2023-10-25T19:38:00"/>
    <s v="ANT-0374"/>
    <n v="5"/>
    <s v="En Cours"/>
    <x v="1"/>
    <s v="Non repertorié"/>
    <s v="Non repertorié"/>
    <x v="1"/>
    <s v="Non repertorié"/>
  </r>
  <r>
    <d v="2023-10-13T10:01:00"/>
    <s v="ANT-0117"/>
    <n v="55"/>
    <s v="Non Résolu"/>
    <x v="25"/>
    <n v="1.938083"/>
    <n v="28.25281"/>
    <x v="0"/>
    <s v="Nokia"/>
  </r>
  <r>
    <d v="2023-10-21T08:50:00"/>
    <s v="ANT-0955"/>
    <n v="47"/>
    <s v="En Cours"/>
    <x v="1"/>
    <s v="Non repertorié"/>
    <s v="Non repertorié"/>
    <x v="1"/>
    <s v="Non repertorié"/>
  </r>
  <r>
    <d v="2023-10-15T15:14:00"/>
    <s v="ANT-0578"/>
    <n v="112"/>
    <s v="Non Résolu"/>
    <x v="14"/>
    <n v="-6.1490739999999997"/>
    <n v="23.304411000000002"/>
    <x v="2"/>
    <s v="ZTE"/>
  </r>
  <r>
    <d v="2023-10-12T17:24:00"/>
    <s v="ANT-0205"/>
    <n v="84"/>
    <s v="En Cours"/>
    <x v="17"/>
    <n v="-1.4110389999999999"/>
    <n v="21.261644"/>
    <x v="0"/>
    <s v="ZTE"/>
  </r>
  <r>
    <d v="2023-10-14T05:43:00"/>
    <s v="ANT-0607"/>
    <n v="53"/>
    <s v="Non Résolu"/>
    <x v="6"/>
    <n v="-8.4985189999999999"/>
    <n v="12.929456999999999"/>
    <x v="0"/>
    <s v="Ericsson"/>
  </r>
  <r>
    <d v="2023-10-19T21:24:00"/>
    <s v="ANT-0559"/>
    <n v="107"/>
    <s v="Non Résolu"/>
    <x v="1"/>
    <s v="Non repertorié"/>
    <s v="Non repertorié"/>
    <x v="1"/>
    <s v="Non repertorié"/>
  </r>
  <r>
    <d v="2023-10-03T19:18:00"/>
    <s v="ANT-0185"/>
    <n v="115"/>
    <s v="Non Résolu"/>
    <x v="22"/>
    <n v="1.2391989999999999"/>
    <n v="15.386718999999999"/>
    <x v="2"/>
    <s v="ZTE"/>
  </r>
  <r>
    <d v="2023-10-26T07:45:00"/>
    <s v="ANT-0699"/>
    <n v="47"/>
    <s v="En Cours"/>
    <x v="1"/>
    <s v="Non repertorié"/>
    <s v="Non repertorié"/>
    <x v="1"/>
    <s v="Non repertorié"/>
  </r>
  <r>
    <d v="2023-10-03T02:17:00"/>
    <s v="ANT-0787"/>
    <n v="61"/>
    <s v="Non Résolu"/>
    <x v="1"/>
    <s v="Non repertorié"/>
    <s v="Non repertorié"/>
    <x v="1"/>
    <s v="Non repertorié"/>
  </r>
  <r>
    <d v="2023-10-05T12:45:00"/>
    <s v="ANT-0564"/>
    <n v="47"/>
    <s v="Résolu"/>
    <x v="9"/>
    <n v="-12.336202"/>
    <n v="13.693683999999999"/>
    <x v="2"/>
    <s v="Huawei"/>
  </r>
  <r>
    <d v="2023-10-26T20:09:00"/>
    <s v="ANT-0028"/>
    <n v="60"/>
    <s v="En Cours"/>
    <x v="1"/>
    <s v="Non repertorié"/>
    <s v="Non repertorié"/>
    <x v="1"/>
    <s v="Non repertorié"/>
  </r>
  <r>
    <d v="2023-10-24T12:20:00"/>
    <s v="ANT-0976"/>
    <n v="109"/>
    <s v="Non Résolu"/>
    <x v="1"/>
    <s v="Non repertorié"/>
    <s v="Non repertorié"/>
    <x v="1"/>
    <s v="Non repertorié"/>
  </r>
  <r>
    <d v="2023-10-12T03:05:00"/>
    <s v="ANT-0745"/>
    <n v="110"/>
    <s v="Non Résolu"/>
    <x v="13"/>
    <n v="2.453036"/>
    <n v="20.555484"/>
    <x v="2"/>
    <s v="Ericsson"/>
  </r>
  <r>
    <d v="2023-10-01T09:28:00"/>
    <s v="ANT-0473"/>
    <n v="115"/>
    <s v="Non Résolu"/>
    <x v="1"/>
    <s v="Non repertorié"/>
    <s v="Non repertorié"/>
    <x v="1"/>
    <s v="Non repertorié"/>
  </r>
  <r>
    <d v="2023-10-12T08:06:00"/>
    <s v="ANT-0966"/>
    <n v="88"/>
    <s v="Non Résolu"/>
    <x v="18"/>
    <n v="-12.364127999999999"/>
    <n v="19.576150999999999"/>
    <x v="3"/>
    <s v="Nokia"/>
  </r>
  <r>
    <d v="2023-10-05T02:11:00"/>
    <s v="ANT-0726"/>
    <n v="81"/>
    <s v="Résolu"/>
    <x v="1"/>
    <s v="Non repertorié"/>
    <s v="Non repertorié"/>
    <x v="1"/>
    <s v="Non repertorié"/>
  </r>
  <r>
    <d v="2023-10-14T14:35:00"/>
    <s v="ANT-0215"/>
    <n v="22"/>
    <s v="Résolu"/>
    <x v="1"/>
    <s v="Non repertorié"/>
    <s v="Non repertorié"/>
    <x v="1"/>
    <s v="Non repertorié"/>
  </r>
  <r>
    <d v="2023-10-18T16:26:00"/>
    <s v="ANT-0449"/>
    <n v="43"/>
    <s v="Résolu"/>
    <x v="1"/>
    <s v="Non repertorié"/>
    <s v="Non repertorié"/>
    <x v="1"/>
    <s v="Non repertorié"/>
  </r>
  <r>
    <d v="2023-10-04T00:05:00"/>
    <s v="ANT-0817"/>
    <n v="46"/>
    <s v="Non Résolu"/>
    <x v="1"/>
    <s v="Non repertorié"/>
    <s v="Non repertorié"/>
    <x v="1"/>
    <s v="Non repertorié"/>
  </r>
  <r>
    <d v="2023-10-12T17:05:00"/>
    <s v="ANT-0299"/>
    <n v="82"/>
    <s v="Non Résolu"/>
    <x v="1"/>
    <s v="Non repertorié"/>
    <s v="Non repertorié"/>
    <x v="1"/>
    <s v="Non repertorié"/>
  </r>
  <r>
    <d v="2023-10-20T19:50:00"/>
    <s v="ANT-0852"/>
    <n v="93"/>
    <s v="En Cours"/>
    <x v="13"/>
    <n v="4.2493650000000001"/>
    <n v="28.355039999999999"/>
    <x v="3"/>
    <s v="ZTE"/>
  </r>
  <r>
    <d v="2023-10-11T12:00:00"/>
    <s v="ANT-0710"/>
    <n v="30"/>
    <s v="Résolu"/>
    <x v="1"/>
    <s v="Non repertorié"/>
    <s v="Non repertorié"/>
    <x v="1"/>
    <s v="Non repertorié"/>
  </r>
  <r>
    <d v="2023-10-10T13:24:00"/>
    <s v="ANT-0071"/>
    <n v="66"/>
    <s v="Non Résolu"/>
    <x v="18"/>
    <n v="-12.595355"/>
    <n v="17.897442000000002"/>
    <x v="0"/>
    <s v="Huawei"/>
  </r>
  <r>
    <d v="2023-10-25T02:46:00"/>
    <s v="ANT-0839"/>
    <n v="45"/>
    <s v="Non Résolu"/>
    <x v="10"/>
    <n v="-11.265995"/>
    <n v="28.935514999999999"/>
    <x v="0"/>
    <s v="Ericsson"/>
  </r>
  <r>
    <d v="2023-10-29T17:57:00"/>
    <s v="ANT-0869"/>
    <n v="27"/>
    <s v="Résolu"/>
    <x v="16"/>
    <n v="-8.0301989999999996"/>
    <n v="24.122495000000001"/>
    <x v="2"/>
    <s v="ZTE"/>
  </r>
  <r>
    <d v="2023-10-08T18:33:00"/>
    <s v="ANT-0815"/>
    <n v="55"/>
    <s v="Non Résolu"/>
    <x v="1"/>
    <s v="Non repertorié"/>
    <s v="Non repertorié"/>
    <x v="1"/>
    <s v="Non repertorié"/>
  </r>
  <r>
    <d v="2023-10-06T21:24:00"/>
    <s v="ANT-0815"/>
    <n v="45"/>
    <s v="Non Résolu"/>
    <x v="1"/>
    <s v="Non repertorié"/>
    <s v="Non repertorié"/>
    <x v="1"/>
    <s v="Non repertorié"/>
  </r>
  <r>
    <d v="2023-10-06T04:17:00"/>
    <s v="ANT-0419"/>
    <n v="42"/>
    <s v="Non Résolu"/>
    <x v="8"/>
    <n v="3.611561"/>
    <n v="17.725974999999998"/>
    <x v="3"/>
    <s v="ZTE"/>
  </r>
  <r>
    <d v="2023-10-10T08:31:00"/>
    <s v="ANT-0690"/>
    <n v="99"/>
    <s v="Non Résolu"/>
    <x v="21"/>
    <n v="1.3006180000000001"/>
    <n v="29.060970999999999"/>
    <x v="3"/>
    <s v="ZTE"/>
  </r>
  <r>
    <d v="2023-10-05T02:10:00"/>
    <s v="ANT-0512"/>
    <n v="93"/>
    <s v="En Cours"/>
    <x v="1"/>
    <s v="Non repertorié"/>
    <s v="Non repertorié"/>
    <x v="1"/>
    <s v="Non repertorié"/>
  </r>
  <r>
    <d v="2023-10-14T08:26:00"/>
    <s v="ANT-0143"/>
    <n v="86"/>
    <s v="En Cours"/>
    <x v="25"/>
    <n v="4.8228650000000002"/>
    <n v="30.555627000000001"/>
    <x v="0"/>
    <s v="Huawei"/>
  </r>
  <r>
    <d v="2023-10-10T15:50:00"/>
    <s v="ANT-0649"/>
    <n v="67"/>
    <s v="En Cours"/>
    <x v="6"/>
    <n v="-7.7839049999999999"/>
    <n v="14.114281999999999"/>
    <x v="3"/>
    <s v="ZTE"/>
  </r>
  <r>
    <d v="2023-10-03T11:16:00"/>
    <s v="ANT-0311"/>
    <n v="78"/>
    <s v="Résolu"/>
    <x v="1"/>
    <s v="Non repertorié"/>
    <s v="Non repertorié"/>
    <x v="1"/>
    <s v="Non repertorié"/>
  </r>
  <r>
    <d v="2023-10-31T07:46:00"/>
    <s v="ANT-0248"/>
    <n v="105"/>
    <s v="Résolu"/>
    <x v="22"/>
    <n v="-4.4351269999999996"/>
    <n v="24.825467"/>
    <x v="0"/>
    <s v="Huawei"/>
  </r>
  <r>
    <d v="2023-10-21T15:38:00"/>
    <s v="ANT-0259"/>
    <n v="36"/>
    <s v="Résolu"/>
    <x v="1"/>
    <s v="Non repertorié"/>
    <s v="Non repertorié"/>
    <x v="1"/>
    <s v="Non repertorié"/>
  </r>
  <r>
    <d v="2023-10-08T14:23:00"/>
    <s v="ANT-0282"/>
    <n v="59"/>
    <s v="Résolu"/>
    <x v="9"/>
    <n v="-10.25074"/>
    <n v="26.099086"/>
    <x v="0"/>
    <s v="Huawei"/>
  </r>
  <r>
    <d v="2023-10-13T14:49:00"/>
    <s v="ANT-0231"/>
    <n v="28"/>
    <s v="Résolu"/>
    <x v="1"/>
    <s v="Non repertorié"/>
    <s v="Non repertorié"/>
    <x v="1"/>
    <s v="Non repertorié"/>
  </r>
  <r>
    <d v="2023-10-22T18:44:00"/>
    <s v="ANT-0551"/>
    <n v="67"/>
    <s v="Résolu"/>
    <x v="15"/>
    <n v="-7.789663"/>
    <n v="26.529098000000001"/>
    <x v="2"/>
    <s v="Nokia"/>
  </r>
  <r>
    <d v="2023-10-17T04:22:00"/>
    <s v="ANT-0296"/>
    <n v="86"/>
    <s v="Non Résolu"/>
    <x v="1"/>
    <s v="Non repertorié"/>
    <s v="Non repertorié"/>
    <x v="1"/>
    <s v="Non repertorié"/>
  </r>
  <r>
    <d v="2023-10-01T15:06:00"/>
    <s v="ANT-0173"/>
    <n v="73"/>
    <s v="Non Résolu"/>
    <x v="1"/>
    <s v="Non repertorié"/>
    <s v="Non repertorié"/>
    <x v="1"/>
    <s v="Non repertorié"/>
  </r>
  <r>
    <d v="2023-10-10T13:58:00"/>
    <s v="ANT-0800"/>
    <n v="93"/>
    <s v="Non Résolu"/>
    <x v="1"/>
    <s v="Non repertorié"/>
    <s v="Non repertorié"/>
    <x v="1"/>
    <s v="Non repertorié"/>
  </r>
  <r>
    <d v="2023-10-31T02:07:00"/>
    <s v="ANT-0469"/>
    <n v="87"/>
    <s v="En Cours"/>
    <x v="1"/>
    <s v="Non repertorié"/>
    <s v="Non repertorié"/>
    <x v="1"/>
    <s v="Non repertorié"/>
  </r>
  <r>
    <d v="2023-10-27T23:09:00"/>
    <s v="ANT-0580"/>
    <n v="27"/>
    <s v="Non Résolu"/>
    <x v="16"/>
    <n v="-11.354772000000001"/>
    <n v="21.957325999999998"/>
    <x v="3"/>
    <s v="Nokia"/>
  </r>
  <r>
    <d v="2023-10-12T09:21:00"/>
    <s v="ANT-0761"/>
    <n v="76"/>
    <s v="Non Résolu"/>
    <x v="1"/>
    <s v="Non repertorié"/>
    <s v="Non repertorié"/>
    <x v="1"/>
    <s v="Non repertorié"/>
  </r>
  <r>
    <d v="2023-10-15T06:33:00"/>
    <s v="ANT-0792"/>
    <n v="26"/>
    <s v="Non Résolu"/>
    <x v="1"/>
    <s v="Non repertorié"/>
    <s v="Non repertorié"/>
    <x v="1"/>
    <s v="Non repertorié"/>
  </r>
  <r>
    <d v="2023-10-16T11:30:00"/>
    <s v="ANT-0785"/>
    <n v="67"/>
    <s v="En Cours"/>
    <x v="1"/>
    <s v="Non repertorié"/>
    <s v="Non repertorié"/>
    <x v="1"/>
    <s v="Non repertorié"/>
  </r>
  <r>
    <d v="2023-10-04T14:46:00"/>
    <s v="ANT-0508"/>
    <n v="41"/>
    <s v="Résolu"/>
    <x v="1"/>
    <s v="Non repertorié"/>
    <s v="Non repertorié"/>
    <x v="1"/>
    <s v="Non repertorié"/>
  </r>
  <r>
    <d v="2023-10-23T14:20:00"/>
    <s v="ANT-0563"/>
    <n v="22"/>
    <s v="Non Résolu"/>
    <x v="9"/>
    <n v="-1.8555980000000001"/>
    <n v="30.421918000000002"/>
    <x v="3"/>
    <s v="ZTE"/>
  </r>
  <r>
    <d v="2023-10-03T09:02:00"/>
    <s v="ANT-0524"/>
    <n v="28"/>
    <s v="Résolu"/>
    <x v="12"/>
    <n v="-7.402336"/>
    <n v="27.376697"/>
    <x v="0"/>
    <s v="Huawei"/>
  </r>
  <r>
    <d v="2023-10-26T22:07:00"/>
    <s v="ANT-0116"/>
    <n v="45"/>
    <s v="Résolu"/>
    <x v="1"/>
    <s v="Non repertorié"/>
    <s v="Non repertorié"/>
    <x v="1"/>
    <s v="Non repertorié"/>
  </r>
  <r>
    <d v="2023-10-01T10:41:00"/>
    <s v="ANT-0587"/>
    <n v="112"/>
    <s v="Résolu"/>
    <x v="7"/>
    <n v="-10.945031"/>
    <n v="27.922274000000002"/>
    <x v="0"/>
    <s v="Ericsson"/>
  </r>
  <r>
    <d v="2023-10-04T21:51:00"/>
    <s v="ANT-0117"/>
    <n v="62"/>
    <s v="Résolu"/>
    <x v="25"/>
    <n v="1.938083"/>
    <n v="28.25281"/>
    <x v="0"/>
    <s v="Nokia"/>
  </r>
  <r>
    <d v="2023-10-06T23:15:00"/>
    <s v="ANT-0275"/>
    <n v="84"/>
    <s v="Non Résolu"/>
    <x v="1"/>
    <s v="Non repertorié"/>
    <s v="Non repertorié"/>
    <x v="1"/>
    <s v="Non repertorié"/>
  </r>
  <r>
    <d v="2023-10-17T05:35:00"/>
    <s v="ANT-0794"/>
    <n v="11"/>
    <s v="En Cours"/>
    <x v="11"/>
    <n v="-3.8119990000000001"/>
    <n v="20.420048000000001"/>
    <x v="3"/>
    <s v="ZTE"/>
  </r>
  <r>
    <d v="2023-10-06T10:35:00"/>
    <s v="ANT-0557"/>
    <n v="115"/>
    <s v="Non Résolu"/>
    <x v="13"/>
    <n v="-1.3024210000000001"/>
    <n v="13.601914000000001"/>
    <x v="3"/>
    <s v="Huawei"/>
  </r>
  <r>
    <d v="2023-10-14T14:14:00"/>
    <s v="ANT-0844"/>
    <n v="50"/>
    <s v="En Cours"/>
    <x v="1"/>
    <s v="Non repertorié"/>
    <s v="Non repertorié"/>
    <x v="1"/>
    <s v="Non repertorié"/>
  </r>
  <r>
    <d v="2023-10-26T12:40:00"/>
    <s v="ANT-0376"/>
    <n v="6"/>
    <s v="Non Résolu"/>
    <x v="1"/>
    <s v="Non repertorié"/>
    <s v="Non repertorié"/>
    <x v="1"/>
    <s v="Non repertorié"/>
  </r>
  <r>
    <d v="2023-10-06T05:40:00"/>
    <s v="ANT-0556"/>
    <n v="67"/>
    <s v="Non Résolu"/>
    <x v="1"/>
    <s v="Non repertorié"/>
    <s v="Non repertorié"/>
    <x v="1"/>
    <s v="Non repertorié"/>
  </r>
  <r>
    <d v="2023-10-22T13:25:00"/>
    <s v="ANT-0843"/>
    <n v="22"/>
    <s v="Résolu"/>
    <x v="4"/>
    <n v="0.65288900000000005"/>
    <n v="24.243953999999999"/>
    <x v="2"/>
    <s v="Ericsson"/>
  </r>
  <r>
    <d v="2023-10-01T23:39:00"/>
    <s v="ANT-0775"/>
    <n v="29"/>
    <s v="En Cours"/>
    <x v="20"/>
    <n v="1.5278670000000001"/>
    <n v="13.899388999999999"/>
    <x v="3"/>
    <s v="Huawei"/>
  </r>
  <r>
    <d v="2023-10-29T06:28:00"/>
    <s v="ANT-0043"/>
    <n v="109"/>
    <s v="Non Résolu"/>
    <x v="1"/>
    <s v="Non repertorié"/>
    <s v="Non repertorié"/>
    <x v="1"/>
    <s v="Non repertorié"/>
  </r>
  <r>
    <d v="2023-10-19T13:24:00"/>
    <s v="ANT-0779"/>
    <n v="54"/>
    <s v="En Cours"/>
    <x v="1"/>
    <s v="Non repertorié"/>
    <s v="Non repertorié"/>
    <x v="1"/>
    <s v="Non repertorié"/>
  </r>
  <r>
    <d v="2023-10-01T22:13:00"/>
    <s v="ANT-0737"/>
    <n v="76"/>
    <s v="En Cours"/>
    <x v="2"/>
    <n v="-2.8211520000000001"/>
    <n v="20.651419000000001"/>
    <x v="2"/>
    <s v="Ericsson"/>
  </r>
  <r>
    <d v="2023-10-07T08:48:00"/>
    <s v="ANT-0452"/>
    <n v="69"/>
    <s v="Non Résolu"/>
    <x v="1"/>
    <s v="Non repertorié"/>
    <s v="Non repertorié"/>
    <x v="1"/>
    <s v="Non repertorié"/>
  </r>
  <r>
    <d v="2023-10-23T02:36:00"/>
    <s v="ANT-0560"/>
    <n v="88"/>
    <s v="En Cours"/>
    <x v="1"/>
    <s v="Non repertorié"/>
    <s v="Non repertorié"/>
    <x v="1"/>
    <s v="Non repertorié"/>
  </r>
  <r>
    <d v="2023-10-04T17:11:00"/>
    <s v="ANT-0224"/>
    <n v="68"/>
    <s v="Non Résolu"/>
    <x v="9"/>
    <n v="-7.9866700000000002"/>
    <n v="17.757847000000002"/>
    <x v="2"/>
    <s v="Huawei"/>
  </r>
  <r>
    <d v="2023-10-12T10:12:00"/>
    <s v="ANT-0436"/>
    <n v="57"/>
    <s v="Non Résolu"/>
    <x v="10"/>
    <n v="-4.5603610000000003"/>
    <n v="24.113918999999999"/>
    <x v="2"/>
    <s v="ZTE"/>
  </r>
  <r>
    <d v="2023-10-15T03:16:00"/>
    <s v="ANT-0105"/>
    <n v="92"/>
    <s v="Résolu"/>
    <x v="1"/>
    <s v="Non repertorié"/>
    <s v="Non repertorié"/>
    <x v="1"/>
    <s v="Non repertorié"/>
  </r>
  <r>
    <d v="2023-10-22T15:33:00"/>
    <s v="ANT-0754"/>
    <n v="67"/>
    <s v="Résolu"/>
    <x v="22"/>
    <n v="-11.924048000000001"/>
    <n v="24.177174999999998"/>
    <x v="3"/>
    <s v="Nokia"/>
  </r>
  <r>
    <d v="2023-10-31T20:20:00"/>
    <s v="ANT-0850"/>
    <n v="58"/>
    <s v="En Cours"/>
    <x v="12"/>
    <n v="-5.9021970000000001"/>
    <n v="20.551169999999999"/>
    <x v="3"/>
    <s v="Huawei"/>
  </r>
  <r>
    <d v="2023-10-20T12:39:00"/>
    <s v="ANT-0670"/>
    <n v="95"/>
    <s v="Résolu"/>
    <x v="22"/>
    <n v="-7.1483749999999997"/>
    <n v="26.014271000000001"/>
    <x v="2"/>
    <s v="Huawei"/>
  </r>
  <r>
    <d v="2023-10-13T18:07:00"/>
    <s v="ANT-0770"/>
    <n v="112"/>
    <s v="En Cours"/>
    <x v="12"/>
    <n v="2.4741019999999998"/>
    <n v="29.297391000000001"/>
    <x v="0"/>
    <s v="Ericsson"/>
  </r>
  <r>
    <d v="2023-10-12T11:54:00"/>
    <s v="ANT-0254"/>
    <n v="61"/>
    <s v="Non Résolu"/>
    <x v="1"/>
    <s v="Non repertorié"/>
    <s v="Non repertorié"/>
    <x v="1"/>
    <s v="Non repertorié"/>
  </r>
  <r>
    <d v="2023-10-15T19:11:00"/>
    <s v="ANT-0305"/>
    <n v="67"/>
    <s v="Résolu"/>
    <x v="1"/>
    <s v="Non repertorié"/>
    <s v="Non repertorié"/>
    <x v="1"/>
    <s v="Non repertorié"/>
  </r>
  <r>
    <d v="2023-10-27T21:45:00"/>
    <s v="ANT-0896"/>
    <n v="26"/>
    <s v="Non Résolu"/>
    <x v="1"/>
    <s v="Non repertorié"/>
    <s v="Non repertorié"/>
    <x v="1"/>
    <s v="Non repertorié"/>
  </r>
  <r>
    <d v="2023-10-26T09:58:00"/>
    <s v="ANT-0034"/>
    <n v="15"/>
    <s v="Résolu"/>
    <x v="1"/>
    <s v="Non repertorié"/>
    <s v="Non repertorié"/>
    <x v="1"/>
    <s v="Non repertorié"/>
  </r>
  <r>
    <d v="2023-10-20T18:05:00"/>
    <s v="ANT-0461"/>
    <n v="77"/>
    <s v="Résolu"/>
    <x v="1"/>
    <s v="Non repertorié"/>
    <s v="Non repertorié"/>
    <x v="1"/>
    <s v="Non repertorié"/>
  </r>
  <r>
    <d v="2023-10-22T04:20:00"/>
    <s v="ANT-0270"/>
    <n v="8"/>
    <s v="Résolu"/>
    <x v="3"/>
    <n v="-1.648264"/>
    <n v="28.866143999999998"/>
    <x v="2"/>
    <s v="Ericsson"/>
  </r>
  <r>
    <d v="2023-10-04T07:19:00"/>
    <s v="ANT-0357"/>
    <n v="106"/>
    <s v="Non Résolu"/>
    <x v="0"/>
    <n v="-11.793894"/>
    <n v="20.433340999999999"/>
    <x v="2"/>
    <s v="Nokia"/>
  </r>
  <r>
    <d v="2023-10-04T05:23:00"/>
    <s v="ANT-0883"/>
    <n v="102"/>
    <s v="En Cours"/>
    <x v="13"/>
    <n v="-9.4702129999999993"/>
    <n v="12.826158"/>
    <x v="3"/>
    <s v="Ericsson"/>
  </r>
  <r>
    <d v="2023-10-23T04:32:00"/>
    <s v="ANT-0837"/>
    <n v="33"/>
    <s v="Résolu"/>
    <x v="19"/>
    <n v="-5.3762689999999997"/>
    <n v="28.189575999999999"/>
    <x v="2"/>
    <s v="Huawei"/>
  </r>
  <r>
    <d v="2023-10-13T13:38:00"/>
    <s v="ANT-0090"/>
    <n v="42"/>
    <s v="Non Résolu"/>
    <x v="3"/>
    <n v="-7.3379339999999997"/>
    <n v="28.404001999999998"/>
    <x v="3"/>
    <s v="Nokia"/>
  </r>
  <r>
    <d v="2023-10-05T18:24:00"/>
    <s v="ANT-0450"/>
    <n v="9"/>
    <s v="En Cours"/>
    <x v="3"/>
    <n v="-12.560556999999999"/>
    <n v="13.204014000000001"/>
    <x v="0"/>
    <s v="Ericsson"/>
  </r>
  <r>
    <d v="2023-10-03T20:50:00"/>
    <s v="ANT-0739"/>
    <n v="91"/>
    <s v="Non Résolu"/>
    <x v="1"/>
    <s v="Non repertorié"/>
    <s v="Non repertorié"/>
    <x v="1"/>
    <s v="Non repertorié"/>
  </r>
  <r>
    <d v="2023-10-29T02:25:00"/>
    <s v="ANT-0623"/>
    <n v="23"/>
    <s v="En Cours"/>
    <x v="1"/>
    <s v="Non repertorié"/>
    <s v="Non repertorié"/>
    <x v="1"/>
    <s v="Non repertorié"/>
  </r>
  <r>
    <d v="2023-10-17T23:17:00"/>
    <s v="ANT-0292"/>
    <n v="13"/>
    <s v="En Cours"/>
    <x v="20"/>
    <n v="-6.4197189999999997"/>
    <n v="22.287264"/>
    <x v="3"/>
    <s v="Ericsson"/>
  </r>
  <r>
    <d v="2023-10-23T11:29:00"/>
    <s v="ANT-0798"/>
    <n v="72"/>
    <s v="Non Résolu"/>
    <x v="1"/>
    <s v="Non repertorié"/>
    <s v="Non repertorié"/>
    <x v="1"/>
    <s v="Non repertorié"/>
  </r>
  <r>
    <d v="2023-10-31T15:20:00"/>
    <s v="ANT-0964"/>
    <n v="77"/>
    <s v="Non Résolu"/>
    <x v="21"/>
    <n v="-0.57104900000000003"/>
    <n v="15.317663"/>
    <x v="2"/>
    <s v="Nokia"/>
  </r>
  <r>
    <d v="2023-10-19T00:55:00"/>
    <s v="ANT-0708"/>
    <n v="6"/>
    <s v="Résolu"/>
    <x v="4"/>
    <n v="-9.7712979999999998"/>
    <n v="19.827895999999999"/>
    <x v="3"/>
    <s v="ZTE"/>
  </r>
  <r>
    <d v="2023-10-25T23:05:00"/>
    <s v="ANT-0028"/>
    <n v="83"/>
    <s v="En Cours"/>
    <x v="1"/>
    <s v="Non repertorié"/>
    <s v="Non repertorié"/>
    <x v="1"/>
    <s v="Non repertorié"/>
  </r>
  <r>
    <d v="2023-10-24T14:40:00"/>
    <s v="ANT-0869"/>
    <n v="88"/>
    <s v="Résolu"/>
    <x v="16"/>
    <n v="-8.0301989999999996"/>
    <n v="24.122495000000001"/>
    <x v="2"/>
    <s v="ZTE"/>
  </r>
  <r>
    <d v="2023-10-22T22:22:00"/>
    <s v="ANT-0868"/>
    <n v="26"/>
    <s v="Résolu"/>
    <x v="1"/>
    <s v="Non repertorié"/>
    <s v="Non repertorié"/>
    <x v="1"/>
    <s v="Non repertorié"/>
  </r>
  <r>
    <d v="2023-10-28T02:50:00"/>
    <s v="ANT-0675"/>
    <n v="61"/>
    <s v="Non Résolu"/>
    <x v="1"/>
    <s v="Non repertorié"/>
    <s v="Non repertorié"/>
    <x v="1"/>
    <s v="Non repertorié"/>
  </r>
  <r>
    <d v="2023-10-18T12:13:00"/>
    <s v="ANT-0897"/>
    <n v="49"/>
    <s v="Résolu"/>
    <x v="1"/>
    <s v="Non repertorié"/>
    <s v="Non repertorié"/>
    <x v="1"/>
    <s v="Non repertorié"/>
  </r>
  <r>
    <d v="2023-10-31T13:52:00"/>
    <s v="ANT-0309"/>
    <n v="97"/>
    <s v="Résolu"/>
    <x v="1"/>
    <s v="Non repertorié"/>
    <s v="Non repertorié"/>
    <x v="1"/>
    <s v="Non repertorié"/>
  </r>
  <r>
    <d v="2023-10-07T15:17:00"/>
    <s v="ANT-0211"/>
    <n v="32"/>
    <s v="En Cours"/>
    <x v="13"/>
    <n v="-11.514817000000001"/>
    <n v="24.891375"/>
    <x v="3"/>
    <s v="Nokia"/>
  </r>
  <r>
    <d v="2023-10-11T09:21:00"/>
    <s v="ANT-0531"/>
    <n v="85"/>
    <s v="Résolu"/>
    <x v="25"/>
    <n v="-4.2645619999999997"/>
    <n v="18.960726000000001"/>
    <x v="0"/>
    <s v="Huawei"/>
  </r>
  <r>
    <d v="2023-10-18T18:08:00"/>
    <s v="ANT-0622"/>
    <n v="100"/>
    <s v="Résolu"/>
    <x v="22"/>
    <n v="-3.003879"/>
    <n v="23.633893"/>
    <x v="2"/>
    <s v="Ericsson"/>
  </r>
  <r>
    <d v="2023-10-19T15:50:00"/>
    <s v="ANT-0522"/>
    <n v="24"/>
    <s v="Résolu"/>
    <x v="1"/>
    <s v="Non repertorié"/>
    <s v="Non repertorié"/>
    <x v="1"/>
    <s v="Non repertorié"/>
  </r>
  <r>
    <d v="2023-10-11T21:48:00"/>
    <s v="ANT-0194"/>
    <n v="57"/>
    <s v="En Cours"/>
    <x v="6"/>
    <n v="8.5490999999999998E-2"/>
    <n v="26.296129000000001"/>
    <x v="3"/>
    <s v="ZTE"/>
  </r>
  <r>
    <d v="2023-10-02T01:06:00"/>
    <s v="ANT-0766"/>
    <n v="83"/>
    <s v="Non Résolu"/>
    <x v="1"/>
    <s v="Non repertorié"/>
    <s v="Non repertorié"/>
    <x v="1"/>
    <s v="Non repertorié"/>
  </r>
  <r>
    <d v="2023-10-21T14:01:00"/>
    <s v="ANT-0402"/>
    <n v="92"/>
    <s v="En Cours"/>
    <x v="6"/>
    <n v="-11.588665000000001"/>
    <n v="15.241552"/>
    <x v="0"/>
    <s v="Nokia"/>
  </r>
  <r>
    <d v="2023-10-04T05:28:00"/>
    <s v="ANT-0303"/>
    <n v="61"/>
    <s v="Non Résolu"/>
    <x v="1"/>
    <s v="Non repertorié"/>
    <s v="Non repertorié"/>
    <x v="1"/>
    <s v="Non repertorié"/>
  </r>
  <r>
    <d v="2023-10-15T00:27:00"/>
    <s v="ANT-0662"/>
    <n v="115"/>
    <s v="Non Résolu"/>
    <x v="6"/>
    <n v="-1.342476"/>
    <n v="15.986086"/>
    <x v="0"/>
    <s v="Ericsson"/>
  </r>
  <r>
    <d v="2023-10-07T22:58:00"/>
    <s v="ANT-0056"/>
    <n v="32"/>
    <s v="Non Résolu"/>
    <x v="24"/>
    <n v="-9.3652280000000001"/>
    <n v="18.674116000000001"/>
    <x v="0"/>
    <s v="Huawei"/>
  </r>
  <r>
    <d v="2023-10-05T20:19:00"/>
    <s v="ANT-0803"/>
    <n v="16"/>
    <s v="En Cours"/>
    <x v="1"/>
    <s v="Non repertorié"/>
    <s v="Non repertorié"/>
    <x v="1"/>
    <s v="Non repertorié"/>
  </r>
  <r>
    <d v="2023-10-06T08:05:00"/>
    <s v="ANT-0920"/>
    <n v="119"/>
    <s v="En Cours"/>
    <x v="1"/>
    <s v="Non repertorié"/>
    <s v="Non repertorié"/>
    <x v="1"/>
    <s v="Non repertorié"/>
  </r>
  <r>
    <d v="2023-10-21T11:16:00"/>
    <s v="ANT-0813"/>
    <n v="17"/>
    <s v="Non Résolu"/>
    <x v="13"/>
    <n v="-1.5419050000000001"/>
    <n v="14.730632999999999"/>
    <x v="3"/>
    <s v="ZTE"/>
  </r>
  <r>
    <d v="2023-10-03T11:42:00"/>
    <s v="ANT-0978"/>
    <n v="22"/>
    <s v="En Cours"/>
    <x v="1"/>
    <s v="Non repertorié"/>
    <s v="Non repertorié"/>
    <x v="1"/>
    <s v="Non repertorié"/>
  </r>
  <r>
    <d v="2023-10-29T20:10:00"/>
    <s v="ANT-0246"/>
    <n v="101"/>
    <s v="Résolu"/>
    <x v="1"/>
    <s v="Non repertorié"/>
    <s v="Non repertorié"/>
    <x v="1"/>
    <s v="Non repertorié"/>
  </r>
  <r>
    <d v="2023-10-02T12:40:00"/>
    <s v="ANT-0507"/>
    <n v="20"/>
    <s v="Non Résolu"/>
    <x v="20"/>
    <n v="0.45116099999999998"/>
    <n v="17.265761000000001"/>
    <x v="0"/>
    <s v="Huawei"/>
  </r>
  <r>
    <d v="2023-10-10T23:44:00"/>
    <s v="ANT-0396"/>
    <n v="80"/>
    <s v="Non Résolu"/>
    <x v="1"/>
    <s v="Non repertorié"/>
    <s v="Non repertorié"/>
    <x v="1"/>
    <s v="Non repertorié"/>
  </r>
  <r>
    <d v="2023-10-25T07:27:00"/>
    <s v="ANT-0116"/>
    <n v="98"/>
    <s v="Non Résolu"/>
    <x v="1"/>
    <s v="Non repertorié"/>
    <s v="Non repertorié"/>
    <x v="1"/>
    <s v="Non repertorié"/>
  </r>
  <r>
    <d v="2023-10-21T02:45:00"/>
    <s v="ANT-0247"/>
    <n v="54"/>
    <s v="Non Résolu"/>
    <x v="1"/>
    <s v="Non repertorié"/>
    <s v="Non repertorié"/>
    <x v="1"/>
    <s v="Non repertorié"/>
  </r>
  <r>
    <d v="2023-10-04T00:13:00"/>
    <s v="ANT-0512"/>
    <n v="49"/>
    <s v="Résolu"/>
    <x v="1"/>
    <s v="Non repertorié"/>
    <s v="Non repertorié"/>
    <x v="1"/>
    <s v="Non repertorié"/>
  </r>
  <r>
    <d v="2023-10-16T02:08:00"/>
    <s v="ANT-0654"/>
    <n v="59"/>
    <s v="En Cours"/>
    <x v="1"/>
    <s v="Non repertorié"/>
    <s v="Non repertorié"/>
    <x v="1"/>
    <s v="Non repertorié"/>
  </r>
  <r>
    <d v="2023-10-19T07:33:00"/>
    <s v="ANT-0609"/>
    <n v="45"/>
    <s v="Résolu"/>
    <x v="1"/>
    <s v="Non repertorié"/>
    <s v="Non repertorié"/>
    <x v="1"/>
    <s v="Non repertorié"/>
  </r>
  <r>
    <d v="2023-10-22T14:00:00"/>
    <s v="ANT-0073"/>
    <n v="106"/>
    <s v="En Cours"/>
    <x v="1"/>
    <s v="Non repertorié"/>
    <s v="Non repertorié"/>
    <x v="1"/>
    <s v="Non repertorié"/>
  </r>
  <r>
    <d v="2023-10-01T22:21:00"/>
    <s v="ANT-0541"/>
    <n v="22"/>
    <s v="Résolu"/>
    <x v="1"/>
    <s v="Non repertorié"/>
    <s v="Non repertorié"/>
    <x v="1"/>
    <s v="Non repertorié"/>
  </r>
  <r>
    <d v="2023-10-27T03:55:00"/>
    <s v="ANT-0911"/>
    <n v="36"/>
    <s v="Non Résolu"/>
    <x v="1"/>
    <s v="Non repertorié"/>
    <s v="Non repertorié"/>
    <x v="1"/>
    <s v="Non repertorié"/>
  </r>
  <r>
    <d v="2023-10-14T22:08:00"/>
    <s v="ANT-0013"/>
    <n v="40"/>
    <s v="Résolu"/>
    <x v="1"/>
    <s v="Non repertorié"/>
    <s v="Non repertorié"/>
    <x v="1"/>
    <s v="Non repertorié"/>
  </r>
  <r>
    <d v="2023-10-16T02:14:00"/>
    <s v="ANT-0370"/>
    <n v="87"/>
    <s v="Résolu"/>
    <x v="19"/>
    <n v="-7.6951369999999999"/>
    <n v="13.346605"/>
    <x v="0"/>
    <s v="Ericsson"/>
  </r>
  <r>
    <d v="2023-10-13T02:46:00"/>
    <s v="ANT-0957"/>
    <n v="15"/>
    <s v="Non Résolu"/>
    <x v="26"/>
    <n v="-7.1785899999999998"/>
    <n v="24.4404"/>
    <x v="0"/>
    <s v="Nokia"/>
  </r>
  <r>
    <d v="2023-10-26T03:06:00"/>
    <s v="ANT-0325"/>
    <n v="36"/>
    <s v="En Cours"/>
    <x v="1"/>
    <s v="Non repertorié"/>
    <s v="Non repertorié"/>
    <x v="1"/>
    <s v="Non repertorié"/>
  </r>
  <r>
    <d v="2023-10-11T11:56:00"/>
    <s v="ANT-0136"/>
    <n v="75"/>
    <s v="En Cours"/>
    <x v="13"/>
    <n v="-9.3900009999999998"/>
    <n v="30.001517"/>
    <x v="3"/>
    <s v="Nokia"/>
  </r>
  <r>
    <d v="2023-10-10T04:24:00"/>
    <s v="ANT-0397"/>
    <n v="81"/>
    <s v="Non Résolu"/>
    <x v="1"/>
    <s v="Non repertorié"/>
    <s v="Non repertorié"/>
    <x v="1"/>
    <s v="Non repertorié"/>
  </r>
  <r>
    <d v="2023-10-25T04:41:00"/>
    <s v="ANT-0882"/>
    <n v="81"/>
    <s v="Non Résolu"/>
    <x v="20"/>
    <n v="-1.500685"/>
    <n v="26.563376000000002"/>
    <x v="2"/>
    <s v="Nokia"/>
  </r>
  <r>
    <d v="2023-10-24T07:03:00"/>
    <s v="ANT-0543"/>
    <n v="42"/>
    <s v="En Cours"/>
    <x v="7"/>
    <n v="-4.4958720000000003"/>
    <n v="18.514112000000001"/>
    <x v="0"/>
    <s v="Nokia"/>
  </r>
  <r>
    <d v="2023-10-08T02:59:00"/>
    <s v="ANT-0244"/>
    <n v="77"/>
    <s v="En Cours"/>
    <x v="1"/>
    <s v="Non repertorié"/>
    <s v="Non repertorié"/>
    <x v="1"/>
    <s v="Non repertorié"/>
  </r>
  <r>
    <d v="2023-10-14T03:29:00"/>
    <s v="ANT-0430"/>
    <n v="105"/>
    <s v="Non Résolu"/>
    <x v="12"/>
    <n v="-10.939712999999999"/>
    <n v="18.276230999999999"/>
    <x v="0"/>
    <s v="ZTE"/>
  </r>
  <r>
    <d v="2023-10-20T19:03:00"/>
    <s v="ANT-0504"/>
    <n v="43"/>
    <s v="Non Résolu"/>
    <x v="1"/>
    <s v="Non repertorié"/>
    <s v="Non repertorié"/>
    <x v="1"/>
    <s v="Non repertorié"/>
  </r>
  <r>
    <d v="2023-10-10T21:47:00"/>
    <s v="ANT-0985"/>
    <n v="99"/>
    <s v="En Cours"/>
    <x v="11"/>
    <n v="-7.6757720000000003"/>
    <n v="30.222971000000001"/>
    <x v="2"/>
    <s v="Ericsson"/>
  </r>
  <r>
    <d v="2023-10-22T23:11:00"/>
    <s v="ANT-0062"/>
    <n v="84"/>
    <s v="En Cours"/>
    <x v="1"/>
    <s v="Non repertorié"/>
    <s v="Non repertorié"/>
    <x v="1"/>
    <s v="Non repertorié"/>
  </r>
  <r>
    <d v="2023-10-04T00:45:00"/>
    <s v="ANT-0996"/>
    <n v="36"/>
    <s v="En Cours"/>
    <x v="1"/>
    <s v="Non repertorié"/>
    <s v="Non repertorié"/>
    <x v="1"/>
    <s v="Non repertorié"/>
  </r>
  <r>
    <d v="2023-10-05T22:00:00"/>
    <s v="ANT-0146"/>
    <n v="64"/>
    <s v="En Cours"/>
    <x v="1"/>
    <s v="Non repertorié"/>
    <s v="Non repertorié"/>
    <x v="1"/>
    <s v="Non repertorié"/>
  </r>
  <r>
    <d v="2023-10-06T15:22:00"/>
    <s v="ANT-0729"/>
    <n v="52"/>
    <s v="Résolu"/>
    <x v="1"/>
    <s v="Non repertorié"/>
    <s v="Non repertorié"/>
    <x v="1"/>
    <s v="Non repertorié"/>
  </r>
  <r>
    <d v="2023-10-17T16:50:00"/>
    <s v="ANT-0287"/>
    <n v="80"/>
    <s v="Résolu"/>
    <x v="15"/>
    <n v="-11.622688999999999"/>
    <n v="18.483874"/>
    <x v="2"/>
    <s v="ZTE"/>
  </r>
  <r>
    <d v="2023-10-27T23:16:00"/>
    <s v="ANT-0096"/>
    <n v="68"/>
    <s v="Résolu"/>
    <x v="10"/>
    <n v="3.0603760000000002"/>
    <n v="19.708034000000001"/>
    <x v="3"/>
    <s v="ZTE"/>
  </r>
  <r>
    <d v="2023-10-06T11:08:00"/>
    <s v="ANT-0045"/>
    <n v="103"/>
    <s v="Résolu"/>
    <x v="9"/>
    <n v="-0.17258100000000001"/>
    <n v="23.775555000000001"/>
    <x v="2"/>
    <s v="Nokia"/>
  </r>
  <r>
    <d v="2023-10-24T08:46:00"/>
    <s v="ANT-0944"/>
    <n v="104"/>
    <s v="Non Résolu"/>
    <x v="1"/>
    <s v="Non repertorié"/>
    <s v="Non repertorié"/>
    <x v="1"/>
    <s v="Non repertorié"/>
  </r>
  <r>
    <d v="2023-10-29T03:49:00"/>
    <s v="ANT-0238"/>
    <n v="30"/>
    <s v="Résolu"/>
    <x v="12"/>
    <n v="0.62055499999999997"/>
    <n v="21.222035000000002"/>
    <x v="2"/>
    <s v="Nokia"/>
  </r>
  <r>
    <d v="2023-10-29T00:21:00"/>
    <s v="ANT-0919"/>
    <n v="98"/>
    <s v="Résolu"/>
    <x v="1"/>
    <s v="Non repertorié"/>
    <s v="Non repertorié"/>
    <x v="1"/>
    <s v="Non repertorié"/>
  </r>
  <r>
    <d v="2023-10-26T13:17:00"/>
    <s v="ANT-0866"/>
    <n v="120"/>
    <s v="Résolu"/>
    <x v="1"/>
    <s v="Non repertorié"/>
    <s v="Non repertorié"/>
    <x v="1"/>
    <s v="Non repertorié"/>
  </r>
  <r>
    <d v="2023-10-17T02:16:00"/>
    <s v="ANT-0533"/>
    <n v="74"/>
    <s v="Résolu"/>
    <x v="5"/>
    <n v="4.8265669999999998"/>
    <n v="28.535277000000001"/>
    <x v="3"/>
    <s v="Huawei"/>
  </r>
  <r>
    <d v="2023-10-23T18:40:00"/>
    <s v="ANT-0423"/>
    <n v="102"/>
    <s v="En Cours"/>
    <x v="26"/>
    <n v="-1.3938550000000001"/>
    <n v="15.097554000000001"/>
    <x v="0"/>
    <s v="Huawei"/>
  </r>
  <r>
    <d v="2023-10-03T15:29:00"/>
    <s v="ANT-0718"/>
    <n v="106"/>
    <s v="En Cours"/>
    <x v="2"/>
    <n v="1.981107"/>
    <n v="23.932569000000001"/>
    <x v="3"/>
    <s v="Nokia"/>
  </r>
  <r>
    <d v="2023-10-17T11:03:00"/>
    <s v="ANT-0918"/>
    <n v="36"/>
    <s v="En Cours"/>
    <x v="9"/>
    <n v="-11.231472"/>
    <n v="25.388874000000001"/>
    <x v="0"/>
    <s v="Huawei"/>
  </r>
  <r>
    <d v="2023-10-16T18:10:00"/>
    <s v="ANT-0382"/>
    <n v="24"/>
    <s v="En Cours"/>
    <x v="1"/>
    <s v="Non repertorié"/>
    <s v="Non repertorié"/>
    <x v="1"/>
    <s v="Non repertorié"/>
  </r>
  <r>
    <d v="2023-10-12T05:16:00"/>
    <s v="ANT-0470"/>
    <n v="5"/>
    <s v="Résolu"/>
    <x v="9"/>
    <n v="-8.9586360000000003"/>
    <n v="17.157720000000001"/>
    <x v="3"/>
    <s v="Nokia"/>
  </r>
  <r>
    <d v="2023-10-25T03:57:00"/>
    <s v="ANT-0998"/>
    <n v="57"/>
    <s v="Non Résolu"/>
    <x v="1"/>
    <s v="Non repertorié"/>
    <s v="Non repertorié"/>
    <x v="1"/>
    <s v="Non repertorié"/>
  </r>
  <r>
    <d v="2023-10-19T21:46:00"/>
    <s v="ANT-0766"/>
    <n v="8"/>
    <s v="En Cours"/>
    <x v="1"/>
    <s v="Non repertorié"/>
    <s v="Non repertorié"/>
    <x v="1"/>
    <s v="Non repertorié"/>
  </r>
  <r>
    <d v="2023-10-04T07:47:00"/>
    <s v="ANT-0087"/>
    <n v="34"/>
    <s v="Résolu"/>
    <x v="1"/>
    <s v="Non repertorié"/>
    <s v="Non repertorié"/>
    <x v="1"/>
    <s v="Non repertorié"/>
  </r>
  <r>
    <d v="2023-10-17T00:02:00"/>
    <s v="ANT-0595"/>
    <n v="74"/>
    <s v="En Cours"/>
    <x v="1"/>
    <s v="Non repertorié"/>
    <s v="Non repertorié"/>
    <x v="1"/>
    <s v="Non repertorié"/>
  </r>
  <r>
    <d v="2023-10-28T00:15:00"/>
    <s v="ANT-0098"/>
    <n v="49"/>
    <s v="En Cours"/>
    <x v="1"/>
    <s v="Non repertorié"/>
    <s v="Non repertorié"/>
    <x v="1"/>
    <s v="Non repertorié"/>
  </r>
  <r>
    <d v="2023-10-02T15:23:00"/>
    <s v="ANT-0518"/>
    <n v="86"/>
    <s v="En Cours"/>
    <x v="1"/>
    <s v="Non repertorié"/>
    <s v="Non repertorié"/>
    <x v="1"/>
    <s v="Non repertorié"/>
  </r>
  <r>
    <d v="2023-10-13T04:11:00"/>
    <s v="ANT-0137"/>
    <n v="112"/>
    <s v="En Cours"/>
    <x v="1"/>
    <s v="Non repertorié"/>
    <s v="Non repertorié"/>
    <x v="1"/>
    <s v="Non repertorié"/>
  </r>
  <r>
    <d v="2023-10-30T01:35:00"/>
    <s v="ANT-0653"/>
    <n v="93"/>
    <s v="Résolu"/>
    <x v="9"/>
    <n v="0.82868600000000003"/>
    <n v="26.958843999999999"/>
    <x v="2"/>
    <s v="ZTE"/>
  </r>
  <r>
    <d v="2023-10-26T22:47:00"/>
    <s v="ANT-0840"/>
    <n v="117"/>
    <s v="Résolu"/>
    <x v="1"/>
    <s v="Non repertorié"/>
    <s v="Non repertorié"/>
    <x v="1"/>
    <s v="Non repertorié"/>
  </r>
  <r>
    <d v="2023-10-21T13:14:00"/>
    <s v="ANT-0404"/>
    <n v="6"/>
    <s v="Résolu"/>
    <x v="1"/>
    <s v="Non repertorié"/>
    <s v="Non repertorié"/>
    <x v="1"/>
    <s v="Non repertorié"/>
  </r>
  <r>
    <d v="2023-10-11T07:26:00"/>
    <s v="ANT-0077"/>
    <n v="47"/>
    <s v="Non Résolu"/>
    <x v="1"/>
    <s v="Non repertorié"/>
    <s v="Non repertorié"/>
    <x v="1"/>
    <s v="Non repertorié"/>
  </r>
  <r>
    <d v="2023-10-30T23:20:00"/>
    <s v="ANT-0607"/>
    <n v="5"/>
    <s v="En Cours"/>
    <x v="6"/>
    <n v="-8.4985189999999999"/>
    <n v="12.929456999999999"/>
    <x v="0"/>
    <s v="Ericsson"/>
  </r>
  <r>
    <d v="2023-10-09T02:36:00"/>
    <s v="ANT-0582"/>
    <n v="102"/>
    <s v="Non Résolu"/>
    <x v="13"/>
    <n v="-1.4700059999999999"/>
    <n v="18.680958"/>
    <x v="3"/>
    <s v="Huawei"/>
  </r>
  <r>
    <d v="2023-10-12T03:32:00"/>
    <s v="ANT-0064"/>
    <n v="89"/>
    <s v="Non Résolu"/>
    <x v="1"/>
    <s v="Non repertorié"/>
    <s v="Non repertorié"/>
    <x v="1"/>
    <s v="Non repertorié"/>
  </r>
  <r>
    <d v="2023-10-22T01:11:00"/>
    <s v="ANT-0446"/>
    <n v="53"/>
    <s v="Non Résolu"/>
    <x v="16"/>
    <n v="1.286548"/>
    <n v="29.823702999999998"/>
    <x v="0"/>
    <s v="ZTE"/>
  </r>
  <r>
    <d v="2023-10-08T16:02:00"/>
    <s v="ANT-0679"/>
    <n v="113"/>
    <s v="Résolu"/>
    <x v="2"/>
    <n v="-7.1587569999999996"/>
    <n v="18.975141000000001"/>
    <x v="2"/>
    <s v="Ericsson"/>
  </r>
  <r>
    <d v="2023-10-31T12:04:00"/>
    <s v="ANT-0988"/>
    <n v="99"/>
    <s v="Résolu"/>
    <x v="14"/>
    <n v="-5.7200150000000001"/>
    <n v="25.022109"/>
    <x v="2"/>
    <s v="ZTE"/>
  </r>
  <r>
    <d v="2023-10-29T14:55:00"/>
    <s v="ANT-0134"/>
    <n v="98"/>
    <s v="En Cours"/>
    <x v="4"/>
    <n v="-10.963041"/>
    <n v="12.269857"/>
    <x v="0"/>
    <s v="Huawei"/>
  </r>
  <r>
    <d v="2023-10-10T09:20:00"/>
    <s v="ANT-0243"/>
    <n v="44"/>
    <s v="Résolu"/>
    <x v="1"/>
    <s v="Non repertorié"/>
    <s v="Non repertorié"/>
    <x v="1"/>
    <s v="Non repertorié"/>
  </r>
  <r>
    <d v="2023-10-03T17:29:00"/>
    <s v="ANT-0299"/>
    <n v="18"/>
    <s v="Résolu"/>
    <x v="1"/>
    <s v="Non repertorié"/>
    <s v="Non repertorié"/>
    <x v="1"/>
    <s v="Non repertorié"/>
  </r>
  <r>
    <d v="2023-10-01T11:12:00"/>
    <s v="ANT-0268"/>
    <n v="31"/>
    <s v="Non Résolu"/>
    <x v="5"/>
    <n v="-9.5619429999999994"/>
    <n v="21.445726000000001"/>
    <x v="0"/>
    <s v="Nokia"/>
  </r>
  <r>
    <d v="2023-10-27T05:01:00"/>
    <s v="ANT-0607"/>
    <n v="81"/>
    <s v="En Cours"/>
    <x v="6"/>
    <n v="-8.4985189999999999"/>
    <n v="12.929456999999999"/>
    <x v="0"/>
    <s v="Ericsson"/>
  </r>
  <r>
    <d v="2023-10-31T12:54:00"/>
    <s v="ANT-0326"/>
    <n v="33"/>
    <s v="Non Résolu"/>
    <x v="1"/>
    <s v="Non repertorié"/>
    <s v="Non repertorié"/>
    <x v="1"/>
    <s v="Non repertorié"/>
  </r>
  <r>
    <d v="2023-10-15T17:47:00"/>
    <s v="ANT-0826"/>
    <n v="8"/>
    <s v="Résolu"/>
    <x v="9"/>
    <n v="-10.846306999999999"/>
    <n v="19.201827999999999"/>
    <x v="0"/>
    <s v="Ericsson"/>
  </r>
  <r>
    <d v="2023-10-18T07:06:00"/>
    <s v="ANT-0756"/>
    <n v="119"/>
    <s v="Résolu"/>
    <x v="1"/>
    <s v="Non repertorié"/>
    <s v="Non repertorié"/>
    <x v="1"/>
    <s v="Non repertorié"/>
  </r>
  <r>
    <d v="2023-10-15T03:51:00"/>
    <s v="ANT-0715"/>
    <n v="108"/>
    <s v="En Cours"/>
    <x v="19"/>
    <n v="-11.407966"/>
    <n v="28.378274000000001"/>
    <x v="0"/>
    <s v="ZTE"/>
  </r>
  <r>
    <d v="2023-10-26T04:07:00"/>
    <s v="ANT-0368"/>
    <n v="104"/>
    <s v="Non Résolu"/>
    <x v="2"/>
    <n v="1.2463919999999999"/>
    <n v="13.266916999999999"/>
    <x v="2"/>
    <s v="Huawei"/>
  </r>
  <r>
    <d v="2023-10-01T01:53:00"/>
    <s v="ANT-0936"/>
    <n v="40"/>
    <s v="Résolu"/>
    <x v="11"/>
    <n v="-10.165072"/>
    <n v="29.428024000000001"/>
    <x v="2"/>
    <s v="Huawei"/>
  </r>
  <r>
    <d v="2023-10-25T07:08:00"/>
    <s v="ANT-0606"/>
    <n v="12"/>
    <s v="En Cours"/>
    <x v="1"/>
    <s v="Non repertorié"/>
    <s v="Non repertorié"/>
    <x v="1"/>
    <s v="Non repertorié"/>
  </r>
  <r>
    <d v="2023-10-07T12:23:00"/>
    <s v="ANT-0029"/>
    <n v="108"/>
    <s v="Résolu"/>
    <x v="21"/>
    <n v="-10.227569000000001"/>
    <n v="18.887930999999998"/>
    <x v="3"/>
    <s v="ZTE"/>
  </r>
  <r>
    <d v="2023-10-22T20:41:00"/>
    <s v="ANT-0721"/>
    <n v="65"/>
    <s v="Résolu"/>
    <x v="0"/>
    <n v="-3.9148719999999999"/>
    <n v="12.260933"/>
    <x v="0"/>
    <s v="Ericsson"/>
  </r>
  <r>
    <d v="2023-10-03T18:37:00"/>
    <s v="ANT-0718"/>
    <n v="72"/>
    <s v="Résolu"/>
    <x v="2"/>
    <n v="1.981107"/>
    <n v="23.932569000000001"/>
    <x v="3"/>
    <s v="Nokia"/>
  </r>
  <r>
    <d v="2023-10-09T02:01:00"/>
    <s v="ANT-0361"/>
    <n v="50"/>
    <s v="Non Résolu"/>
    <x v="1"/>
    <s v="Non repertorié"/>
    <s v="Non repertorié"/>
    <x v="1"/>
    <s v="Non repertorié"/>
  </r>
  <r>
    <d v="2023-10-03T06:57:00"/>
    <s v="ANT-0971"/>
    <n v="103"/>
    <s v="Non Résolu"/>
    <x v="1"/>
    <s v="Non repertorié"/>
    <s v="Non repertorié"/>
    <x v="1"/>
    <s v="Non repertorié"/>
  </r>
  <r>
    <d v="2023-10-21T14:51:00"/>
    <s v="ANT-0582"/>
    <n v="79"/>
    <s v="Résolu"/>
    <x v="13"/>
    <n v="-1.4700059999999999"/>
    <n v="18.680958"/>
    <x v="3"/>
    <s v="Huawei"/>
  </r>
  <r>
    <d v="2023-10-05T02:57:00"/>
    <s v="ANT-0578"/>
    <n v="34"/>
    <s v="Résolu"/>
    <x v="14"/>
    <n v="-6.1490739999999997"/>
    <n v="23.304411000000002"/>
    <x v="2"/>
    <s v="ZTE"/>
  </r>
  <r>
    <d v="2023-10-28T10:07:00"/>
    <s v="ANT-0146"/>
    <n v="25"/>
    <s v="Non Résolu"/>
    <x v="1"/>
    <s v="Non repertorié"/>
    <s v="Non repertorié"/>
    <x v="1"/>
    <s v="Non repertorié"/>
  </r>
  <r>
    <d v="2023-10-02T14:03:00"/>
    <s v="ANT-0577"/>
    <n v="17"/>
    <s v="En Cours"/>
    <x v="1"/>
    <s v="Non repertorié"/>
    <s v="Non repertorié"/>
    <x v="1"/>
    <s v="Non repertorié"/>
  </r>
  <r>
    <d v="2023-10-06T18:27:00"/>
    <s v="ANT-0972"/>
    <n v="36"/>
    <s v="Résolu"/>
    <x v="2"/>
    <n v="-0.469945"/>
    <n v="21.038527999999999"/>
    <x v="3"/>
    <s v="Ericsson"/>
  </r>
  <r>
    <d v="2023-10-27T23:25:00"/>
    <s v="ANT-0193"/>
    <n v="89"/>
    <s v="En Cours"/>
    <x v="1"/>
    <s v="Non repertorié"/>
    <s v="Non repertorié"/>
    <x v="1"/>
    <s v="Non repertorié"/>
  </r>
  <r>
    <d v="2023-10-16T00:24:00"/>
    <s v="ANT-0857"/>
    <n v="35"/>
    <s v="Non Résolu"/>
    <x v="1"/>
    <s v="Non repertorié"/>
    <s v="Non repertorié"/>
    <x v="1"/>
    <s v="Non repertorié"/>
  </r>
  <r>
    <d v="2023-10-22T13:11:00"/>
    <s v="ANT-0830"/>
    <n v="39"/>
    <s v="Non Résolu"/>
    <x v="1"/>
    <s v="Non repertorié"/>
    <s v="Non repertorié"/>
    <x v="1"/>
    <s v="Non repertorié"/>
  </r>
  <r>
    <d v="2023-10-12T06:58:00"/>
    <s v="ANT-0903"/>
    <n v="73"/>
    <s v="En Cours"/>
    <x v="1"/>
    <s v="Non repertorié"/>
    <s v="Non repertorié"/>
    <x v="1"/>
    <s v="Non repertorié"/>
  </r>
  <r>
    <d v="2023-10-06T08:17:00"/>
    <s v="ANT-0994"/>
    <n v="109"/>
    <s v="Non Résolu"/>
    <x v="5"/>
    <n v="-2.2681789999999999"/>
    <n v="25.699068"/>
    <x v="3"/>
    <s v="ZTE"/>
  </r>
  <r>
    <d v="2023-10-15T04:02:00"/>
    <s v="ANT-0505"/>
    <n v="106"/>
    <s v="Résolu"/>
    <x v="13"/>
    <n v="-11.207139"/>
    <n v="18.702511999999999"/>
    <x v="2"/>
    <s v="Ericsson"/>
  </r>
  <r>
    <d v="2023-10-20T19:39:00"/>
    <s v="ANT-0556"/>
    <n v="99"/>
    <s v="En Cours"/>
    <x v="1"/>
    <s v="Non repertorié"/>
    <s v="Non repertorié"/>
    <x v="1"/>
    <s v="Non repertorié"/>
  </r>
  <r>
    <d v="2023-10-08T20:18:00"/>
    <s v="ANT-0317"/>
    <n v="12"/>
    <s v="En Cours"/>
    <x v="1"/>
    <s v="Non repertorié"/>
    <s v="Non repertorié"/>
    <x v="1"/>
    <s v="Non repertorié"/>
  </r>
  <r>
    <d v="2023-10-16T13:56:00"/>
    <s v="ANT-0180"/>
    <n v="102"/>
    <s v="En Cours"/>
    <x v="10"/>
    <n v="2.4425979999999998"/>
    <n v="24.924308"/>
    <x v="2"/>
    <s v="Ericsson"/>
  </r>
  <r>
    <d v="2023-10-18T15:03:00"/>
    <s v="ANT-0503"/>
    <n v="33"/>
    <s v="Résolu"/>
    <x v="22"/>
    <n v="-1.8045979999999999"/>
    <n v="12.511096999999999"/>
    <x v="3"/>
    <s v="Huawei"/>
  </r>
  <r>
    <d v="2023-10-03T08:24:00"/>
    <s v="ANT-0039"/>
    <n v="78"/>
    <s v="Résolu"/>
    <x v="19"/>
    <n v="4.0988100000000003"/>
    <n v="29.843810999999999"/>
    <x v="3"/>
    <s v="Huawei"/>
  </r>
  <r>
    <d v="2023-10-05T13:12:00"/>
    <s v="ANT-0093"/>
    <n v="113"/>
    <s v="Non Résolu"/>
    <x v="2"/>
    <n v="2.975352"/>
    <n v="22.535886000000001"/>
    <x v="0"/>
    <s v="Huawei"/>
  </r>
  <r>
    <d v="2023-10-21T16:15:00"/>
    <s v="ANT-0058"/>
    <n v="107"/>
    <s v="En Cours"/>
    <x v="10"/>
    <n v="-6.4670189999999996"/>
    <n v="29.487309"/>
    <x v="0"/>
    <s v="ZTE"/>
  </r>
  <r>
    <d v="2023-10-21T17:50:00"/>
    <s v="ANT-0239"/>
    <n v="54"/>
    <s v="Non Résolu"/>
    <x v="9"/>
    <n v="-5.42171"/>
    <n v="24.202960999999998"/>
    <x v="2"/>
    <s v="Ericsson"/>
  </r>
  <r>
    <d v="2023-10-01T12:50:00"/>
    <s v="ANT-0617"/>
    <n v="50"/>
    <s v="En Cours"/>
    <x v="15"/>
    <n v="-7.7587710000000003"/>
    <n v="17.880848"/>
    <x v="3"/>
    <s v="Ericsson"/>
  </r>
  <r>
    <d v="2023-10-23T11:30:00"/>
    <s v="ANT-0225"/>
    <n v="112"/>
    <s v="Non Résolu"/>
    <x v="22"/>
    <n v="-8.8118569999999998"/>
    <n v="14.465711000000001"/>
    <x v="2"/>
    <s v="Nokia"/>
  </r>
  <r>
    <d v="2023-10-18T15:22:00"/>
    <s v="ANT-0021"/>
    <n v="113"/>
    <s v="En Cours"/>
    <x v="1"/>
    <s v="Non repertorié"/>
    <s v="Non repertorié"/>
    <x v="1"/>
    <s v="Non repertorié"/>
  </r>
  <r>
    <d v="2023-10-30T18:32:00"/>
    <s v="ANT-0540"/>
    <n v="27"/>
    <s v="Résolu"/>
    <x v="1"/>
    <s v="Non repertorié"/>
    <s v="Non repertorié"/>
    <x v="1"/>
    <s v="Non repertorié"/>
  </r>
  <r>
    <d v="2023-10-11T12:17:00"/>
    <s v="ANT-0490"/>
    <n v="27"/>
    <s v="Non Résolu"/>
    <x v="1"/>
    <s v="Non repertorié"/>
    <s v="Non repertorié"/>
    <x v="1"/>
    <s v="Non repertorié"/>
  </r>
  <r>
    <d v="2023-10-06T00:20:00"/>
    <s v="ANT-0001"/>
    <n v="35"/>
    <s v="Non Résolu"/>
    <x v="6"/>
    <n v="-8.1437910000000002"/>
    <n v="28.946161"/>
    <x v="0"/>
    <s v="ZTE"/>
  </r>
  <r>
    <d v="2023-10-27T05:24:00"/>
    <s v="ANT-0276"/>
    <n v="11"/>
    <s v="Non Résolu"/>
    <x v="17"/>
    <n v="-0.157111"/>
    <n v="25.415125"/>
    <x v="0"/>
    <s v="Ericsson"/>
  </r>
  <r>
    <d v="2023-10-10T23:44:00"/>
    <s v="ANT-0578"/>
    <n v="51"/>
    <s v="Non Résolu"/>
    <x v="14"/>
    <n v="-6.1490739999999997"/>
    <n v="23.304411000000002"/>
    <x v="2"/>
    <s v="ZTE"/>
  </r>
  <r>
    <d v="2023-10-10T04:11:00"/>
    <s v="ANT-0064"/>
    <n v="5"/>
    <s v="Résolu"/>
    <x v="1"/>
    <s v="Non repertorié"/>
    <s v="Non repertorié"/>
    <x v="1"/>
    <s v="Non repertorié"/>
  </r>
  <r>
    <d v="2023-10-24T00:44:00"/>
    <s v="ANT-0155"/>
    <n v="59"/>
    <s v="Résolu"/>
    <x v="1"/>
    <s v="Non repertorié"/>
    <s v="Non repertorié"/>
    <x v="1"/>
    <s v="Non repertorié"/>
  </r>
  <r>
    <d v="2023-10-31T18:25:00"/>
    <s v="ANT-0771"/>
    <n v="16"/>
    <s v="En Cours"/>
    <x v="1"/>
    <s v="Non repertorié"/>
    <s v="Non repertorié"/>
    <x v="1"/>
    <s v="Non repertorié"/>
  </r>
  <r>
    <d v="2023-10-28T18:02:00"/>
    <s v="ANT-0714"/>
    <n v="42"/>
    <s v="Résolu"/>
    <x v="8"/>
    <n v="-12.050063"/>
    <n v="26.636987999999999"/>
    <x v="3"/>
    <s v="Nokia"/>
  </r>
  <r>
    <d v="2023-10-06T19:20:00"/>
    <s v="ANT-0684"/>
    <n v="110"/>
    <s v="Résolu"/>
    <x v="1"/>
    <s v="Non repertorié"/>
    <s v="Non repertorié"/>
    <x v="1"/>
    <s v="Non repertorié"/>
  </r>
  <r>
    <d v="2023-10-30T19:14:00"/>
    <s v="ANT-0100"/>
    <n v="89"/>
    <s v="Résolu"/>
    <x v="1"/>
    <s v="Non repertorié"/>
    <s v="Non repertorié"/>
    <x v="1"/>
    <s v="Non repertorié"/>
  </r>
  <r>
    <d v="2023-10-21T18:06:00"/>
    <s v="ANT-0088"/>
    <n v="85"/>
    <s v="Résolu"/>
    <x v="16"/>
    <n v="-9.7803979999999999"/>
    <n v="17.686595000000001"/>
    <x v="0"/>
    <s v="Ericsson"/>
  </r>
  <r>
    <d v="2023-10-30T15:09:00"/>
    <s v="ANT-0685"/>
    <n v="81"/>
    <s v="Résolu"/>
    <x v="15"/>
    <n v="-10.574821"/>
    <n v="25.324966"/>
    <x v="2"/>
    <s v="Ericsson"/>
  </r>
  <r>
    <d v="2023-10-11T23:04:00"/>
    <s v="ANT-0353"/>
    <n v="66"/>
    <s v="Résolu"/>
    <x v="21"/>
    <n v="-11.991020000000001"/>
    <n v="22.514747"/>
    <x v="2"/>
    <s v="ZTE"/>
  </r>
  <r>
    <d v="2023-10-08T11:20:00"/>
    <s v="ANT-0828"/>
    <n v="30"/>
    <s v="En Cours"/>
    <x v="1"/>
    <s v="Non repertorié"/>
    <s v="Non repertorié"/>
    <x v="1"/>
    <s v="Non repertorié"/>
  </r>
  <r>
    <d v="2023-10-06T20:56:00"/>
    <s v="ANT-0555"/>
    <n v="17"/>
    <s v="Résolu"/>
    <x v="1"/>
    <s v="Non repertorié"/>
    <s v="Non repertorié"/>
    <x v="1"/>
    <s v="Non repertorié"/>
  </r>
  <r>
    <d v="2023-10-31T02:52:00"/>
    <s v="ANT-0424"/>
    <n v="8"/>
    <s v="Non Résolu"/>
    <x v="16"/>
    <n v="-9.5243310000000001"/>
    <n v="30.541212000000002"/>
    <x v="3"/>
    <s v="Ericsson"/>
  </r>
  <r>
    <d v="2023-10-23T21:40:00"/>
    <s v="ANT-0995"/>
    <n v="31"/>
    <s v="En Cours"/>
    <x v="17"/>
    <n v="-7.5969509999999998"/>
    <n v="22.153986"/>
    <x v="3"/>
    <s v="Ericsson"/>
  </r>
  <r>
    <d v="2023-10-24T10:28:00"/>
    <s v="ANT-0775"/>
    <n v="26"/>
    <s v="Résolu"/>
    <x v="20"/>
    <n v="1.5278670000000001"/>
    <n v="13.899388999999999"/>
    <x v="3"/>
    <s v="Huawei"/>
  </r>
  <r>
    <d v="2023-10-01T08:13:00"/>
    <s v="ANT-0604"/>
    <n v="86"/>
    <s v="Non Résolu"/>
    <x v="26"/>
    <n v="2.628638"/>
    <n v="28.420582"/>
    <x v="0"/>
    <s v="Huawei"/>
  </r>
  <r>
    <d v="2023-10-08T22:04:00"/>
    <s v="ANT-0233"/>
    <n v="42"/>
    <s v="Résolu"/>
    <x v="1"/>
    <s v="Non repertorié"/>
    <s v="Non repertorié"/>
    <x v="1"/>
    <s v="Non repertorié"/>
  </r>
  <r>
    <d v="2023-10-12T08:50:00"/>
    <s v="ANT-0567"/>
    <n v="15"/>
    <s v="Non Résolu"/>
    <x v="1"/>
    <s v="Non repertorié"/>
    <s v="Non repertorié"/>
    <x v="1"/>
    <s v="Non repertorié"/>
  </r>
  <r>
    <d v="2023-10-04T23:00:00"/>
    <s v="ANT-0063"/>
    <n v="65"/>
    <s v="En Cours"/>
    <x v="1"/>
    <s v="Non repertorié"/>
    <s v="Non repertorié"/>
    <x v="1"/>
    <s v="Non repertorié"/>
  </r>
  <r>
    <d v="2023-10-02T12:28:00"/>
    <s v="ANT-0861"/>
    <n v="113"/>
    <s v="En Cours"/>
    <x v="1"/>
    <s v="Non repertorié"/>
    <s v="Non repertorié"/>
    <x v="1"/>
    <s v="Non repertorié"/>
  </r>
  <r>
    <d v="2023-10-24T13:10:00"/>
    <s v="ANT-0397"/>
    <n v="19"/>
    <s v="Non Résolu"/>
    <x v="1"/>
    <s v="Non repertorié"/>
    <s v="Non repertorié"/>
    <x v="1"/>
    <s v="Non repertorié"/>
  </r>
  <r>
    <d v="2023-10-29T13:31:00"/>
    <s v="ANT-0839"/>
    <n v="44"/>
    <s v="Résolu"/>
    <x v="10"/>
    <n v="-11.265995"/>
    <n v="28.935514999999999"/>
    <x v="0"/>
    <s v="Ericsson"/>
  </r>
  <r>
    <d v="2023-10-29T12:22:00"/>
    <s v="ANT-0536"/>
    <n v="105"/>
    <s v="Résolu"/>
    <x v="10"/>
    <n v="-0.919767"/>
    <n v="18.905538"/>
    <x v="2"/>
    <s v="Ericsson"/>
  </r>
  <r>
    <d v="2023-10-18T12:06:00"/>
    <s v="ANT-0429"/>
    <n v="55"/>
    <s v="En Cours"/>
    <x v="1"/>
    <s v="Non repertorié"/>
    <s v="Non repertorié"/>
    <x v="1"/>
    <s v="Non repertorié"/>
  </r>
  <r>
    <d v="2023-10-27T15:50:00"/>
    <s v="ANT-0989"/>
    <n v="65"/>
    <s v="Non Résolu"/>
    <x v="7"/>
    <n v="-11.594525000000001"/>
    <n v="29.744895"/>
    <x v="3"/>
    <s v="ZTE"/>
  </r>
  <r>
    <d v="2023-10-28T18:41:00"/>
    <s v="ANT-0549"/>
    <n v="67"/>
    <s v="En Cours"/>
    <x v="24"/>
    <n v="-0.47411900000000001"/>
    <n v="27.184329000000002"/>
    <x v="2"/>
    <s v="ZTE"/>
  </r>
  <r>
    <d v="2023-10-25T21:14:00"/>
    <s v="ANT-0704"/>
    <n v="119"/>
    <s v="Non Résolu"/>
    <x v="1"/>
    <s v="Non repertorié"/>
    <s v="Non repertorié"/>
    <x v="1"/>
    <s v="Non repertorié"/>
  </r>
  <r>
    <d v="2023-10-06T14:04:00"/>
    <s v="ANT-0888"/>
    <n v="89"/>
    <s v="En Cours"/>
    <x v="1"/>
    <s v="Non repertorié"/>
    <s v="Non repertorié"/>
    <x v="1"/>
    <s v="Non repertorié"/>
  </r>
  <r>
    <d v="2023-10-26T01:18:00"/>
    <s v="ANT-0959"/>
    <n v="38"/>
    <s v="En Cours"/>
    <x v="16"/>
    <n v="-4.2184999999999997"/>
    <n v="23.077093999999999"/>
    <x v="0"/>
    <s v="Ericsson"/>
  </r>
  <r>
    <d v="2023-10-01T10:16:00"/>
    <s v="ANT-0487"/>
    <n v="16"/>
    <s v="Non Résolu"/>
    <x v="1"/>
    <s v="Non repertorié"/>
    <s v="Non repertorié"/>
    <x v="1"/>
    <s v="Non repertorié"/>
  </r>
  <r>
    <d v="2023-10-31T03:04:00"/>
    <s v="ANT-0587"/>
    <n v="87"/>
    <s v="En Cours"/>
    <x v="7"/>
    <n v="-10.945031"/>
    <n v="27.922274000000002"/>
    <x v="0"/>
    <s v="Ericsson"/>
  </r>
  <r>
    <d v="2023-10-11T05:56:00"/>
    <s v="ANT-0903"/>
    <n v="74"/>
    <s v="Résolu"/>
    <x v="1"/>
    <s v="Non repertorié"/>
    <s v="Non repertorié"/>
    <x v="1"/>
    <s v="Non repertorié"/>
  </r>
  <r>
    <d v="2023-10-13T05:46:00"/>
    <s v="ANT-0242"/>
    <n v="54"/>
    <s v="Non Résolu"/>
    <x v="1"/>
    <s v="Non repertorié"/>
    <s v="Non repertorié"/>
    <x v="1"/>
    <s v="Non repertorié"/>
  </r>
  <r>
    <d v="2023-10-03T17:57:00"/>
    <s v="ANT-0488"/>
    <n v="28"/>
    <s v="Non Résolu"/>
    <x v="3"/>
    <n v="-3.111418"/>
    <n v="14.144854"/>
    <x v="0"/>
    <s v="ZTE"/>
  </r>
  <r>
    <d v="2023-10-03T10:38:00"/>
    <s v="ANT-0307"/>
    <n v="52"/>
    <s v="Non Résolu"/>
    <x v="1"/>
    <s v="Non repertorié"/>
    <s v="Non repertorié"/>
    <x v="1"/>
    <s v="Non repertorié"/>
  </r>
  <r>
    <d v="2023-10-20T15:45:00"/>
    <s v="ANT-0081"/>
    <n v="118"/>
    <s v="Non Résolu"/>
    <x v="15"/>
    <n v="-10.577049000000001"/>
    <n v="23.721854"/>
    <x v="0"/>
    <s v="ZTE"/>
  </r>
  <r>
    <d v="2023-10-01T13:41:00"/>
    <s v="ANT-0405"/>
    <n v="53"/>
    <s v="En Cours"/>
    <x v="2"/>
    <n v="2.8552499999999998"/>
    <n v="14.077933"/>
    <x v="0"/>
    <s v="ZTE"/>
  </r>
  <r>
    <d v="2023-10-06T19:56:00"/>
    <s v="ANT-0925"/>
    <n v="52"/>
    <s v="Résolu"/>
    <x v="22"/>
    <n v="-2.2199559999999998"/>
    <n v="22.614449"/>
    <x v="3"/>
    <s v="Nokia"/>
  </r>
  <r>
    <d v="2023-10-14T05:03:00"/>
    <s v="ANT-0875"/>
    <n v="28"/>
    <s v="En Cours"/>
    <x v="26"/>
    <n v="-3.1608390000000002"/>
    <n v="13.244503999999999"/>
    <x v="3"/>
    <s v="Huawei"/>
  </r>
  <r>
    <d v="2023-10-04T10:13:00"/>
    <s v="ANT-0732"/>
    <n v="62"/>
    <s v="Résolu"/>
    <x v="1"/>
    <s v="Non repertorié"/>
    <s v="Non repertorié"/>
    <x v="1"/>
    <s v="Non repertorié"/>
  </r>
  <r>
    <d v="2023-10-07T13:44:00"/>
    <s v="ANT-0036"/>
    <n v="10"/>
    <s v="Résolu"/>
    <x v="1"/>
    <s v="Non repertorié"/>
    <s v="Non repertorié"/>
    <x v="1"/>
    <s v="Non repertorié"/>
  </r>
  <r>
    <d v="2023-10-18T23:59:00"/>
    <s v="ANT-0515"/>
    <n v="38"/>
    <s v="Non Résolu"/>
    <x v="16"/>
    <n v="-10.967288"/>
    <n v="17.617781000000001"/>
    <x v="0"/>
    <s v="Ericsson"/>
  </r>
  <r>
    <d v="2023-10-24T17:16:00"/>
    <s v="ANT-0585"/>
    <n v="61"/>
    <s v="Non Résolu"/>
    <x v="1"/>
    <s v="Non repertorié"/>
    <s v="Non repertorié"/>
    <x v="1"/>
    <s v="Non repertorié"/>
  </r>
  <r>
    <d v="2023-10-22T09:19:00"/>
    <s v="ANT-0923"/>
    <n v="64"/>
    <s v="Non Résolu"/>
    <x v="10"/>
    <n v="-12.070842000000001"/>
    <n v="14.757847"/>
    <x v="0"/>
    <s v="ZTE"/>
  </r>
  <r>
    <d v="2023-10-08T03:03:00"/>
    <s v="ANT-0530"/>
    <n v="38"/>
    <s v="Résolu"/>
    <x v="12"/>
    <n v="-8.5675749999999997"/>
    <n v="26.994581"/>
    <x v="3"/>
    <s v="Nokia"/>
  </r>
  <r>
    <d v="2023-10-13T18:35:00"/>
    <s v="ANT-0820"/>
    <n v="33"/>
    <s v="Résolu"/>
    <x v="1"/>
    <s v="Non repertorié"/>
    <s v="Non repertorié"/>
    <x v="1"/>
    <s v="Non repertorié"/>
  </r>
  <r>
    <d v="2023-10-27T15:09:00"/>
    <s v="ANT-0586"/>
    <n v="112"/>
    <s v="Non Résolu"/>
    <x v="1"/>
    <s v="Non repertorié"/>
    <s v="Non repertorié"/>
    <x v="1"/>
    <s v="Non repertorié"/>
  </r>
  <r>
    <d v="2023-10-09T12:41:00"/>
    <s v="ANT-0845"/>
    <n v="33"/>
    <s v="Non Résolu"/>
    <x v="16"/>
    <n v="-10.872631999999999"/>
    <n v="12.773279"/>
    <x v="3"/>
    <s v="ZTE"/>
  </r>
  <r>
    <d v="2023-10-16T18:38:00"/>
    <s v="ANT-0639"/>
    <n v="87"/>
    <s v="En Cours"/>
    <x v="11"/>
    <n v="2.5665840000000002"/>
    <n v="15.764796"/>
    <x v="3"/>
    <s v="ZTE"/>
  </r>
  <r>
    <d v="2023-10-16T01:11:00"/>
    <s v="ANT-0407"/>
    <n v="33"/>
    <s v="Non Résolu"/>
    <x v="25"/>
    <n v="2.5458379999999998"/>
    <n v="13.308655"/>
    <x v="2"/>
    <s v="ZTE"/>
  </r>
  <r>
    <d v="2023-10-09T12:09:00"/>
    <s v="ANT-0599"/>
    <n v="91"/>
    <s v="En Cours"/>
    <x v="1"/>
    <s v="Non repertorié"/>
    <s v="Non repertorié"/>
    <x v="1"/>
    <s v="Non repertorié"/>
  </r>
  <r>
    <d v="2023-10-20T19:43:00"/>
    <s v="ANT-0105"/>
    <n v="31"/>
    <s v="Non Résolu"/>
    <x v="1"/>
    <s v="Non repertorié"/>
    <s v="Non repertorié"/>
    <x v="1"/>
    <s v="Non repertorié"/>
  </r>
  <r>
    <d v="2023-10-23T12:02:00"/>
    <s v="ANT-0008"/>
    <n v="39"/>
    <s v="Résolu"/>
    <x v="26"/>
    <n v="-11.89448"/>
    <n v="19.216214999999998"/>
    <x v="3"/>
    <s v="ZTE"/>
  </r>
  <r>
    <d v="2023-10-13T10:44:00"/>
    <s v="ANT-0524"/>
    <n v="88"/>
    <s v="Non Résolu"/>
    <x v="12"/>
    <n v="-7.402336"/>
    <n v="27.376697"/>
    <x v="0"/>
    <s v="Huawei"/>
  </r>
  <r>
    <d v="2023-10-08T01:47:00"/>
    <s v="ANT-0679"/>
    <n v="57"/>
    <s v="Résolu"/>
    <x v="2"/>
    <n v="-7.1587569999999996"/>
    <n v="18.975141000000001"/>
    <x v="2"/>
    <s v="Ericsson"/>
  </r>
  <r>
    <d v="2023-10-16T08:57:00"/>
    <s v="ANT-0990"/>
    <n v="70"/>
    <s v="Non Résolu"/>
    <x v="2"/>
    <n v="-12.112399999999999"/>
    <n v="15.872226"/>
    <x v="0"/>
    <s v="Nokia"/>
  </r>
  <r>
    <d v="2023-10-12T00:21:00"/>
    <s v="ANT-0864"/>
    <n v="7"/>
    <s v="En Cours"/>
    <x v="1"/>
    <s v="Non repertorié"/>
    <s v="Non repertorié"/>
    <x v="1"/>
    <s v="Non repertorié"/>
  </r>
  <r>
    <d v="2023-10-27T09:19:00"/>
    <s v="ANT-0860"/>
    <n v="115"/>
    <s v="En Cours"/>
    <x v="1"/>
    <s v="Non repertorié"/>
    <s v="Non repertorié"/>
    <x v="1"/>
    <s v="Non repertorié"/>
  </r>
  <r>
    <d v="2023-10-09T15:54:00"/>
    <s v="ANT-0384"/>
    <n v="104"/>
    <s v="En Cours"/>
    <x v="1"/>
    <s v="Non repertorié"/>
    <s v="Non repertorié"/>
    <x v="1"/>
    <s v="Non repertorié"/>
  </r>
  <r>
    <d v="2023-10-23T21:06:00"/>
    <s v="ANT-0575"/>
    <n v="103"/>
    <s v="En Cours"/>
    <x v="1"/>
    <s v="Non repertorié"/>
    <s v="Non repertorié"/>
    <x v="1"/>
    <s v="Non repertorié"/>
  </r>
  <r>
    <d v="2023-10-28T07:08:00"/>
    <s v="ANT-0663"/>
    <n v="92"/>
    <s v="En Cours"/>
    <x v="26"/>
    <n v="-5.5559329999999996"/>
    <n v="13.508692999999999"/>
    <x v="3"/>
    <s v="Nokia"/>
  </r>
  <r>
    <d v="2023-10-10T23:28:00"/>
    <s v="ANT-0609"/>
    <n v="6"/>
    <s v="En Cours"/>
    <x v="1"/>
    <s v="Non repertorié"/>
    <s v="Non repertorié"/>
    <x v="1"/>
    <s v="Non repertorié"/>
  </r>
  <r>
    <d v="2023-10-25T10:17:00"/>
    <s v="ANT-0624"/>
    <n v="65"/>
    <s v="Non Résolu"/>
    <x v="7"/>
    <n v="0.172153"/>
    <n v="21.091376"/>
    <x v="3"/>
    <s v="Ericsson"/>
  </r>
  <r>
    <d v="2023-10-24T13:38:00"/>
    <s v="ANT-0290"/>
    <n v="21"/>
    <s v="Résolu"/>
    <x v="1"/>
    <s v="Non repertorié"/>
    <s v="Non repertorié"/>
    <x v="1"/>
    <s v="Non repertorié"/>
  </r>
  <r>
    <d v="2023-10-21T02:12:00"/>
    <s v="ANT-0306"/>
    <n v="87"/>
    <s v="Non Résolu"/>
    <x v="1"/>
    <s v="Non repertorié"/>
    <s v="Non repertorié"/>
    <x v="1"/>
    <s v="Non repertorié"/>
  </r>
  <r>
    <d v="2023-10-15T06:58:00"/>
    <s v="ANT-0701"/>
    <n v="27"/>
    <s v="Non Résolu"/>
    <x v="14"/>
    <n v="-12.839263000000001"/>
    <n v="12.355677"/>
    <x v="3"/>
    <s v="Huawei"/>
  </r>
  <r>
    <d v="2023-10-27T13:47:00"/>
    <s v="ANT-0111"/>
    <n v="81"/>
    <s v="Non Résolu"/>
    <x v="1"/>
    <s v="Non repertorié"/>
    <s v="Non repertorié"/>
    <x v="1"/>
    <s v="Non repertorié"/>
  </r>
  <r>
    <d v="2023-10-16T16:55:00"/>
    <s v="ANT-0494"/>
    <n v="107"/>
    <s v="Résolu"/>
    <x v="2"/>
    <n v="-12.564277000000001"/>
    <n v="28.480798"/>
    <x v="2"/>
    <s v="ZTE"/>
  </r>
  <r>
    <d v="2023-10-12T01:32:00"/>
    <s v="ANT-0066"/>
    <n v="6"/>
    <s v="En Cours"/>
    <x v="23"/>
    <n v="1.7832440000000001"/>
    <n v="25.477405999999998"/>
    <x v="2"/>
    <s v="Huawei"/>
  </r>
  <r>
    <d v="2023-10-26T05:04:00"/>
    <s v="ANT-0345"/>
    <n v="33"/>
    <s v="Non Résolu"/>
    <x v="1"/>
    <s v="Non repertorié"/>
    <s v="Non repertorié"/>
    <x v="1"/>
    <s v="Non repertorié"/>
  </r>
  <r>
    <d v="2023-10-10T22:32:00"/>
    <s v="ANT-0284"/>
    <n v="37"/>
    <s v="Non Résolu"/>
    <x v="7"/>
    <n v="-5.5445120000000001"/>
    <n v="27.547335"/>
    <x v="0"/>
    <s v="Ericsson"/>
  </r>
  <r>
    <d v="2023-10-13T04:49:00"/>
    <s v="ANT-0656"/>
    <n v="82"/>
    <s v="Résolu"/>
    <x v="1"/>
    <s v="Non repertorié"/>
    <s v="Non repertorié"/>
    <x v="1"/>
    <s v="Non repertorié"/>
  </r>
  <r>
    <d v="2023-10-28T16:56:00"/>
    <s v="ANT-0333"/>
    <n v="108"/>
    <s v="Non Résolu"/>
    <x v="1"/>
    <s v="Non repertorié"/>
    <s v="Non repertorié"/>
    <x v="1"/>
    <s v="Non repertorié"/>
  </r>
  <r>
    <d v="2023-10-19T00:11:00"/>
    <s v="ANT-0883"/>
    <n v="44"/>
    <s v="Non Résolu"/>
    <x v="13"/>
    <n v="-9.4702129999999993"/>
    <n v="12.826158"/>
    <x v="3"/>
    <s v="Ericsson"/>
  </r>
  <r>
    <d v="2023-10-07T06:53:00"/>
    <s v="ANT-0284"/>
    <n v="96"/>
    <s v="Non Résolu"/>
    <x v="7"/>
    <n v="-5.5445120000000001"/>
    <n v="27.547335"/>
    <x v="0"/>
    <s v="Ericsson"/>
  </r>
  <r>
    <d v="2023-10-02T07:02:00"/>
    <s v="ANT-0268"/>
    <n v="95"/>
    <s v="En Cours"/>
    <x v="5"/>
    <n v="-9.5619429999999994"/>
    <n v="21.445726000000001"/>
    <x v="0"/>
    <s v="Nokia"/>
  </r>
  <r>
    <d v="2023-10-15T01:58:00"/>
    <s v="ANT-0672"/>
    <n v="87"/>
    <s v="Non Résolu"/>
    <x v="1"/>
    <s v="Non repertorié"/>
    <s v="Non repertorié"/>
    <x v="1"/>
    <s v="Non repertorié"/>
  </r>
  <r>
    <d v="2023-10-12T22:12:00"/>
    <s v="ANT-0729"/>
    <n v="40"/>
    <s v="En Cours"/>
    <x v="1"/>
    <s v="Non repertorié"/>
    <s v="Non repertorié"/>
    <x v="1"/>
    <s v="Non repertorié"/>
  </r>
  <r>
    <d v="2023-10-09T11:52:00"/>
    <s v="ANT-0976"/>
    <n v="59"/>
    <s v="Non Résolu"/>
    <x v="1"/>
    <s v="Non repertorié"/>
    <s v="Non repertorié"/>
    <x v="1"/>
    <s v="Non repertorié"/>
  </r>
  <r>
    <d v="2023-10-15T16:25:00"/>
    <s v="ANT-0914"/>
    <n v="119"/>
    <s v="En Cours"/>
    <x v="5"/>
    <n v="-11.218453999999999"/>
    <n v="28.230025000000001"/>
    <x v="2"/>
    <s v="ZTE"/>
  </r>
  <r>
    <d v="2023-10-21T03:43:00"/>
    <s v="ANT-0668"/>
    <n v="53"/>
    <s v="Résolu"/>
    <x v="2"/>
    <n v="-9.8208710000000004"/>
    <n v="23.229807000000001"/>
    <x v="2"/>
    <s v="Nokia"/>
  </r>
  <r>
    <d v="2023-10-01T07:23:00"/>
    <s v="ANT-0306"/>
    <n v="114"/>
    <s v="Non Résolu"/>
    <x v="1"/>
    <s v="Non repertorié"/>
    <s v="Non repertorié"/>
    <x v="1"/>
    <s v="Non repertorié"/>
  </r>
  <r>
    <d v="2023-10-16T19:28:00"/>
    <s v="ANT-0193"/>
    <n v="49"/>
    <s v="Non Résolu"/>
    <x v="1"/>
    <s v="Non repertorié"/>
    <s v="Non repertorié"/>
    <x v="1"/>
    <s v="Non repertorié"/>
  </r>
  <r>
    <d v="2023-10-06T15:37:00"/>
    <s v="ANT-0154"/>
    <n v="63"/>
    <s v="Résolu"/>
    <x v="2"/>
    <n v="-10.977309"/>
    <n v="12.408281000000001"/>
    <x v="2"/>
    <s v="ZTE"/>
  </r>
  <r>
    <d v="2023-10-18T11:22:00"/>
    <s v="ANT-0530"/>
    <n v="37"/>
    <s v="En Cours"/>
    <x v="12"/>
    <n v="-8.5675749999999997"/>
    <n v="26.994581"/>
    <x v="3"/>
    <s v="Nokia"/>
  </r>
  <r>
    <d v="2023-10-06T08:47:00"/>
    <s v="ANT-0784"/>
    <n v="32"/>
    <s v="Résolu"/>
    <x v="1"/>
    <s v="Non repertorié"/>
    <s v="Non repertorié"/>
    <x v="1"/>
    <s v="Non repertorié"/>
  </r>
  <r>
    <d v="2023-10-27T22:05:00"/>
    <s v="ANT-0247"/>
    <n v="64"/>
    <s v="En Cours"/>
    <x v="1"/>
    <s v="Non repertorié"/>
    <s v="Non repertorié"/>
    <x v="1"/>
    <s v="Non repertorié"/>
  </r>
  <r>
    <d v="2023-10-10T00:24:00"/>
    <s v="ANT-0922"/>
    <n v="43"/>
    <s v="Résolu"/>
    <x v="1"/>
    <s v="Non repertorié"/>
    <s v="Non repertorié"/>
    <x v="1"/>
    <s v="Non repertorié"/>
  </r>
  <r>
    <d v="2023-10-02T05:54:00"/>
    <s v="ANT-0059"/>
    <n v="91"/>
    <s v="Non Résolu"/>
    <x v="18"/>
    <n v="-0.34051900000000002"/>
    <n v="17.079799000000001"/>
    <x v="2"/>
    <s v="Ericsson"/>
  </r>
  <r>
    <d v="2023-10-19T06:54:00"/>
    <s v="ANT-0825"/>
    <n v="71"/>
    <s v="En Cours"/>
    <x v="1"/>
    <s v="Non repertorié"/>
    <s v="Non repertorié"/>
    <x v="1"/>
    <s v="Non repertorié"/>
  </r>
  <r>
    <d v="2023-10-21T02:14:00"/>
    <s v="ANT-0021"/>
    <n v="48"/>
    <s v="Résolu"/>
    <x v="1"/>
    <s v="Non repertorié"/>
    <s v="Non repertorié"/>
    <x v="1"/>
    <s v="Non repertorié"/>
  </r>
  <r>
    <d v="2023-10-12T07:47:00"/>
    <s v="ANT-0050"/>
    <n v="120"/>
    <s v="En Cours"/>
    <x v="1"/>
    <s v="Non repertorié"/>
    <s v="Non repertorié"/>
    <x v="1"/>
    <s v="Non repertorié"/>
  </r>
  <r>
    <d v="2023-10-28T09:26:00"/>
    <s v="ANT-0707"/>
    <n v="67"/>
    <s v="Résolu"/>
    <x v="1"/>
    <s v="Non repertorié"/>
    <s v="Non repertorié"/>
    <x v="1"/>
    <s v="Non repertorié"/>
  </r>
  <r>
    <d v="2023-10-26T10:23:00"/>
    <s v="ANT-0119"/>
    <n v="50"/>
    <s v="Non Résolu"/>
    <x v="1"/>
    <s v="Non repertorié"/>
    <s v="Non repertorié"/>
    <x v="1"/>
    <s v="Non repertorié"/>
  </r>
  <r>
    <d v="2023-10-09T18:18:00"/>
    <s v="ANT-0427"/>
    <n v="101"/>
    <s v="Résolu"/>
    <x v="1"/>
    <s v="Non repertorié"/>
    <s v="Non repertorié"/>
    <x v="1"/>
    <s v="Non repertorié"/>
  </r>
  <r>
    <d v="2023-10-15T03:30:00"/>
    <s v="ANT-0455"/>
    <n v="29"/>
    <s v="En Cours"/>
    <x v="1"/>
    <s v="Non repertorié"/>
    <s v="Non repertorié"/>
    <x v="1"/>
    <s v="Non repertorié"/>
  </r>
  <r>
    <d v="2023-10-02T20:37:00"/>
    <s v="ANT-0390"/>
    <n v="26"/>
    <s v="Non Résolu"/>
    <x v="1"/>
    <s v="Non repertorié"/>
    <s v="Non repertorié"/>
    <x v="1"/>
    <s v="Non repertorié"/>
  </r>
  <r>
    <d v="2023-10-19T19:04:00"/>
    <s v="ANT-0127"/>
    <n v="108"/>
    <s v="Résolu"/>
    <x v="1"/>
    <s v="Non repertorié"/>
    <s v="Non repertorié"/>
    <x v="1"/>
    <s v="Non repertorié"/>
  </r>
  <r>
    <d v="2023-10-16T06:32:00"/>
    <s v="ANT-0561"/>
    <n v="56"/>
    <s v="En Cours"/>
    <x v="1"/>
    <s v="Non repertorié"/>
    <s v="Non repertorié"/>
    <x v="1"/>
    <s v="Non repertorié"/>
  </r>
  <r>
    <d v="2023-10-04T21:24:00"/>
    <s v="ANT-0259"/>
    <n v="7"/>
    <s v="Non Résolu"/>
    <x v="1"/>
    <s v="Non repertorié"/>
    <s v="Non repertorié"/>
    <x v="1"/>
    <s v="Non repertorié"/>
  </r>
  <r>
    <d v="2023-10-17T09:26:00"/>
    <s v="ANT-0486"/>
    <n v="34"/>
    <s v="En Cours"/>
    <x v="1"/>
    <s v="Non repertorié"/>
    <s v="Non repertorié"/>
    <x v="1"/>
    <s v="Non repertorié"/>
  </r>
  <r>
    <d v="2023-10-02T04:08:00"/>
    <s v="ant-0719"/>
    <n v="33"/>
    <s v="En Cours"/>
    <x v="6"/>
    <n v="-7.9987219999999999"/>
    <n v="12.779335"/>
    <x v="2"/>
    <s v="Nokia"/>
  </r>
  <r>
    <d v="2023-10-07T10:26:00"/>
    <s v="ANT-0157"/>
    <n v="98"/>
    <s v="Résolu"/>
    <x v="1"/>
    <s v="Non repertorié"/>
    <s v="Non repertorié"/>
    <x v="1"/>
    <s v="Non repertorié"/>
  </r>
  <r>
    <d v="2023-10-19T14:09:00"/>
    <s v="ANT-0211"/>
    <n v="21"/>
    <s v="Résolu"/>
    <x v="13"/>
    <n v="-11.514817000000001"/>
    <n v="24.891375"/>
    <x v="3"/>
    <s v="Nokia"/>
  </r>
  <r>
    <d v="2023-10-11T22:11:00"/>
    <s v="ANT-0712"/>
    <n v="32"/>
    <s v="Non Résolu"/>
    <x v="1"/>
    <s v="Non repertorié"/>
    <s v="Non repertorié"/>
    <x v="1"/>
    <s v="Non repertorié"/>
  </r>
  <r>
    <d v="2023-10-25T02:31:00"/>
    <s v="ANT-0703"/>
    <n v="98"/>
    <s v="En Cours"/>
    <x v="0"/>
    <n v="-7.0007840000000003"/>
    <n v="22.787997000000001"/>
    <x v="2"/>
    <s v="ZTE"/>
  </r>
  <r>
    <d v="2023-10-11T20:11:00"/>
    <s v="ANT-0646"/>
    <n v="7"/>
    <s v="Résolu"/>
    <x v="1"/>
    <s v="Non repertorié"/>
    <s v="Non repertorié"/>
    <x v="1"/>
    <s v="Non repertorié"/>
  </r>
  <r>
    <d v="2023-10-11T20:03:00"/>
    <s v="ANT-0010"/>
    <n v="80"/>
    <s v="Non Résolu"/>
    <x v="7"/>
    <n v="4.4712560000000003"/>
    <n v="27.107028"/>
    <x v="3"/>
    <s v="Ericsson"/>
  </r>
  <r>
    <d v="2023-10-01T14:17:00"/>
    <s v="ANT-0309"/>
    <n v="69"/>
    <s v="En Cours"/>
    <x v="1"/>
    <s v="Non repertorié"/>
    <s v="Non repertorié"/>
    <x v="1"/>
    <s v="Non repertorié"/>
  </r>
  <r>
    <d v="2023-10-07T05:36:00"/>
    <s v="ANT-0431"/>
    <n v="26"/>
    <s v="En Cours"/>
    <x v="24"/>
    <n v="-4.6311460000000002"/>
    <n v="25.314723000000001"/>
    <x v="0"/>
    <s v="Huawei"/>
  </r>
  <r>
    <d v="2023-10-25T05:31:00"/>
    <s v="ANT-0678"/>
    <n v="20"/>
    <s v="Résolu"/>
    <x v="9"/>
    <n v="-10.298385"/>
    <n v="29.698117"/>
    <x v="2"/>
    <s v="Nokia"/>
  </r>
  <r>
    <d v="2023-10-26T02:08:00"/>
    <s v="ANT-0104"/>
    <n v="51"/>
    <s v="Résolu"/>
    <x v="1"/>
    <s v="Non repertorié"/>
    <s v="Non repertorié"/>
    <x v="1"/>
    <s v="Non repertorié"/>
  </r>
  <r>
    <d v="2023-10-20T13:40:00"/>
    <s v="ANT-0679"/>
    <n v="96"/>
    <s v="Résolu"/>
    <x v="2"/>
    <n v="-7.1587569999999996"/>
    <n v="18.975141000000001"/>
    <x v="2"/>
    <s v="Ericsson"/>
  </r>
  <r>
    <d v="2023-10-14T12:27:00"/>
    <s v="ANT-0533"/>
    <n v="88"/>
    <s v="Non Résolu"/>
    <x v="5"/>
    <n v="4.8265669999999998"/>
    <n v="28.535277000000001"/>
    <x v="3"/>
    <s v="Huawei"/>
  </r>
  <r>
    <d v="2023-10-31T15:24:00"/>
    <s v="ANT-0277"/>
    <n v="106"/>
    <s v="Résolu"/>
    <x v="6"/>
    <n v="-6.8149179999999996"/>
    <n v="23.258102000000001"/>
    <x v="2"/>
    <s v="Huawei"/>
  </r>
  <r>
    <d v="2023-10-01T01:34:00"/>
    <s v="ANT-0638"/>
    <n v="9"/>
    <s v="Résolu"/>
    <x v="1"/>
    <s v="Non repertorié"/>
    <s v="Non repertorié"/>
    <x v="1"/>
    <s v="Non repertorié"/>
  </r>
  <r>
    <d v="2023-10-07T23:23:00"/>
    <s v="ANT-0621"/>
    <n v="53"/>
    <s v="Non Résolu"/>
    <x v="7"/>
    <n v="-2.926736"/>
    <n v="18.170461"/>
    <x v="2"/>
    <s v="Ericsson"/>
  </r>
  <r>
    <d v="2023-10-31T00:57:00"/>
    <s v="ANT-0718"/>
    <n v="117"/>
    <s v="Non Résolu"/>
    <x v="2"/>
    <n v="1.981107"/>
    <n v="23.932569000000001"/>
    <x v="3"/>
    <s v="Nokia"/>
  </r>
  <r>
    <d v="2023-10-11T16:12:00"/>
    <s v="ANT-0141"/>
    <n v="86"/>
    <s v="En Cours"/>
    <x v="1"/>
    <s v="Non repertorié"/>
    <s v="Non repertorié"/>
    <x v="1"/>
    <s v="Non repertorié"/>
  </r>
  <r>
    <d v="2023-10-21T23:15:00"/>
    <s v="ANT-0851"/>
    <n v="103"/>
    <s v="Résolu"/>
    <x v="1"/>
    <s v="Non repertorié"/>
    <s v="Non repertorié"/>
    <x v="1"/>
    <s v="Non repertorié"/>
  </r>
  <r>
    <d v="2023-10-08T22:56:00"/>
    <s v="ANT-0921"/>
    <n v="73"/>
    <s v="Non Résolu"/>
    <x v="7"/>
    <n v="2.016505"/>
    <n v="14.294164"/>
    <x v="2"/>
    <s v="Huawei"/>
  </r>
  <r>
    <d v="2023-10-12T09:08:00"/>
    <s v="ANT-0108"/>
    <n v="84"/>
    <s v="Résolu"/>
    <x v="1"/>
    <s v="Non repertorié"/>
    <s v="Non repertorié"/>
    <x v="1"/>
    <s v="Non repertorié"/>
  </r>
  <r>
    <d v="2023-10-04T12:32:00"/>
    <s v="ANT-0524"/>
    <n v="11"/>
    <s v="Non Résolu"/>
    <x v="12"/>
    <n v="-7.402336"/>
    <n v="27.376697"/>
    <x v="0"/>
    <s v="Huawei"/>
  </r>
  <r>
    <d v="2023-10-19T09:10:00"/>
    <s v="ANT-0737"/>
    <n v="81"/>
    <s v="Non Résolu"/>
    <x v="2"/>
    <n v="-2.8211520000000001"/>
    <n v="20.651419000000001"/>
    <x v="2"/>
    <s v="Ericsson"/>
  </r>
  <r>
    <d v="2023-10-03T01:19:00"/>
    <s v="ANT-0633"/>
    <n v="11"/>
    <s v="Résolu"/>
    <x v="1"/>
    <s v="Non repertorié"/>
    <s v="Non repertorié"/>
    <x v="1"/>
    <s v="Non repertorié"/>
  </r>
  <r>
    <d v="2023-10-31T09:29:00"/>
    <s v="ANT-0121"/>
    <n v="89"/>
    <s v="En Cours"/>
    <x v="20"/>
    <n v="-7.3952039999999997"/>
    <n v="21.651043999999999"/>
    <x v="0"/>
    <s v="Huawei"/>
  </r>
  <r>
    <d v="2023-10-24T16:38:00"/>
    <s v="ANT-0290"/>
    <n v="18"/>
    <s v="Non Résolu"/>
    <x v="1"/>
    <s v="Non repertorié"/>
    <s v="Non repertorié"/>
    <x v="1"/>
    <s v="Non repertorié"/>
  </r>
  <r>
    <d v="2023-10-17T10:27:00"/>
    <s v="ANT-0117"/>
    <n v="88"/>
    <s v="Résolu"/>
    <x v="25"/>
    <n v="1.938083"/>
    <n v="28.25281"/>
    <x v="0"/>
    <s v="Nokia"/>
  </r>
  <r>
    <d v="2023-10-29T21:08:00"/>
    <s v="ANT-0804"/>
    <n v="112"/>
    <s v="En Cours"/>
    <x v="18"/>
    <n v="-4.1250960000000001"/>
    <n v="27.799897999999999"/>
    <x v="3"/>
    <s v="Nokia"/>
  </r>
  <r>
    <d v="2023-10-12T21:20:00"/>
    <s v="ANT-0670"/>
    <n v="87"/>
    <s v="Non Résolu"/>
    <x v="22"/>
    <n v="-7.1483749999999997"/>
    <n v="26.014271000000001"/>
    <x v="2"/>
    <s v="Huawei"/>
  </r>
  <r>
    <d v="2023-10-14T23:07:00"/>
    <s v="ANT-0019"/>
    <n v="25"/>
    <s v="Non Résolu"/>
    <x v="1"/>
    <s v="Non repertorié"/>
    <s v="Non repertorié"/>
    <x v="1"/>
    <s v="Non repertorié"/>
  </r>
  <r>
    <d v="2023-10-04T01:00:00"/>
    <s v="ANT-0106"/>
    <n v="69"/>
    <s v="En Cours"/>
    <x v="20"/>
    <n v="-2.2876210000000001"/>
    <n v="27.582545"/>
    <x v="0"/>
    <s v="Huawei"/>
  </r>
  <r>
    <d v="2023-10-28T04:42:00"/>
    <s v="ANT-0414"/>
    <n v="113"/>
    <s v="Non Résolu"/>
    <x v="21"/>
    <n v="-7.5418399999999997"/>
    <n v="16.931206"/>
    <x v="3"/>
    <s v="Nokia"/>
  </r>
  <r>
    <d v="2023-10-21T05:21:00"/>
    <s v="ANT-0423"/>
    <n v="65"/>
    <s v="En Cours"/>
    <x v="26"/>
    <n v="-1.3938550000000001"/>
    <n v="15.097554000000001"/>
    <x v="0"/>
    <s v="Huawei"/>
  </r>
  <r>
    <d v="2023-10-12T14:39:00"/>
    <s v="ANT-0037"/>
    <n v="114"/>
    <s v="Résolu"/>
    <x v="18"/>
    <n v="-7.0076900000000002"/>
    <n v="27.367121999999998"/>
    <x v="3"/>
    <s v="Nokia"/>
  </r>
  <r>
    <d v="2023-10-09T23:05:00"/>
    <s v="ANT-0571"/>
    <n v="68"/>
    <s v="Résolu"/>
    <x v="20"/>
    <n v="-2.3269820000000001"/>
    <n v="14.609259"/>
    <x v="3"/>
    <s v="Nokia"/>
  </r>
  <r>
    <d v="2023-10-12T10:11:00"/>
    <s v="ANT-0563"/>
    <n v="116"/>
    <s v="Non Résolu"/>
    <x v="9"/>
    <n v="-1.8555980000000001"/>
    <n v="30.421918000000002"/>
    <x v="3"/>
    <s v="ZTE"/>
  </r>
  <r>
    <d v="2023-10-04T12:25:00"/>
    <s v="ANT-0001"/>
    <n v="26"/>
    <s v="Résolu"/>
    <x v="6"/>
    <n v="-8.1437910000000002"/>
    <n v="28.946161"/>
    <x v="0"/>
    <s v="ZTE"/>
  </r>
  <r>
    <d v="2023-10-31T14:17:00"/>
    <s v="ANT-0846"/>
    <n v="14"/>
    <s v="Résolu"/>
    <x v="21"/>
    <n v="-7.1079169999999996"/>
    <n v="13.636272"/>
    <x v="2"/>
    <s v="Nokia"/>
  </r>
  <r>
    <d v="2023-10-27T12:44:00"/>
    <s v="ANT-0094"/>
    <n v="101"/>
    <s v="En Cours"/>
    <x v="25"/>
    <n v="-10.650321"/>
    <n v="15.917044000000001"/>
    <x v="0"/>
    <s v="Nokia"/>
  </r>
  <r>
    <d v="2023-10-28T15:51:00"/>
    <s v="ANT-0811"/>
    <n v="67"/>
    <s v="En Cours"/>
    <x v="11"/>
    <n v="-5.125"/>
    <n v="23.513119"/>
    <x v="2"/>
    <s v="Huawei"/>
  </r>
  <r>
    <d v="2023-10-14T20:56:00"/>
    <s v="ANT-0619"/>
    <n v="46"/>
    <s v="Non Résolu"/>
    <x v="17"/>
    <n v="-7.513261"/>
    <n v="24.338812000000001"/>
    <x v="2"/>
    <s v="Huawei"/>
  </r>
  <r>
    <d v="2023-10-26T05:07:00"/>
    <s v="ANT-0987"/>
    <n v="35"/>
    <s v="En Cours"/>
    <x v="1"/>
    <s v="Non repertorié"/>
    <s v="Non repertorié"/>
    <x v="1"/>
    <s v="Non repertorié"/>
  </r>
  <r>
    <d v="2023-10-05T22:46:00"/>
    <s v="ANT-0634"/>
    <n v="47"/>
    <s v="Non Résolu"/>
    <x v="1"/>
    <s v="Non repertorié"/>
    <s v="Non repertorié"/>
    <x v="1"/>
    <s v="Non repertorié"/>
  </r>
  <r>
    <d v="2023-10-02T05:06:00"/>
    <s v="ANT-0653"/>
    <n v="40"/>
    <s v="Non Résolu"/>
    <x v="9"/>
    <n v="0.82868600000000003"/>
    <n v="26.958843999999999"/>
    <x v="2"/>
    <s v="ZTE"/>
  </r>
  <r>
    <d v="2023-10-14T18:30:00"/>
    <s v="ANT-0312"/>
    <n v="11"/>
    <s v="En Cours"/>
    <x v="1"/>
    <s v="Non repertorié"/>
    <s v="Non repertorié"/>
    <x v="1"/>
    <s v="Non repertorié"/>
  </r>
  <r>
    <d v="2023-10-26T18:43:00"/>
    <s v="ANT-0912"/>
    <n v="69"/>
    <s v="Non Résolu"/>
    <x v="1"/>
    <s v="Non repertorié"/>
    <s v="Non repertorié"/>
    <x v="1"/>
    <s v="Non repertorié"/>
  </r>
  <r>
    <d v="2023-10-15T05:39:00"/>
    <s v="ANT-0521"/>
    <n v="33"/>
    <s v="Résolu"/>
    <x v="25"/>
    <n v="-10.318835"/>
    <n v="21.252382000000001"/>
    <x v="0"/>
    <s v="Ericsson"/>
  </r>
  <r>
    <d v="2023-10-13T11:39:00"/>
    <s v="ANT-0576"/>
    <n v="75"/>
    <s v="Résolu"/>
    <x v="1"/>
    <s v="Non repertorié"/>
    <s v="Non repertorié"/>
    <x v="1"/>
    <s v="Non repertorié"/>
  </r>
  <r>
    <d v="2023-10-01T21:56:00"/>
    <s v="ANT-0212"/>
    <n v="87"/>
    <s v="Résolu"/>
    <x v="17"/>
    <n v="3.175935"/>
    <n v="16.862832000000001"/>
    <x v="2"/>
    <s v="Ericsson"/>
  </r>
  <r>
    <d v="2023-10-27T23:57:00"/>
    <s v="ANT-0671"/>
    <n v="53"/>
    <s v="En Cours"/>
    <x v="6"/>
    <n v="-7.8373179999999998"/>
    <n v="20.527591999999999"/>
    <x v="0"/>
    <s v="Ericsson"/>
  </r>
  <r>
    <d v="2023-10-05T15:58:00"/>
    <s v="ANT-0688"/>
    <n v="56"/>
    <s v="Résolu"/>
    <x v="1"/>
    <s v="Non repertorié"/>
    <s v="Non repertorié"/>
    <x v="1"/>
    <s v="Non repertorié"/>
  </r>
  <r>
    <d v="2023-10-16T03:56:00"/>
    <s v="ANT-0468"/>
    <n v="109"/>
    <s v="Non Résolu"/>
    <x v="1"/>
    <s v="Non repertorié"/>
    <s v="Non repertorié"/>
    <x v="1"/>
    <s v="Non repertorié"/>
  </r>
  <r>
    <d v="2023-10-14T14:02:00"/>
    <s v="ANT-0974"/>
    <n v="35"/>
    <s v="Non Résolu"/>
    <x v="1"/>
    <s v="Non repertorié"/>
    <s v="Non repertorié"/>
    <x v="1"/>
    <s v="Non repertorié"/>
  </r>
  <r>
    <d v="2023-10-03T08:41:00"/>
    <s v="ANT-0350"/>
    <n v="15"/>
    <s v="Non Résolu"/>
    <x v="1"/>
    <s v="Non repertorié"/>
    <s v="Non repertorié"/>
    <x v="1"/>
    <s v="Non repertorié"/>
  </r>
  <r>
    <d v="2023-10-11T00:45:00"/>
    <s v="ANT-0373"/>
    <n v="63"/>
    <s v="En Cours"/>
    <x v="4"/>
    <n v="-9.0798120000000004"/>
    <n v="14.945484"/>
    <x v="2"/>
    <s v="Ericsson"/>
  </r>
  <r>
    <d v="2023-10-28T21:33:00"/>
    <s v="ANT-0846"/>
    <n v="61"/>
    <s v="Résolu"/>
    <x v="21"/>
    <n v="-7.1079169999999996"/>
    <n v="13.636272"/>
    <x v="2"/>
    <s v="Nokia"/>
  </r>
  <r>
    <d v="2023-10-25T23:36:00"/>
    <s v="ANT-0056"/>
    <n v="107"/>
    <s v="En Cours"/>
    <x v="24"/>
    <n v="-9.3652280000000001"/>
    <n v="18.674116000000001"/>
    <x v="0"/>
    <s v="Huawei"/>
  </r>
  <r>
    <d v="2023-10-24T18:14:00"/>
    <s v="ANT-0837"/>
    <n v="78"/>
    <s v="Non Résolu"/>
    <x v="19"/>
    <n v="-5.3762689999999997"/>
    <n v="28.189575999999999"/>
    <x v="2"/>
    <s v="Huawei"/>
  </r>
  <r>
    <d v="2023-10-31T21:55:00"/>
    <s v="ANT-0229"/>
    <n v="62"/>
    <s v="Résolu"/>
    <x v="15"/>
    <n v="-1.9540519999999999"/>
    <n v="12.667945"/>
    <x v="0"/>
    <s v="Huawei"/>
  </r>
  <r>
    <d v="2023-10-11T16:33:00"/>
    <s v="ANT-0865"/>
    <n v="16"/>
    <s v="Résolu"/>
    <x v="22"/>
    <n v="-4.869434"/>
    <n v="22.326522000000001"/>
    <x v="2"/>
    <s v="Ericsson"/>
  </r>
  <r>
    <d v="2023-10-23T22:39:00"/>
    <s v="ANT-0466"/>
    <n v="114"/>
    <s v="Résolu"/>
    <x v="26"/>
    <n v="-9.6407190000000007"/>
    <n v="21.336704999999998"/>
    <x v="0"/>
    <s v="ZTE"/>
  </r>
  <r>
    <d v="2023-10-04T13:42:00"/>
    <s v="ANT-0340"/>
    <n v="68"/>
    <s v="En Cours"/>
    <x v="1"/>
    <s v="Non repertorié"/>
    <s v="Non repertorié"/>
    <x v="1"/>
    <s v="Non repertorié"/>
  </r>
  <r>
    <d v="2023-10-24T07:30:00"/>
    <s v="ANT-0574"/>
    <n v="62"/>
    <s v="Résolu"/>
    <x v="1"/>
    <s v="Non repertorié"/>
    <s v="Non repertorié"/>
    <x v="1"/>
    <s v="Non repertorié"/>
  </r>
  <r>
    <d v="2023-10-12T21:43:00"/>
    <s v="ANT-0786"/>
    <n v="45"/>
    <s v="En Cours"/>
    <x v="8"/>
    <n v="-12.342053999999999"/>
    <n v="18.756862000000002"/>
    <x v="3"/>
    <s v="Ericsson"/>
  </r>
  <r>
    <d v="2023-10-21T12:09:00"/>
    <s v="ANT-0635"/>
    <n v="20"/>
    <s v="Résolu"/>
    <x v="1"/>
    <s v="Non repertorié"/>
    <s v="Non repertorié"/>
    <x v="1"/>
    <s v="Non repertorié"/>
  </r>
  <r>
    <d v="2023-10-27T17:57:00"/>
    <s v="ANT-0615"/>
    <n v="68"/>
    <s v="Non Résolu"/>
    <x v="1"/>
    <s v="Non repertorié"/>
    <s v="Non repertorié"/>
    <x v="1"/>
    <s v="Non repertorié"/>
  </r>
  <r>
    <d v="2023-10-20T01:00:00"/>
    <s v="ANT-0485"/>
    <n v="100"/>
    <s v="En Cours"/>
    <x v="1"/>
    <s v="Non repertorié"/>
    <s v="Non repertorié"/>
    <x v="1"/>
    <s v="Non repertorié"/>
  </r>
  <r>
    <d v="2023-10-04T14:29:00"/>
    <s v="ANT-0753"/>
    <n v="106"/>
    <s v="Non Résolu"/>
    <x v="7"/>
    <n v="-5.1507670000000001"/>
    <n v="28.075324999999999"/>
    <x v="2"/>
    <s v="Huawei"/>
  </r>
  <r>
    <d v="2023-10-22T18:32:00"/>
    <s v="ANT-0527"/>
    <n v="107"/>
    <s v="Résolu"/>
    <x v="3"/>
    <n v="-4.4451280000000004"/>
    <n v="16.536944999999999"/>
    <x v="0"/>
    <s v="Ericsson"/>
  </r>
  <r>
    <d v="2023-10-05T15:00:00"/>
    <s v="ANT-0123"/>
    <n v="94"/>
    <s v="En Cours"/>
    <x v="20"/>
    <n v="-1.6893210000000001"/>
    <n v="30.446543999999999"/>
    <x v="0"/>
    <s v="Huawei"/>
  </r>
  <r>
    <d v="2023-10-17T23:03:00"/>
    <s v="ANT-0387"/>
    <n v="41"/>
    <s v="Non Résolu"/>
    <x v="24"/>
    <n v="-7.5641280000000002"/>
    <n v="18.129529999999999"/>
    <x v="3"/>
    <s v="Huawei"/>
  </r>
  <r>
    <d v="2023-10-18T13:53:00"/>
    <s v="ANT-0042"/>
    <n v="93"/>
    <s v="Non Résolu"/>
    <x v="3"/>
    <n v="-10.735106"/>
    <n v="27.868673999999999"/>
    <x v="3"/>
    <s v="Ericsson"/>
  </r>
  <r>
    <d v="2023-10-19T15:59:00"/>
    <s v="ANT-0439"/>
    <n v="90"/>
    <s v="En Cours"/>
    <x v="1"/>
    <s v="Non repertorié"/>
    <s v="Non repertorié"/>
    <x v="1"/>
    <s v="Non repertorié"/>
  </r>
  <r>
    <d v="2023-10-17T05:44:00"/>
    <s v="ANT-0286"/>
    <n v="11"/>
    <s v="Résolu"/>
    <x v="1"/>
    <s v="Non repertorié"/>
    <s v="Non repertorié"/>
    <x v="1"/>
    <s v="Non repertorié"/>
  </r>
  <r>
    <d v="2023-10-19T05:46:00"/>
    <s v="ANT-0570"/>
    <n v="53"/>
    <s v="En Cours"/>
    <x v="1"/>
    <s v="Non repertorié"/>
    <s v="Non repertorié"/>
    <x v="1"/>
    <s v="Non repertorié"/>
  </r>
  <r>
    <d v="2023-10-27T04:06:00"/>
    <s v="ANT-0271"/>
    <n v="54"/>
    <s v="Résolu"/>
    <x v="15"/>
    <n v="-5.1030600000000002"/>
    <n v="22.849231"/>
    <x v="2"/>
    <s v="ZTE"/>
  </r>
  <r>
    <d v="2023-10-13T21:38:00"/>
    <s v="ANT-0134"/>
    <n v="58"/>
    <s v="Résolu"/>
    <x v="4"/>
    <n v="-10.963041"/>
    <n v="12.269857"/>
    <x v="0"/>
    <s v="Huawei"/>
  </r>
  <r>
    <d v="2023-10-20T10:32:00"/>
    <s v="ANT-0165"/>
    <n v="105"/>
    <s v="Non Résolu"/>
    <x v="8"/>
    <n v="-0.54908599999999996"/>
    <n v="14.816867"/>
    <x v="2"/>
    <s v="ZTE"/>
  </r>
  <r>
    <d v="2023-10-29T12:26:00"/>
    <s v="ANT-0599"/>
    <n v="92"/>
    <s v="En Cours"/>
    <x v="1"/>
    <s v="Non repertorié"/>
    <s v="Non repertorié"/>
    <x v="1"/>
    <s v="Non repertorié"/>
  </r>
  <r>
    <d v="2023-10-20T22:48:00"/>
    <s v="ANT-0867"/>
    <n v="45"/>
    <s v="En Cours"/>
    <x v="1"/>
    <s v="Non repertorié"/>
    <s v="Non repertorié"/>
    <x v="1"/>
    <s v="Non repertorié"/>
  </r>
  <r>
    <d v="2023-10-08T08:25:00"/>
    <s v="ANT-0262"/>
    <n v="75"/>
    <s v="En Cours"/>
    <x v="1"/>
    <s v="Non repertorié"/>
    <s v="Non repertorié"/>
    <x v="1"/>
    <s v="Non repertorié"/>
  </r>
  <r>
    <d v="2023-10-31T10:18:00"/>
    <s v="ANT-0006"/>
    <n v="11"/>
    <s v="En Cours"/>
    <x v="20"/>
    <n v="-2.8532869999999999"/>
    <n v="22.117896000000002"/>
    <x v="2"/>
    <s v="Huawei"/>
  </r>
  <r>
    <d v="2023-10-15T04:08:00"/>
    <s v="ANT-0339"/>
    <n v="6"/>
    <s v="Résolu"/>
    <x v="20"/>
    <n v="-3.6945459999999999"/>
    <n v="16.809108999999999"/>
    <x v="2"/>
    <s v="ZTE"/>
  </r>
  <r>
    <d v="2023-10-14T19:44:00"/>
    <s v="ANT-0478"/>
    <n v="100"/>
    <s v="Non Résolu"/>
    <x v="1"/>
    <s v="Non repertorié"/>
    <s v="Non repertorié"/>
    <x v="1"/>
    <s v="Non repertorié"/>
  </r>
  <r>
    <d v="2023-10-29T23:32:00"/>
    <s v="ANT-0727"/>
    <n v="37"/>
    <s v="Non Résolu"/>
    <x v="1"/>
    <s v="Non repertorié"/>
    <s v="Non repertorié"/>
    <x v="1"/>
    <s v="Non repertorié"/>
  </r>
  <r>
    <d v="2023-10-10T22:35:00"/>
    <s v="ANT-0960"/>
    <n v="30"/>
    <s v="En Cours"/>
    <x v="1"/>
    <s v="Non repertorié"/>
    <s v="Non repertorié"/>
    <x v="1"/>
    <s v="Non repertorié"/>
  </r>
  <r>
    <d v="2023-10-28T10:45:00"/>
    <s v="ANT-0159"/>
    <n v="84"/>
    <s v="Non Résolu"/>
    <x v="13"/>
    <n v="2.4414509999999998"/>
    <n v="30.167489"/>
    <x v="2"/>
    <s v="Nokia"/>
  </r>
  <r>
    <d v="2023-10-24T17:40:00"/>
    <s v="ANT-0041"/>
    <n v="116"/>
    <s v="Non Résolu"/>
    <x v="7"/>
    <n v="0.16841400000000001"/>
    <n v="30.029876999999999"/>
    <x v="2"/>
    <s v="Huawei"/>
  </r>
  <r>
    <d v="2023-10-07T06:13:00"/>
    <s v="ANT-0158"/>
    <n v="104"/>
    <s v="Résolu"/>
    <x v="1"/>
    <s v="Non repertorié"/>
    <s v="Non repertorié"/>
    <x v="1"/>
    <s v="Non repertorié"/>
  </r>
  <r>
    <d v="2023-10-20T22:18:00"/>
    <s v="ANT-0951"/>
    <n v="115"/>
    <s v="Résolu"/>
    <x v="1"/>
    <s v="Non repertorié"/>
    <s v="Non repertorié"/>
    <x v="1"/>
    <s v="Non repertorié"/>
  </r>
  <r>
    <d v="2023-10-22T11:58:00"/>
    <s v="ANT-0331"/>
    <n v="116"/>
    <s v="Non Résolu"/>
    <x v="1"/>
    <s v="Non repertorié"/>
    <s v="Non repertorié"/>
    <x v="1"/>
    <s v="Non repertorié"/>
  </r>
  <r>
    <d v="2023-10-22T04:45:00"/>
    <s v="ANT-0612"/>
    <n v="61"/>
    <s v="En Cours"/>
    <x v="4"/>
    <n v="-7.5129409999999996"/>
    <n v="18.701522000000001"/>
    <x v="0"/>
    <s v="Nokia"/>
  </r>
  <r>
    <d v="2023-10-21T05:32:00"/>
    <s v="ANT-0053"/>
    <n v="111"/>
    <s v="En Cours"/>
    <x v="1"/>
    <s v="Non repertorié"/>
    <s v="Non repertorié"/>
    <x v="1"/>
    <s v="Non repertorié"/>
  </r>
  <r>
    <d v="2023-10-18T22:40:00"/>
    <s v="ANT-0793"/>
    <n v="33"/>
    <s v="Résolu"/>
    <x v="1"/>
    <s v="Non repertorié"/>
    <s v="Non repertorié"/>
    <x v="1"/>
    <s v="Non repertorié"/>
  </r>
  <r>
    <d v="2023-10-11T22:07:00"/>
    <s v="ANT-0955"/>
    <n v="86"/>
    <s v="Non Résolu"/>
    <x v="1"/>
    <s v="Non repertorié"/>
    <s v="Non repertorié"/>
    <x v="1"/>
    <s v="Non repertorié"/>
  </r>
  <r>
    <d v="2023-10-25T11:35:00"/>
    <s v="ANT-0641"/>
    <n v="95"/>
    <s v="Non Résolu"/>
    <x v="5"/>
    <n v="-2.2371569999999998"/>
    <n v="25.926188"/>
    <x v="3"/>
    <s v="Nokia"/>
  </r>
  <r>
    <d v="2023-10-16T18:36:00"/>
    <s v="ANT-0631"/>
    <n v="95"/>
    <s v="Non Résolu"/>
    <x v="10"/>
    <n v="-0.85624699999999998"/>
    <n v="28.624870000000001"/>
    <x v="3"/>
    <s v="Ericsson"/>
  </r>
  <r>
    <d v="2023-10-31T21:45:00"/>
    <s v="ANT-0864"/>
    <n v="87"/>
    <s v="Résolu"/>
    <x v="1"/>
    <s v="Non repertorié"/>
    <s v="Non repertorié"/>
    <x v="1"/>
    <s v="Non repertorié"/>
  </r>
  <r>
    <d v="2023-10-14T21:47:00"/>
    <s v="ANT-0678"/>
    <n v="52"/>
    <s v="Résolu"/>
    <x v="9"/>
    <n v="-10.298385"/>
    <n v="29.698117"/>
    <x v="2"/>
    <s v="Nokia"/>
  </r>
  <r>
    <d v="2023-10-29T17:18:00"/>
    <s v="ant-0309"/>
    <n v="101"/>
    <s v="Non Résolu"/>
    <x v="1"/>
    <s v="Non repertorié"/>
    <s v="Non repertorié"/>
    <x v="1"/>
    <s v="Non repertorié"/>
  </r>
  <r>
    <d v="2023-10-29T13:51:00"/>
    <s v="ANT-0503"/>
    <n v="80"/>
    <s v="En Cours"/>
    <x v="22"/>
    <n v="-1.8045979999999999"/>
    <n v="12.511096999999999"/>
    <x v="3"/>
    <s v="Huawei"/>
  </r>
  <r>
    <d v="2023-10-01T16:06:00"/>
    <s v="ANT-0809"/>
    <n v="74"/>
    <s v="En Cours"/>
    <x v="18"/>
    <n v="-4.6426759999999998"/>
    <n v="22.124254000000001"/>
    <x v="0"/>
    <s v="ZTE"/>
  </r>
  <r>
    <d v="2023-10-01T12:09:00"/>
    <s v="ANT-0587"/>
    <n v="99"/>
    <s v="Résolu"/>
    <x v="7"/>
    <n v="-10.945031"/>
    <n v="27.922274000000002"/>
    <x v="0"/>
    <s v="Ericsson"/>
  </r>
  <r>
    <d v="2023-10-02T21:03:00"/>
    <s v="ANT-0564"/>
    <n v="82"/>
    <s v="En Cours"/>
    <x v="9"/>
    <n v="-12.336202"/>
    <n v="13.693683999999999"/>
    <x v="2"/>
    <s v="Huawei"/>
  </r>
  <r>
    <d v="2023-10-07T08:48:00"/>
    <s v="ANT-0367"/>
    <n v="30"/>
    <s v="En Cours"/>
    <x v="1"/>
    <s v="Non repertorié"/>
    <s v="Non repertorié"/>
    <x v="1"/>
    <s v="Non repertorié"/>
  </r>
  <r>
    <d v="2023-10-26T05:18:00"/>
    <s v="ANT-0075"/>
    <n v="104"/>
    <s v="Non Résolu"/>
    <x v="3"/>
    <n v="-8.0800809999999998"/>
    <n v="30.147970999999998"/>
    <x v="2"/>
    <s v="Huawei"/>
  </r>
  <r>
    <d v="2023-10-22T08:09:00"/>
    <s v="ANT-0803"/>
    <n v="97"/>
    <s v="Non Résolu"/>
    <x v="1"/>
    <s v="Non repertorié"/>
    <s v="Non repertorié"/>
    <x v="1"/>
    <s v="Non repertorié"/>
  </r>
  <r>
    <d v="2023-10-27T01:44:00"/>
    <s v="ANT-0725"/>
    <n v="29"/>
    <s v="En Cours"/>
    <x v="1"/>
    <s v="Non repertorié"/>
    <s v="Non repertorié"/>
    <x v="1"/>
    <s v="Non repertorié"/>
  </r>
  <r>
    <d v="2023-10-26T09:13:00"/>
    <s v="ANT-0326"/>
    <n v="42"/>
    <s v="Résolu"/>
    <x v="1"/>
    <s v="Non repertorié"/>
    <s v="Non repertorié"/>
    <x v="1"/>
    <s v="Non repertorié"/>
  </r>
  <r>
    <d v="2023-10-25T17:02:00"/>
    <s v="ANT-0539"/>
    <n v="62"/>
    <s v="Non Résolu"/>
    <x v="1"/>
    <s v="Non repertorié"/>
    <s v="Non repertorié"/>
    <x v="1"/>
    <s v="Non repertorié"/>
  </r>
  <r>
    <d v="2023-10-12T14:06:00"/>
    <s v="ANT-0226"/>
    <n v="27"/>
    <s v="En Cours"/>
    <x v="14"/>
    <n v="-7.8215969999999997"/>
    <n v="26.797349000000001"/>
    <x v="3"/>
    <s v="Ericsson"/>
  </r>
  <r>
    <d v="2023-10-20T21:47:00"/>
    <s v="ANT-0980"/>
    <n v="92"/>
    <s v="Non Résolu"/>
    <x v="1"/>
    <s v="Non repertorié"/>
    <s v="Non repertorié"/>
    <x v="1"/>
    <s v="Non repertorié"/>
  </r>
  <r>
    <d v="2023-10-18T07:47:00"/>
    <s v="ANT-0189"/>
    <n v="14"/>
    <s v="Non Résolu"/>
    <x v="1"/>
    <s v="Non repertorié"/>
    <s v="Non repertorié"/>
    <x v="1"/>
    <s v="Non repertorié"/>
  </r>
  <r>
    <d v="2023-10-21T17:24:00"/>
    <s v="ANT-0534"/>
    <n v="28"/>
    <s v="En Cours"/>
    <x v="0"/>
    <n v="-9.002459"/>
    <n v="25.182109000000001"/>
    <x v="2"/>
    <s v="Huawei"/>
  </r>
  <r>
    <d v="2023-10-08T16:50:00"/>
    <s v="ANT-0070"/>
    <n v="27"/>
    <s v="En Cours"/>
    <x v="17"/>
    <n v="-10.764815"/>
    <n v="14.602039"/>
    <x v="0"/>
    <s v="Nokia"/>
  </r>
  <r>
    <d v="2023-10-31T17:34:00"/>
    <s v="ANT-0199"/>
    <n v="52"/>
    <s v="Résolu"/>
    <x v="1"/>
    <s v="Non repertorié"/>
    <s v="Non repertorié"/>
    <x v="1"/>
    <s v="Non repertorié"/>
  </r>
  <r>
    <d v="2023-10-01T20:04:00"/>
    <s v="ANT-0118"/>
    <n v="6"/>
    <s v="Résolu"/>
    <x v="1"/>
    <s v="Non repertorié"/>
    <s v="Non repertorié"/>
    <x v="1"/>
    <s v="Non repertorié"/>
  </r>
  <r>
    <d v="2023-10-07T21:40:00"/>
    <s v="ANT-0186"/>
    <n v="75"/>
    <s v="En Cours"/>
    <x v="1"/>
    <s v="Non repertorié"/>
    <s v="Non repertorié"/>
    <x v="1"/>
    <s v="Non repertorié"/>
  </r>
  <r>
    <d v="2023-10-25T06:55:00"/>
    <s v="ANT-0688"/>
    <n v="116"/>
    <s v="En Cours"/>
    <x v="1"/>
    <s v="Non repertorié"/>
    <s v="Non repertorié"/>
    <x v="1"/>
    <s v="Non repertorié"/>
  </r>
  <r>
    <d v="2023-10-22T13:53:00"/>
    <s v="ANT-0819"/>
    <n v="76"/>
    <s v="En Cours"/>
    <x v="1"/>
    <s v="Non repertorié"/>
    <s v="Non repertorié"/>
    <x v="1"/>
    <s v="Non repertorié"/>
  </r>
  <r>
    <d v="2023-10-04T06:34:00"/>
    <s v="ANT-0581"/>
    <n v="23"/>
    <s v="En Cours"/>
    <x v="1"/>
    <s v="Non repertorié"/>
    <s v="Non repertorié"/>
    <x v="1"/>
    <s v="Non repertorié"/>
  </r>
  <r>
    <d v="2023-10-27T22:56:00"/>
    <s v="ANT-0873"/>
    <n v="20"/>
    <s v="Non Résolu"/>
    <x v="1"/>
    <s v="Non repertorié"/>
    <s v="Non repertorié"/>
    <x v="1"/>
    <s v="Non repertorié"/>
  </r>
  <r>
    <d v="2023-10-24T13:41:00"/>
    <s v="ANT-0056"/>
    <n v="10"/>
    <s v="Non Résolu"/>
    <x v="24"/>
    <n v="-9.3652280000000001"/>
    <n v="18.674116000000001"/>
    <x v="0"/>
    <s v="Huawei"/>
  </r>
  <r>
    <d v="2023-10-27T02:47:00"/>
    <s v="ANT-0872"/>
    <n v="5"/>
    <s v="En Cours"/>
    <x v="23"/>
    <n v="2.486888"/>
    <n v="23.798074"/>
    <x v="2"/>
    <s v="ZTE"/>
  </r>
  <r>
    <d v="2023-10-22T04:01:00"/>
    <s v="ANT-0770"/>
    <n v="78"/>
    <s v="Non Résolu"/>
    <x v="12"/>
    <n v="2.4741019999999998"/>
    <n v="29.297391000000001"/>
    <x v="0"/>
    <s v="Ericsson"/>
  </r>
  <r>
    <d v="2023-10-15T22:21:00"/>
    <s v="ANT-0955"/>
    <n v="81"/>
    <s v="Non Résolu"/>
    <x v="1"/>
    <s v="Non repertorié"/>
    <s v="Non repertorié"/>
    <x v="1"/>
    <s v="Non repertorié"/>
  </r>
  <r>
    <d v="2023-10-02T02:04:00"/>
    <s v="ANT-0563"/>
    <n v="55"/>
    <s v="Résolu"/>
    <x v="9"/>
    <n v="-1.8555980000000001"/>
    <n v="30.421918000000002"/>
    <x v="3"/>
    <s v="ZTE"/>
  </r>
  <r>
    <d v="2023-10-02T05:50:00"/>
    <s v="ANT-0473"/>
    <n v="73"/>
    <s v="Non Résolu"/>
    <x v="1"/>
    <s v="Non repertorié"/>
    <s v="Non repertorié"/>
    <x v="1"/>
    <s v="Non repertorié"/>
  </r>
  <r>
    <d v="2023-10-09T17:04:00"/>
    <s v="ANT-0661"/>
    <n v="75"/>
    <s v="Non Résolu"/>
    <x v="1"/>
    <s v="Non repertorié"/>
    <s v="Non repertorié"/>
    <x v="1"/>
    <s v="Non repertorié"/>
  </r>
  <r>
    <d v="2023-10-19T07:58:00"/>
    <s v="ANT-0563"/>
    <n v="15"/>
    <s v="En Cours"/>
    <x v="9"/>
    <n v="-1.8555980000000001"/>
    <n v="30.421918000000002"/>
    <x v="3"/>
    <s v="ZTE"/>
  </r>
  <r>
    <d v="2023-10-09T13:24:00"/>
    <s v="ANT-0075"/>
    <n v="44"/>
    <s v="En Cours"/>
    <x v="3"/>
    <n v="-8.0800809999999998"/>
    <n v="30.147970999999998"/>
    <x v="2"/>
    <s v="Huawei"/>
  </r>
  <r>
    <d v="2023-10-15T20:25:00"/>
    <s v="ANT-0298"/>
    <n v="31"/>
    <s v="En Cours"/>
    <x v="23"/>
    <n v="-5.4073029999999997"/>
    <n v="29.762294000000001"/>
    <x v="3"/>
    <s v="Ericsson"/>
  </r>
  <r>
    <d v="2023-10-14T10:01:00"/>
    <s v="ANT-0688"/>
    <n v="100"/>
    <s v="Résolu"/>
    <x v="1"/>
    <s v="Non repertorié"/>
    <s v="Non repertorié"/>
    <x v="1"/>
    <s v="Non repertorié"/>
  </r>
  <r>
    <d v="2023-10-13T21:07:00"/>
    <s v="ANT-0069"/>
    <n v="99"/>
    <s v="Résolu"/>
    <x v="1"/>
    <s v="Non repertorié"/>
    <s v="Non repertorié"/>
    <x v="1"/>
    <s v="Non repertorié"/>
  </r>
  <r>
    <d v="2023-10-18T00:41:00"/>
    <s v="ANT-0257"/>
    <n v="120"/>
    <s v="En Cours"/>
    <x v="13"/>
    <n v="-4.1694589999999998"/>
    <n v="23.376487000000001"/>
    <x v="3"/>
    <s v="Nokia"/>
  </r>
  <r>
    <d v="2023-10-24T19:04:00"/>
    <s v="ANT-0101"/>
    <n v="97"/>
    <s v="Résolu"/>
    <x v="22"/>
    <n v="1.0134879999999999"/>
    <n v="20.363515"/>
    <x v="0"/>
    <s v="Nokia"/>
  </r>
  <r>
    <d v="2023-10-25T23:37:00"/>
    <s v="ANT-0203"/>
    <n v="49"/>
    <s v="Résolu"/>
    <x v="1"/>
    <s v="Non repertorié"/>
    <s v="Non repertorié"/>
    <x v="1"/>
    <s v="Non repertorié"/>
  </r>
  <r>
    <d v="2023-10-02T22:54:00"/>
    <s v="ANT-0744"/>
    <n v="32"/>
    <s v="Non Résolu"/>
    <x v="1"/>
    <s v="Non repertorié"/>
    <s v="Non repertorié"/>
    <x v="1"/>
    <s v="Non repertorié"/>
  </r>
  <r>
    <d v="2023-10-03T11:59:00"/>
    <s v="ANT-0595"/>
    <n v="57"/>
    <s v="Non Résolu"/>
    <x v="1"/>
    <s v="Non repertorié"/>
    <s v="Non repertorié"/>
    <x v="1"/>
    <s v="Non repertorié"/>
  </r>
  <r>
    <d v="2023-10-17T03:18:00"/>
    <s v="ANT-0499"/>
    <n v="120"/>
    <s v="Non Résolu"/>
    <x v="19"/>
    <n v="-7.2267089999999996"/>
    <n v="28.421362999999999"/>
    <x v="2"/>
    <s v="Ericsson"/>
  </r>
  <r>
    <d v="2023-10-26T21:19:00"/>
    <s v="ANT-0975"/>
    <n v="87"/>
    <s v="En Cours"/>
    <x v="26"/>
    <n v="-5.8145569999999998"/>
    <n v="21.942052"/>
    <x v="2"/>
    <s v="Huawei"/>
  </r>
  <r>
    <d v="2023-10-20T02:18:00"/>
    <s v="ANT-0339"/>
    <n v="113"/>
    <s v="En Cours"/>
    <x v="20"/>
    <n v="-3.6945459999999999"/>
    <n v="16.809108999999999"/>
    <x v="2"/>
    <s v="ZTE"/>
  </r>
  <r>
    <d v="2023-10-25T14:24:00"/>
    <s v="ANT-0366"/>
    <n v="70"/>
    <s v="En Cours"/>
    <x v="1"/>
    <s v="Non repertorié"/>
    <s v="Non repertorié"/>
    <x v="1"/>
    <s v="Non repertorié"/>
  </r>
  <r>
    <d v="2023-10-13T21:01:00"/>
    <s v="ANT-0132"/>
    <n v="23"/>
    <s v="Résolu"/>
    <x v="12"/>
    <n v="1.2691650000000001"/>
    <n v="18.789956"/>
    <x v="3"/>
    <s v="Nokia"/>
  </r>
  <r>
    <d v="2023-10-16T05:34:00"/>
    <s v="ANT-0688"/>
    <n v="25"/>
    <s v="Non Résolu"/>
    <x v="1"/>
    <s v="Non repertorié"/>
    <s v="Non repertorié"/>
    <x v="1"/>
    <s v="Non repertorié"/>
  </r>
  <r>
    <d v="2023-10-08T04:47:00"/>
    <s v="ANT-0672"/>
    <n v="28"/>
    <s v="Non Résolu"/>
    <x v="1"/>
    <s v="Non repertorié"/>
    <s v="Non repertorié"/>
    <x v="1"/>
    <s v="Non repertorié"/>
  </r>
  <r>
    <d v="2023-10-13T17:18:00"/>
    <s v="ANT-0241"/>
    <n v="33"/>
    <s v="En Cours"/>
    <x v="15"/>
    <n v="-5.7957599999999996"/>
    <n v="14.078258"/>
    <x v="2"/>
    <s v="Ericsson"/>
  </r>
  <r>
    <d v="2023-10-31T20:09:00"/>
    <s v="ANT-0103"/>
    <n v="83"/>
    <s v="En Cours"/>
    <x v="14"/>
    <n v="-0.79459900000000006"/>
    <n v="26.775570999999999"/>
    <x v="2"/>
    <s v="Huawei"/>
  </r>
  <r>
    <d v="2023-10-10T21:56:00"/>
    <s v="ANT-0292"/>
    <n v="111"/>
    <s v="En Cours"/>
    <x v="20"/>
    <n v="-6.4197189999999997"/>
    <n v="22.287264"/>
    <x v="3"/>
    <s v="Ericsson"/>
  </r>
  <r>
    <d v="2023-10-30T23:41:00"/>
    <s v="ANT-0635"/>
    <n v="37"/>
    <s v="En Cours"/>
    <x v="1"/>
    <s v="Non repertorié"/>
    <s v="Non repertorié"/>
    <x v="1"/>
    <s v="Non repertorié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CLI-01147"/>
    <x v="0"/>
    <n v="29"/>
    <s v="Premium 5G 150Go"/>
    <m/>
    <n v="214"/>
    <n v="74.7"/>
    <n v="3"/>
    <n v="0.45"/>
    <n v="33.615000000000002"/>
    <n v="1"/>
  </r>
  <r>
    <s v="CLI-00894"/>
    <x v="1"/>
    <n v="63"/>
    <s v="Pro Monde"/>
    <m/>
    <n v="205"/>
    <n v="89.19"/>
    <n v="0"/>
    <n v="0.1"/>
    <n v="8.9190000000000005"/>
    <n v="2"/>
  </r>
  <r>
    <s v="CLI-00865"/>
    <x v="2"/>
    <n v="34"/>
    <s v="Pro Monde"/>
    <m/>
    <n v="453"/>
    <n v="56.84"/>
    <n v="0"/>
    <n v="0.1"/>
    <n v="5.6840000000000011"/>
    <n v="3"/>
  </r>
  <r>
    <s v="CLI-01325"/>
    <x v="3"/>
    <n v="44"/>
    <s v="Bloqué 5Go"/>
    <m/>
    <n v="348"/>
    <n v="58.67"/>
    <n v="0"/>
    <n v="0.45"/>
    <n v="26.401500000000002"/>
    <n v="4"/>
  </r>
  <r>
    <s v="CLI-01855"/>
    <x v="4"/>
    <n v="101"/>
    <s v="Illimité 50Go"/>
    <m/>
    <n v="358"/>
    <n v="29.24"/>
    <n v="3"/>
    <n v="0.45"/>
    <n v="13.157999999999999"/>
    <n v="5"/>
  </r>
  <r>
    <s v="CLI-00076"/>
    <x v="5"/>
    <n v="46"/>
    <s v="Premium 5G 150Go"/>
    <m/>
    <n v="283"/>
    <n v="56.05"/>
    <n v="1"/>
    <n v="0.45"/>
    <n v="25.2225"/>
    <n v="6"/>
  </r>
  <r>
    <s v="CLI-00414"/>
    <x v="6"/>
    <n v="99"/>
    <s v="Premium 5G 150Go"/>
    <m/>
    <n v="447"/>
    <n v="38.1"/>
    <n v="3"/>
    <n v="0.45"/>
    <n v="17.145"/>
    <n v="7"/>
  </r>
  <r>
    <s v="CLI-00327"/>
    <x v="5"/>
    <n v="6"/>
    <s v="Illimité 50Go"/>
    <m/>
    <n v="155"/>
    <n v="40.659999999999997"/>
    <n v="1"/>
    <n v="0"/>
    <n v="0"/>
    <n v="8"/>
  </r>
  <r>
    <s v="CLI-00559"/>
    <x v="7"/>
    <n v="99"/>
    <s v="Bloqué 5Go"/>
    <m/>
    <n v="369"/>
    <n v="67.209999999999994"/>
    <n v="3"/>
    <n v="0.45"/>
    <n v="30.244499999999999"/>
    <n v="9"/>
  </r>
  <r>
    <s v="CLI-00280"/>
    <x v="8"/>
    <n v="113"/>
    <s v="Illimité 50Go"/>
    <m/>
    <n v="380"/>
    <n v="12.11"/>
    <n v="0"/>
    <n v="0.45"/>
    <n v="5.4494999999999996"/>
    <n v="10"/>
  </r>
  <r>
    <s v="CLI-00060"/>
    <x v="9"/>
    <n v="72"/>
    <s v="Pro Monde"/>
    <m/>
    <n v="160"/>
    <n v="90.13"/>
    <n v="2"/>
    <n v="0.1"/>
    <n v="9.0129999999999999"/>
    <n v="11"/>
  </r>
  <r>
    <s v="CLI-00530"/>
    <x v="10"/>
    <n v="35"/>
    <s v="Pro Monde"/>
    <m/>
    <n v="465"/>
    <n v="58.59"/>
    <n v="5"/>
    <n v="0.1"/>
    <n v="5.8590000000000009"/>
    <n v="12"/>
  </r>
  <r>
    <s v="CLI-01618"/>
    <x v="11"/>
    <n v="115"/>
    <s v="Bloqué 5Go"/>
    <m/>
    <n v="176"/>
    <n v="33.28"/>
    <n v="4"/>
    <n v="0"/>
    <n v="0"/>
    <n v="13"/>
  </r>
  <r>
    <s v="CLI-01646"/>
    <x v="3"/>
    <n v="20"/>
    <s v="Illimité 50Go"/>
    <m/>
    <n v="4"/>
    <n v="84.9"/>
    <n v="3"/>
    <n v="0"/>
    <n v="0"/>
    <n v="14"/>
  </r>
  <r>
    <s v="CLI-00569"/>
    <x v="12"/>
    <n v="110"/>
    <s v="Pro Monde"/>
    <m/>
    <n v="423"/>
    <n v="37.35"/>
    <n v="4"/>
    <n v="0.1"/>
    <n v="3.7350000000000003"/>
    <n v="15"/>
  </r>
  <r>
    <s v="CLI-01349"/>
    <x v="1"/>
    <n v="89"/>
    <s v="Premium 5G 150Go"/>
    <m/>
    <n v="143"/>
    <n v="48.05"/>
    <n v="4"/>
    <n v="0"/>
    <n v="0"/>
    <n v="16"/>
  </r>
  <r>
    <s v="CLI-01128"/>
    <x v="6"/>
    <n v="112"/>
    <s v="Premium 5G 150Go"/>
    <m/>
    <n v="460"/>
    <n v="55.47"/>
    <n v="4"/>
    <n v="0.45"/>
    <n v="24.961500000000001"/>
    <n v="17"/>
  </r>
  <r>
    <s v="CLI-00361"/>
    <x v="13"/>
    <n v="66"/>
    <s v="Illimité 50Go"/>
    <m/>
    <n v="270"/>
    <n v="75.88"/>
    <n v="3"/>
    <n v="0.45"/>
    <n v="34.146000000000001"/>
    <n v="18"/>
  </r>
  <r>
    <s v="CLI-01320"/>
    <x v="7"/>
    <n v="78"/>
    <s v="Bloqué 5Go"/>
    <m/>
    <n v="312"/>
    <n v="85.74"/>
    <n v="2"/>
    <n v="0.45"/>
    <n v="38.582999999999998"/>
    <n v="19"/>
  </r>
  <r>
    <s v="CLI-01746"/>
    <x v="9"/>
    <n v="86"/>
    <s v="Premium 5G 150Go"/>
    <m/>
    <n v="471"/>
    <n v="33.380000000000003"/>
    <n v="4"/>
    <n v="0.45"/>
    <n v="15.021000000000001"/>
    <n v="20"/>
  </r>
  <r>
    <s v="CLI-00087"/>
    <x v="7"/>
    <n v="14"/>
    <s v="Premium 5G 150Go"/>
    <m/>
    <n v="75"/>
    <n v="55.67"/>
    <n v="3"/>
    <n v="0.45"/>
    <n v="25.051500000000001"/>
    <n v="21"/>
  </r>
  <r>
    <s v="CLI-01974"/>
    <x v="8"/>
    <n v="91"/>
    <s v="Pro Monde"/>
    <m/>
    <n v="358"/>
    <n v="21.14"/>
    <n v="5"/>
    <n v="0.1"/>
    <n v="2.1140000000000003"/>
    <n v="22"/>
  </r>
  <r>
    <s v="CLI-01480"/>
    <x v="6"/>
    <n v="7"/>
    <s v="Premium 5G 150Go"/>
    <m/>
    <n v="206"/>
    <n v="78.09"/>
    <n v="3"/>
    <n v="0.45"/>
    <n v="35.140500000000003"/>
    <n v="23"/>
  </r>
  <r>
    <s v="CLI-00996"/>
    <x v="14"/>
    <n v="119"/>
    <s v="Illimité 50Go"/>
    <m/>
    <n v="228"/>
    <n v="94.72"/>
    <n v="3"/>
    <n v="0"/>
    <n v="0"/>
    <n v="24"/>
  </r>
  <r>
    <s v="CLI-01603"/>
    <x v="5"/>
    <n v="57"/>
    <s v="Illimité 50Go"/>
    <m/>
    <n v="329"/>
    <n v="50.39"/>
    <n v="5"/>
    <n v="0.45"/>
    <n v="22.6755"/>
    <n v="25"/>
  </r>
  <r>
    <s v="CLI-00041"/>
    <x v="0"/>
    <n v="103"/>
    <s v="Pro Monde"/>
    <m/>
    <n v="105"/>
    <n v="61.52"/>
    <n v="3"/>
    <n v="0.1"/>
    <n v="6.152000000000001"/>
    <n v="26"/>
  </r>
  <r>
    <s v="CLI-00114"/>
    <x v="6"/>
    <n v="59"/>
    <s v="Illimité 50Go"/>
    <m/>
    <n v="454"/>
    <n v="10.47"/>
    <n v="5"/>
    <n v="0.45"/>
    <n v="4.7115"/>
    <n v="27"/>
  </r>
  <r>
    <s v="CLI-01761"/>
    <x v="10"/>
    <n v="108"/>
    <s v="Illimité 50Go"/>
    <m/>
    <n v="278"/>
    <n v="40.51"/>
    <n v="3"/>
    <n v="0.45"/>
    <n v="18.229499999999998"/>
    <n v="28"/>
  </r>
  <r>
    <s v="CLI-01837"/>
    <x v="15"/>
    <n v="97"/>
    <s v="Pro Monde"/>
    <m/>
    <n v="319"/>
    <n v="31.25"/>
    <n v="1"/>
    <n v="0.1"/>
    <n v="3.125"/>
    <n v="29"/>
  </r>
  <r>
    <s v="CLI-00172"/>
    <x v="9"/>
    <n v="15"/>
    <s v="Pro Monde"/>
    <m/>
    <n v="403"/>
    <n v="77.12"/>
    <n v="1"/>
    <n v="0.1"/>
    <n v="7.7120000000000006"/>
    <n v="30"/>
  </r>
  <r>
    <s v="CLI-00643"/>
    <x v="16"/>
    <n v="14"/>
    <s v="Pro Monde"/>
    <m/>
    <n v="316"/>
    <n v="62.34"/>
    <n v="4"/>
    <n v="0.1"/>
    <n v="6.2340000000000009"/>
    <n v="31"/>
  </r>
  <r>
    <s v="CLI-01233"/>
    <x v="17"/>
    <n v="101"/>
    <s v="Pro Monde"/>
    <m/>
    <n v="333"/>
    <n v="74.319999999999993"/>
    <n v="1"/>
    <n v="0.1"/>
    <n v="7.4319999999999995"/>
    <n v="32"/>
  </r>
  <r>
    <s v="CLI-00611"/>
    <x v="18"/>
    <n v="79"/>
    <s v="Premium 5G 150Go"/>
    <m/>
    <n v="226"/>
    <n v="94.38"/>
    <n v="3"/>
    <n v="0"/>
    <n v="0"/>
    <n v="33"/>
  </r>
  <r>
    <s v="CLI-01776"/>
    <x v="4"/>
    <n v="79"/>
    <s v="Bloqué 5Go"/>
    <m/>
    <n v="357"/>
    <n v="69.900000000000006"/>
    <n v="5"/>
    <n v="0.45"/>
    <n v="31.455000000000002"/>
    <n v="34"/>
  </r>
  <r>
    <s v="CLI-00131"/>
    <x v="19"/>
    <n v="101"/>
    <s v="Pro Monde"/>
    <m/>
    <n v="176"/>
    <n v="86"/>
    <n v="3"/>
    <n v="0.1"/>
    <n v="8.6"/>
    <n v="35"/>
  </r>
  <r>
    <s v="CLI-01845"/>
    <x v="4"/>
    <n v="110"/>
    <s v="Illimité 50Go"/>
    <m/>
    <n v="454"/>
    <n v="31.05"/>
    <n v="1"/>
    <n v="0.45"/>
    <n v="13.9725"/>
    <n v="36"/>
  </r>
  <r>
    <s v="CLI-01957"/>
    <x v="1"/>
    <n v="14"/>
    <s v="Bloqué 5Go"/>
    <m/>
    <n v="415"/>
    <n v="36.93"/>
    <n v="5"/>
    <n v="0.45"/>
    <n v="16.618500000000001"/>
    <n v="37"/>
  </r>
  <r>
    <s v="CLI-00834"/>
    <x v="7"/>
    <n v="106"/>
    <s v="Bloqué 5Go"/>
    <m/>
    <n v="400"/>
    <n v="70.02"/>
    <n v="4"/>
    <n v="0.45"/>
    <n v="31.509"/>
    <n v="38"/>
  </r>
  <r>
    <s v="CLI-01972"/>
    <x v="7"/>
    <n v="72"/>
    <s v="Bloqué 5Go"/>
    <m/>
    <n v="332"/>
    <n v="83.36"/>
    <n v="4"/>
    <n v="0.45"/>
    <n v="37.512"/>
    <n v="39"/>
  </r>
  <r>
    <s v="CLI-00745"/>
    <x v="20"/>
    <n v="6"/>
    <s v="Premium 5G 150Go"/>
    <m/>
    <n v="207"/>
    <n v="61.55"/>
    <n v="0"/>
    <n v="0.45"/>
    <n v="27.697499999999998"/>
    <n v="40"/>
  </r>
  <r>
    <s v="CLI-01376"/>
    <x v="17"/>
    <n v="65"/>
    <s v="Premium 5G 150Go"/>
    <m/>
    <n v="397"/>
    <n v="22.6"/>
    <n v="5"/>
    <n v="0.45"/>
    <n v="10.170000000000002"/>
    <n v="41"/>
  </r>
  <r>
    <s v="CLI-01347"/>
    <x v="5"/>
    <n v="14"/>
    <s v="Pro Monde"/>
    <m/>
    <n v="101"/>
    <n v="43.99"/>
    <n v="1"/>
    <n v="0.1"/>
    <n v="4.399"/>
    <n v="42"/>
  </r>
  <r>
    <s v="CLI-01814"/>
    <x v="12"/>
    <n v="22"/>
    <s v="Illimité 50Go"/>
    <m/>
    <n v="451"/>
    <n v="76.38"/>
    <n v="3"/>
    <n v="0.45"/>
    <n v="34.371000000000002"/>
    <n v="43"/>
  </r>
  <r>
    <s v="CLI-00185"/>
    <x v="21"/>
    <n v="81"/>
    <s v="Pro Monde"/>
    <m/>
    <n v="154"/>
    <n v="19.47"/>
    <n v="3"/>
    <n v="0.1"/>
    <n v="1.9470000000000001"/>
    <n v="44"/>
  </r>
  <r>
    <s v="CLI-00813"/>
    <x v="0"/>
    <n v="16"/>
    <s v="Bloqué 5Go"/>
    <m/>
    <n v="43"/>
    <n v="56.48"/>
    <n v="0"/>
    <n v="0"/>
    <n v="0"/>
    <n v="45"/>
  </r>
  <r>
    <s v="CLI-01932"/>
    <x v="14"/>
    <n v="112"/>
    <s v="Pro Monde"/>
    <m/>
    <n v="18"/>
    <n v="27.33"/>
    <n v="5"/>
    <n v="0.1"/>
    <n v="2.7330000000000001"/>
    <n v="46"/>
  </r>
  <r>
    <s v="CLI-01720"/>
    <x v="8"/>
    <n v="27"/>
    <s v="Bloqué 5Go"/>
    <m/>
    <n v="275"/>
    <n v="80.069999999999993"/>
    <n v="1"/>
    <n v="0.45"/>
    <n v="36.031500000000001"/>
    <n v="47"/>
  </r>
  <r>
    <s v="CLI-01484"/>
    <x v="15"/>
    <n v="117"/>
    <s v="Illimité 50Go"/>
    <m/>
    <n v="171"/>
    <n v="50.89"/>
    <n v="4"/>
    <n v="0"/>
    <n v="0"/>
    <n v="48"/>
  </r>
  <r>
    <s v="CLI-01726"/>
    <x v="14"/>
    <n v="47"/>
    <s v="Bloqué 5Go"/>
    <m/>
    <n v="199"/>
    <n v="23.19"/>
    <n v="2"/>
    <n v="0"/>
    <n v="0"/>
    <n v="49"/>
  </r>
  <r>
    <s v="CLI-00288"/>
    <x v="16"/>
    <n v="21"/>
    <s v="Premium 5G 150Go"/>
    <m/>
    <n v="371"/>
    <n v="48.31"/>
    <n v="0"/>
    <n v="0.45"/>
    <n v="21.739500000000003"/>
    <n v="50"/>
  </r>
  <r>
    <s v="CLI-00484"/>
    <x v="14"/>
    <n v="82"/>
    <s v="Bloqué 5Go"/>
    <m/>
    <n v="132"/>
    <n v="50.14"/>
    <n v="5"/>
    <n v="0"/>
    <n v="0"/>
    <n v="51"/>
  </r>
  <r>
    <s v="CLI-00230"/>
    <x v="4"/>
    <n v="59"/>
    <s v="Illimité 50Go"/>
    <m/>
    <n v="192"/>
    <n v="86.17"/>
    <n v="1"/>
    <n v="0"/>
    <n v="0"/>
    <n v="52"/>
  </r>
  <r>
    <s v="CLI-01170"/>
    <x v="22"/>
    <n v="98"/>
    <s v="Pro Monde"/>
    <m/>
    <n v="482"/>
    <n v="55.04"/>
    <n v="5"/>
    <n v="0.1"/>
    <n v="5.5040000000000004"/>
    <n v="53"/>
  </r>
  <r>
    <s v="CLI-01505"/>
    <x v="10"/>
    <n v="58"/>
    <s v="Bloqué 5Go"/>
    <m/>
    <n v="423"/>
    <n v="80.459999999999994"/>
    <n v="0"/>
    <n v="0.45"/>
    <n v="36.207000000000001"/>
    <n v="54"/>
  </r>
  <r>
    <s v="CLI-01025"/>
    <x v="17"/>
    <n v="86"/>
    <s v="Bloqué 5Go"/>
    <m/>
    <n v="460"/>
    <n v="22.81"/>
    <n v="4"/>
    <n v="0.45"/>
    <n v="10.2645"/>
    <n v="55"/>
  </r>
  <r>
    <s v="CLI-01911"/>
    <x v="20"/>
    <n v="58"/>
    <s v="Illimité 50Go"/>
    <m/>
    <n v="61"/>
    <n v="58.64"/>
    <n v="3"/>
    <n v="0"/>
    <n v="0"/>
    <n v="56"/>
  </r>
  <r>
    <s v="CLI-00248"/>
    <x v="13"/>
    <n v="20"/>
    <s v="Bloqué 5Go"/>
    <m/>
    <n v="26"/>
    <n v="25.14"/>
    <n v="0"/>
    <n v="0"/>
    <n v="0"/>
    <n v="57"/>
  </r>
  <r>
    <s v="CLI-01069"/>
    <x v="14"/>
    <n v="111"/>
    <s v="Premium 5G 150Go"/>
    <m/>
    <n v="103"/>
    <n v="32.06"/>
    <n v="0"/>
    <n v="0"/>
    <n v="0"/>
    <n v="58"/>
  </r>
  <r>
    <s v="CLI-01361"/>
    <x v="4"/>
    <n v="94"/>
    <s v="Illimité 50Go"/>
    <m/>
    <n v="122"/>
    <n v="95.74"/>
    <n v="5"/>
    <n v="0"/>
    <n v="0"/>
    <n v="59"/>
  </r>
  <r>
    <s v="CLI-01698"/>
    <x v="10"/>
    <n v="42"/>
    <s v="Illimité 50Go"/>
    <m/>
    <n v="385"/>
    <n v="96.52"/>
    <n v="1"/>
    <n v="0.45"/>
    <n v="43.433999999999997"/>
    <n v="60"/>
  </r>
  <r>
    <s v="CLI-01189"/>
    <x v="4"/>
    <n v="12"/>
    <s v="Pro Monde"/>
    <m/>
    <n v="305"/>
    <n v="59.96"/>
    <n v="3"/>
    <n v="0.1"/>
    <n v="5.9960000000000004"/>
    <n v="61"/>
  </r>
  <r>
    <s v="CLI-01588"/>
    <x v="10"/>
    <n v="103"/>
    <s v="Bloqué 5Go"/>
    <m/>
    <n v="300"/>
    <n v="13.76"/>
    <n v="4"/>
    <n v="0.45"/>
    <n v="6.1920000000000002"/>
    <n v="62"/>
  </r>
  <r>
    <s v="CLI-01908"/>
    <x v="10"/>
    <n v="80"/>
    <s v="Premium 5G 150Go"/>
    <m/>
    <n v="121"/>
    <n v="83.14"/>
    <n v="5"/>
    <n v="0"/>
    <n v="0"/>
    <n v="63"/>
  </r>
  <r>
    <s v="CLI-01076"/>
    <x v="6"/>
    <n v="86"/>
    <s v="Pro Monde"/>
    <m/>
    <n v="252"/>
    <n v="96.5"/>
    <n v="5"/>
    <n v="0.1"/>
    <n v="9.65"/>
    <n v="64"/>
  </r>
  <r>
    <s v="CLI-00516"/>
    <x v="18"/>
    <n v="80"/>
    <s v="Bloqué 5Go"/>
    <m/>
    <n v="260"/>
    <n v="65.87"/>
    <n v="3"/>
    <n v="0.45"/>
    <n v="29.641500000000004"/>
    <n v="65"/>
  </r>
  <r>
    <s v="CLI-01017"/>
    <x v="5"/>
    <n v="53"/>
    <s v="Pro Monde"/>
    <m/>
    <n v="385"/>
    <n v="68.78"/>
    <n v="3"/>
    <n v="0.1"/>
    <n v="6.8780000000000001"/>
    <n v="66"/>
  </r>
  <r>
    <s v="CLI-01812"/>
    <x v="13"/>
    <n v="50"/>
    <s v="Bloqué 5Go"/>
    <m/>
    <n v="258"/>
    <n v="25.06"/>
    <n v="4"/>
    <n v="0.45"/>
    <n v="11.276999999999999"/>
    <n v="67"/>
  </r>
  <r>
    <s v="CLI-01964"/>
    <x v="13"/>
    <n v="30"/>
    <s v="Premium 5G 150Go"/>
    <m/>
    <n v="197"/>
    <n v="15.42"/>
    <n v="0"/>
    <n v="0.45"/>
    <n v="6.9390000000000001"/>
    <n v="68"/>
  </r>
  <r>
    <s v="CLI-00488"/>
    <x v="5"/>
    <n v="116"/>
    <s v="Pro Monde"/>
    <m/>
    <n v="486"/>
    <n v="92.96"/>
    <n v="5"/>
    <n v="0.1"/>
    <n v="9.2959999999999994"/>
    <n v="69"/>
  </r>
  <r>
    <s v="CLI-01229"/>
    <x v="22"/>
    <n v="51"/>
    <s v="Illimité 50Go"/>
    <m/>
    <n v="58"/>
    <n v="34.6"/>
    <n v="5"/>
    <n v="0"/>
    <n v="0"/>
    <n v="70"/>
  </r>
  <r>
    <s v="CLI-00251"/>
    <x v="0"/>
    <n v="44"/>
    <s v="Pro Monde"/>
    <m/>
    <n v="137"/>
    <n v="32.58"/>
    <n v="0"/>
    <n v="0.1"/>
    <n v="3.258"/>
    <n v="71"/>
  </r>
  <r>
    <s v="CLI-01584"/>
    <x v="17"/>
    <n v="70"/>
    <s v="Bloqué 5Go"/>
    <m/>
    <n v="31"/>
    <n v="71.2"/>
    <n v="4"/>
    <n v="0"/>
    <n v="0"/>
    <n v="72"/>
  </r>
  <r>
    <s v="CLI-01653"/>
    <x v="10"/>
    <n v="6"/>
    <s v="Premium 5G 150Go"/>
    <m/>
    <n v="162"/>
    <n v="99.93"/>
    <n v="0"/>
    <n v="0.45"/>
    <n v="44.968500000000006"/>
    <n v="73"/>
  </r>
  <r>
    <s v="CLI-00642"/>
    <x v="10"/>
    <n v="86"/>
    <s v="Pro Monde"/>
    <m/>
    <n v="237"/>
    <n v="85.82"/>
    <n v="5"/>
    <n v="0.1"/>
    <n v="8.581999999999999"/>
    <n v="74"/>
  </r>
  <r>
    <s v="CLI-00675"/>
    <x v="9"/>
    <n v="114"/>
    <s v="Premium 5G 150Go"/>
    <m/>
    <n v="283"/>
    <n v="29.15"/>
    <n v="3"/>
    <n v="0.45"/>
    <n v="13.1175"/>
    <n v="75"/>
  </r>
  <r>
    <s v="CLI-01705"/>
    <x v="7"/>
    <n v="57"/>
    <s v="Bloqué 5Go"/>
    <m/>
    <n v="208"/>
    <n v="85.66"/>
    <n v="5"/>
    <n v="0"/>
    <n v="0"/>
    <n v="76"/>
  </r>
  <r>
    <s v="CLI-01197"/>
    <x v="3"/>
    <n v="95"/>
    <s v="Bloqué 5Go"/>
    <m/>
    <n v="33"/>
    <n v="35.32"/>
    <n v="0"/>
    <n v="0"/>
    <n v="0"/>
    <n v="77"/>
  </r>
  <r>
    <s v="CLI-01510"/>
    <x v="6"/>
    <n v="36"/>
    <s v="Bloqué 5Go"/>
    <m/>
    <n v="247"/>
    <n v="24.53"/>
    <n v="2"/>
    <n v="0.45"/>
    <n v="11.038500000000001"/>
    <n v="78"/>
  </r>
  <r>
    <s v="CLI-00799"/>
    <x v="18"/>
    <n v="83"/>
    <s v="Illimité 50Go"/>
    <m/>
    <n v="14"/>
    <n v="58.07"/>
    <n v="3"/>
    <n v="0"/>
    <n v="0"/>
    <n v="79"/>
  </r>
  <r>
    <s v="CLI-01651"/>
    <x v="14"/>
    <n v="12"/>
    <s v="Premium 5G 150Go"/>
    <m/>
    <n v="208"/>
    <n v="16.29"/>
    <n v="4"/>
    <n v="0.45"/>
    <n v="7.3304999999999998"/>
    <n v="80"/>
  </r>
  <r>
    <s v="CLI-01533"/>
    <x v="16"/>
    <n v="111"/>
    <s v="Illimité 50Go"/>
    <m/>
    <n v="324"/>
    <n v="18.07"/>
    <n v="2"/>
    <n v="0.45"/>
    <n v="8.1315000000000008"/>
    <n v="81"/>
  </r>
  <r>
    <s v="CLI-01524"/>
    <x v="4"/>
    <n v="22"/>
    <s v="Illimité 50Go"/>
    <m/>
    <n v="119"/>
    <n v="72.86"/>
    <n v="3"/>
    <n v="0"/>
    <n v="0"/>
    <n v="82"/>
  </r>
  <r>
    <s v="CLI-01950"/>
    <x v="12"/>
    <n v="91"/>
    <s v="Premium 5G 150Go"/>
    <m/>
    <n v="467"/>
    <n v="84.74"/>
    <n v="1"/>
    <n v="0.45"/>
    <n v="38.132999999999996"/>
    <n v="83"/>
  </r>
  <r>
    <s v="CLI-01916"/>
    <x v="17"/>
    <n v="4"/>
    <s v="Bloqué 5Go"/>
    <m/>
    <n v="453"/>
    <n v="75.260000000000005"/>
    <n v="5"/>
    <n v="0.45"/>
    <n v="33.867000000000004"/>
    <n v="84"/>
  </r>
  <r>
    <s v="CLI-00867"/>
    <x v="0"/>
    <n v="74"/>
    <s v="Illimité 50Go"/>
    <m/>
    <n v="9"/>
    <n v="99.89"/>
    <n v="0"/>
    <n v="0"/>
    <n v="0"/>
    <n v="85"/>
  </r>
  <r>
    <s v="CLI-00447"/>
    <x v="6"/>
    <n v="81"/>
    <s v="Premium 5G 150Go"/>
    <m/>
    <n v="137"/>
    <n v="89.05"/>
    <n v="0"/>
    <n v="0"/>
    <n v="0"/>
    <n v="86"/>
  </r>
  <r>
    <s v="CLI-00296"/>
    <x v="22"/>
    <n v="102"/>
    <s v="Pro Monde"/>
    <m/>
    <n v="283"/>
    <n v="28.98"/>
    <n v="3"/>
    <n v="0.1"/>
    <n v="2.8980000000000001"/>
    <n v="87"/>
  </r>
  <r>
    <s v="CLI-00219"/>
    <x v="10"/>
    <n v="99"/>
    <s v="Illimité 50Go"/>
    <m/>
    <n v="493"/>
    <n v="55.43"/>
    <n v="2"/>
    <n v="0.45"/>
    <n v="24.9435"/>
    <n v="88"/>
  </r>
  <r>
    <s v="CLI-00359"/>
    <x v="22"/>
    <n v="91"/>
    <s v="Bloqué 5Go"/>
    <m/>
    <n v="300"/>
    <n v="82.19"/>
    <n v="1"/>
    <n v="0.45"/>
    <n v="36.985500000000002"/>
    <n v="89"/>
  </r>
  <r>
    <s v="CLI-00439"/>
    <x v="23"/>
    <n v="40"/>
    <s v="Premium 5G 150Go"/>
    <m/>
    <n v="345"/>
    <n v="89.55"/>
    <n v="3"/>
    <n v="0.45"/>
    <n v="40.297499999999999"/>
    <n v="90"/>
  </r>
  <r>
    <s v="CLI-00563"/>
    <x v="21"/>
    <n v="72"/>
    <s v="Illimité 50Go"/>
    <m/>
    <n v="51"/>
    <n v="95.09"/>
    <n v="0"/>
    <n v="0"/>
    <n v="0"/>
    <n v="91"/>
  </r>
  <r>
    <s v="CLI-00901"/>
    <x v="5"/>
    <n v="83"/>
    <s v="Bloqué 5Go"/>
    <m/>
    <n v="126"/>
    <n v="67.17"/>
    <n v="1"/>
    <n v="0"/>
    <n v="0"/>
    <n v="92"/>
  </r>
  <r>
    <s v="CLI-00837"/>
    <x v="24"/>
    <n v="16"/>
    <s v="Bloqué 5Go"/>
    <m/>
    <n v="390"/>
    <n v="98.17"/>
    <n v="5"/>
    <n v="0.45"/>
    <n v="44.176500000000004"/>
    <n v="93"/>
  </r>
  <r>
    <s v="CLI-00521"/>
    <x v="6"/>
    <n v="83"/>
    <s v="Premium 5G 150Go"/>
    <m/>
    <n v="284"/>
    <n v="73.7"/>
    <n v="0"/>
    <n v="0.45"/>
    <n v="33.164999999999999"/>
    <n v="94"/>
  </r>
  <r>
    <s v="CLI-01768"/>
    <x v="3"/>
    <n v="72"/>
    <s v="Pro Monde"/>
    <m/>
    <n v="333"/>
    <n v="34.57"/>
    <n v="2"/>
    <n v="0.1"/>
    <n v="3.4570000000000003"/>
    <n v="95"/>
  </r>
  <r>
    <s v="CLI-01208"/>
    <x v="8"/>
    <n v="11"/>
    <s v="Bloqué 5Go"/>
    <m/>
    <n v="402"/>
    <n v="69.599999999999994"/>
    <n v="5"/>
    <n v="0.45"/>
    <n v="31.319999999999997"/>
    <n v="96"/>
  </r>
  <r>
    <s v="CLI-00115"/>
    <x v="13"/>
    <n v="25"/>
    <s v="Premium 5G 150Go"/>
    <m/>
    <n v="64"/>
    <n v="38.950000000000003"/>
    <n v="5"/>
    <n v="0.45"/>
    <n v="17.527500000000003"/>
    <n v="97"/>
  </r>
  <r>
    <s v="CLI-01005"/>
    <x v="25"/>
    <n v="80"/>
    <s v="Illimité 50Go"/>
    <m/>
    <n v="155"/>
    <n v="28.96"/>
    <n v="2"/>
    <n v="0"/>
    <n v="0"/>
    <n v="98"/>
  </r>
  <r>
    <s v="CLI-01093"/>
    <x v="13"/>
    <n v="70"/>
    <s v="Pro Monde"/>
    <m/>
    <n v="290"/>
    <n v="96.31"/>
    <n v="1"/>
    <n v="0.1"/>
    <n v="9.6310000000000002"/>
    <n v="99"/>
  </r>
  <r>
    <s v="CLI-00768"/>
    <x v="20"/>
    <n v="74"/>
    <s v="Premium 5G 150Go"/>
    <m/>
    <n v="208"/>
    <n v="39.56"/>
    <n v="0"/>
    <n v="0"/>
    <n v="0"/>
    <n v="100"/>
  </r>
  <r>
    <s v="CLI-01433"/>
    <x v="5"/>
    <n v="87"/>
    <s v="Pro Monde"/>
    <m/>
    <n v="442"/>
    <n v="22.39"/>
    <n v="3"/>
    <n v="0.1"/>
    <n v="2.2390000000000003"/>
    <n v="101"/>
  </r>
  <r>
    <s v="CLI-00232"/>
    <x v="11"/>
    <n v="69"/>
    <s v="Bloqué 5Go"/>
    <m/>
    <n v="306"/>
    <n v="13.97"/>
    <n v="1"/>
    <n v="0.45"/>
    <n v="6.2865000000000002"/>
    <n v="102"/>
  </r>
  <r>
    <s v="CLI-00649"/>
    <x v="15"/>
    <n v="79"/>
    <s v="Illimité 50Go"/>
    <m/>
    <n v="403"/>
    <n v="21.49"/>
    <n v="0"/>
    <n v="0.45"/>
    <n v="9.6704999999999988"/>
    <n v="103"/>
  </r>
  <r>
    <s v="CLI-01118"/>
    <x v="15"/>
    <n v="33"/>
    <s v="Illimité 50Go"/>
    <m/>
    <n v="337"/>
    <n v="62.61"/>
    <n v="2"/>
    <n v="0.45"/>
    <n v="28.174500000000002"/>
    <n v="104"/>
  </r>
  <r>
    <s v="CLI-00868"/>
    <x v="6"/>
    <n v="88"/>
    <s v="Illimité 50Go"/>
    <m/>
    <n v="319"/>
    <n v="56.18"/>
    <n v="0"/>
    <n v="0.45"/>
    <n v="25.280999999999999"/>
    <n v="105"/>
  </r>
  <r>
    <s v="CLI-00973"/>
    <x v="4"/>
    <n v="72"/>
    <s v="Premium 5G 150Go"/>
    <m/>
    <n v="5"/>
    <n v="68.650000000000006"/>
    <n v="0"/>
    <n v="0"/>
    <n v="0"/>
    <n v="106"/>
  </r>
  <r>
    <s v="CLI-01399"/>
    <x v="17"/>
    <n v="114"/>
    <s v="Premium 5G 150Go"/>
    <m/>
    <n v="232"/>
    <n v="42.2"/>
    <n v="2"/>
    <n v="0"/>
    <n v="0"/>
    <n v="107"/>
  </r>
  <r>
    <s v="CLI-00505"/>
    <x v="19"/>
    <n v="59"/>
    <s v="Bloqué 5Go"/>
    <m/>
    <n v="196"/>
    <n v="62.53"/>
    <n v="0"/>
    <n v="0"/>
    <n v="0"/>
    <n v="108"/>
  </r>
  <r>
    <s v="CLI-01986"/>
    <x v="6"/>
    <n v="1"/>
    <s v="Bloqué 5Go"/>
    <m/>
    <n v="237"/>
    <n v="58.7"/>
    <n v="4"/>
    <n v="0"/>
    <n v="0"/>
    <n v="109"/>
  </r>
  <r>
    <s v="CLI-01802"/>
    <x v="11"/>
    <n v="55"/>
    <s v="Bloqué 5Go"/>
    <m/>
    <n v="407"/>
    <n v="23.11"/>
    <n v="0"/>
    <n v="0.45"/>
    <n v="10.3995"/>
    <n v="110"/>
  </r>
  <r>
    <s v="CLI-01607"/>
    <x v="11"/>
    <n v="83"/>
    <s v="Pro Monde"/>
    <m/>
    <n v="219"/>
    <n v="52.26"/>
    <n v="1"/>
    <n v="0.1"/>
    <n v="5.226"/>
    <n v="111"/>
  </r>
  <r>
    <s v="CLI-00297"/>
    <x v="8"/>
    <n v="87"/>
    <s v="Pro Monde"/>
    <m/>
    <n v="450"/>
    <n v="64.3"/>
    <n v="2"/>
    <n v="0.1"/>
    <n v="6.43"/>
    <n v="112"/>
  </r>
  <r>
    <s v="CLI-00744"/>
    <x v="9"/>
    <n v="84"/>
    <s v="Bloqué 5Go"/>
    <m/>
    <n v="317"/>
    <n v="36.200000000000003"/>
    <n v="3"/>
    <n v="0.45"/>
    <n v="16.290000000000003"/>
    <n v="113"/>
  </r>
  <r>
    <s v="CLI-00974"/>
    <x v="18"/>
    <n v="7"/>
    <s v="Premium 5G 150Go"/>
    <m/>
    <n v="317"/>
    <n v="97.32"/>
    <n v="1"/>
    <n v="0.45"/>
    <n v="43.793999999999997"/>
    <n v="114"/>
  </r>
  <r>
    <s v="CLI-01466"/>
    <x v="9"/>
    <n v="110"/>
    <s v="Premium 5G 150Go"/>
    <m/>
    <n v="51"/>
    <n v="56.59"/>
    <n v="5"/>
    <n v="0"/>
    <n v="0"/>
    <n v="115"/>
  </r>
  <r>
    <s v="CLI-00754"/>
    <x v="2"/>
    <n v="42"/>
    <s v="Illimité 50Go"/>
    <m/>
    <n v="173"/>
    <n v="69.19"/>
    <n v="4"/>
    <n v="0"/>
    <n v="0"/>
    <n v="116"/>
  </r>
  <r>
    <s v="CLI-01683"/>
    <x v="24"/>
    <n v="56"/>
    <s v="Bloqué 5Go"/>
    <m/>
    <n v="333"/>
    <n v="23.01"/>
    <n v="2"/>
    <n v="0.45"/>
    <n v="10.354500000000002"/>
    <n v="117"/>
  </r>
  <r>
    <s v="CLI-00632"/>
    <x v="14"/>
    <n v="109"/>
    <s v="Pro Monde"/>
    <m/>
    <n v="480"/>
    <n v="31.36"/>
    <n v="0"/>
    <n v="0.1"/>
    <n v="3.1360000000000001"/>
    <n v="118"/>
  </r>
  <r>
    <s v="CLI-00044"/>
    <x v="19"/>
    <n v="53"/>
    <s v="Illimité 50Go"/>
    <m/>
    <n v="345"/>
    <n v="83.73"/>
    <n v="0"/>
    <n v="0.45"/>
    <n v="37.6785"/>
    <n v="119"/>
  </r>
  <r>
    <s v="CLI-01322"/>
    <x v="22"/>
    <n v="36"/>
    <s v="Premium 5G 150Go"/>
    <m/>
    <n v="400"/>
    <n v="60.35"/>
    <n v="1"/>
    <n v="0.45"/>
    <n v="27.157500000000002"/>
    <n v="120"/>
  </r>
  <r>
    <s v="CLI-01854"/>
    <x v="20"/>
    <n v="16"/>
    <s v="Bloqué 5Go"/>
    <m/>
    <n v="13"/>
    <n v="14.91"/>
    <n v="1"/>
    <n v="0"/>
    <n v="0"/>
    <n v="121"/>
  </r>
  <r>
    <s v="CLI-01241"/>
    <x v="6"/>
    <n v="88"/>
    <s v="Premium 5G 150Go"/>
    <m/>
    <n v="232"/>
    <n v="40.94"/>
    <n v="2"/>
    <n v="0"/>
    <n v="0"/>
    <n v="122"/>
  </r>
  <r>
    <s v="CLI-00072"/>
    <x v="7"/>
    <n v="67"/>
    <s v="Illimité 50Go"/>
    <m/>
    <n v="264"/>
    <n v="97.89"/>
    <n v="1"/>
    <n v="0.45"/>
    <n v="44.0505"/>
    <n v="123"/>
  </r>
  <r>
    <s v="CLI-01724"/>
    <x v="16"/>
    <n v="60"/>
    <s v="Bloqué 5Go"/>
    <m/>
    <n v="168"/>
    <n v="67.650000000000006"/>
    <n v="1"/>
    <n v="0"/>
    <n v="0"/>
    <n v="124"/>
  </r>
  <r>
    <s v="CLI-01515"/>
    <x v="9"/>
    <n v="64"/>
    <s v="Pro Monde"/>
    <m/>
    <n v="300"/>
    <n v="28.11"/>
    <n v="2"/>
    <n v="0.1"/>
    <n v="2.8109999999999999"/>
    <n v="125"/>
  </r>
  <r>
    <s v="CLI-01357"/>
    <x v="1"/>
    <n v="47"/>
    <s v="Bloqué 5Go"/>
    <m/>
    <n v="98"/>
    <n v="16.16"/>
    <n v="5"/>
    <n v="0"/>
    <n v="0"/>
    <n v="126"/>
  </r>
  <r>
    <s v="CLI-01637"/>
    <x v="3"/>
    <n v="67"/>
    <s v="Pro Monde"/>
    <m/>
    <n v="55"/>
    <n v="27.04"/>
    <n v="1"/>
    <n v="0.1"/>
    <n v="2.7040000000000002"/>
    <n v="127"/>
  </r>
  <r>
    <s v="CLI-00112"/>
    <x v="22"/>
    <n v="98"/>
    <s v="Bloqué 5Go"/>
    <m/>
    <n v="52"/>
    <n v="52.82"/>
    <n v="2"/>
    <n v="0"/>
    <n v="0"/>
    <n v="128"/>
  </r>
  <r>
    <s v="CLI-01415"/>
    <x v="1"/>
    <n v="6"/>
    <s v="Bloqué 5Go"/>
    <m/>
    <n v="6"/>
    <n v="72.27"/>
    <n v="4"/>
    <n v="0"/>
    <n v="0"/>
    <n v="129"/>
  </r>
  <r>
    <s v="CLI-01616"/>
    <x v="1"/>
    <n v="114"/>
    <s v="Bloqué 5Go"/>
    <m/>
    <n v="304"/>
    <n v="52.07"/>
    <n v="1"/>
    <n v="0.45"/>
    <n v="23.4315"/>
    <n v="130"/>
  </r>
  <r>
    <s v="CLI-01960"/>
    <x v="8"/>
    <n v="93"/>
    <s v="Bloqué 5Go"/>
    <m/>
    <n v="365"/>
    <n v="72.319999999999993"/>
    <n v="1"/>
    <n v="0.45"/>
    <n v="32.543999999999997"/>
    <n v="131"/>
  </r>
  <r>
    <s v="CLI-00491"/>
    <x v="22"/>
    <n v="29"/>
    <s v="Pro Monde"/>
    <m/>
    <n v="34"/>
    <n v="86.68"/>
    <n v="1"/>
    <n v="0.1"/>
    <n v="8.668000000000001"/>
    <n v="132"/>
  </r>
  <r>
    <s v="CLI-00519"/>
    <x v="7"/>
    <n v="7"/>
    <s v="Premium 5G 150Go"/>
    <m/>
    <n v="303"/>
    <n v="60.95"/>
    <n v="0"/>
    <n v="0.45"/>
    <n v="27.427500000000002"/>
    <n v="133"/>
  </r>
  <r>
    <s v="CLI-01132"/>
    <x v="12"/>
    <n v="-36"/>
    <s v="Bloqué 5Go"/>
    <m/>
    <n v="404"/>
    <n v="40.21"/>
    <n v="1"/>
    <n v="0.45"/>
    <n v="18.0945"/>
    <n v="134"/>
  </r>
  <r>
    <s v="CLI-00788"/>
    <x v="22"/>
    <n v="118"/>
    <s v="Illimité 50Go"/>
    <m/>
    <n v="430"/>
    <n v="36.97"/>
    <n v="2"/>
    <n v="0.45"/>
    <n v="16.636500000000002"/>
    <n v="135"/>
  </r>
  <r>
    <s v="CLI-00634"/>
    <x v="13"/>
    <n v="54"/>
    <s v="Bloqué 5Go"/>
    <m/>
    <n v="99"/>
    <n v="39.58"/>
    <n v="0"/>
    <n v="0"/>
    <n v="0"/>
    <n v="136"/>
  </r>
  <r>
    <s v="CLI-01309"/>
    <x v="3"/>
    <n v="69"/>
    <s v="Pro Monde"/>
    <m/>
    <n v="463"/>
    <n v="19.440000000000001"/>
    <n v="0"/>
    <n v="0.1"/>
    <n v="1.9440000000000002"/>
    <n v="137"/>
  </r>
  <r>
    <s v="CLI-01435"/>
    <x v="12"/>
    <n v="58"/>
    <s v="Bloqué 5Go"/>
    <m/>
    <n v="293"/>
    <n v="88.85"/>
    <n v="5"/>
    <n v="0.45"/>
    <n v="39.982500000000002"/>
    <n v="138"/>
  </r>
  <r>
    <s v="CLI-01888"/>
    <x v="13"/>
    <n v="41"/>
    <s v="Premium 5G 150Go"/>
    <m/>
    <n v="64"/>
    <n v="91.95"/>
    <n v="1"/>
    <n v="0.45"/>
    <n v="41.377500000000005"/>
    <n v="139"/>
  </r>
  <r>
    <s v="CLI-01850"/>
    <x v="19"/>
    <n v="1"/>
    <s v="Pro Monde"/>
    <m/>
    <n v="326"/>
    <n v="54.63"/>
    <n v="3"/>
    <n v="0.1"/>
    <n v="5.463000000000001"/>
    <n v="140"/>
  </r>
  <r>
    <s v="CLI-01664"/>
    <x v="22"/>
    <n v="51"/>
    <s v="Bloqué 5Go"/>
    <m/>
    <n v="260"/>
    <n v="92.8"/>
    <n v="5"/>
    <n v="0.45"/>
    <n v="41.76"/>
    <n v="141"/>
  </r>
  <r>
    <s v="CLI-01404"/>
    <x v="15"/>
    <n v="25"/>
    <s v="Bloqué 5Go"/>
    <m/>
    <n v="131"/>
    <n v="67.489999999999995"/>
    <n v="0"/>
    <n v="0"/>
    <n v="0"/>
    <n v="142"/>
  </r>
  <r>
    <s v="CLI-00250"/>
    <x v="20"/>
    <n v="43"/>
    <s v="Bloqué 5Go"/>
    <m/>
    <n v="181"/>
    <n v="72.39"/>
    <n v="2"/>
    <n v="0"/>
    <n v="0"/>
    <n v="143"/>
  </r>
  <r>
    <s v="CLI-01096"/>
    <x v="3"/>
    <n v="11"/>
    <s v="Bloqué 5Go"/>
    <m/>
    <n v="215"/>
    <n v="51.99"/>
    <n v="1"/>
    <n v="0"/>
    <n v="0"/>
    <n v="144"/>
  </r>
  <r>
    <s v="CLI-01967"/>
    <x v="5"/>
    <n v="113"/>
    <s v="Premium 5G 150Go"/>
    <m/>
    <n v="246"/>
    <n v="29.18"/>
    <n v="2"/>
    <n v="0.45"/>
    <n v="13.131"/>
    <n v="145"/>
  </r>
  <r>
    <s v="CLI-00485"/>
    <x v="19"/>
    <n v="74"/>
    <s v="Pro Monde"/>
    <m/>
    <n v="371"/>
    <n v="53.27"/>
    <n v="3"/>
    <n v="0.1"/>
    <n v="5.3270000000000008"/>
    <n v="146"/>
  </r>
  <r>
    <s v="CLI-01757"/>
    <x v="9"/>
    <n v="104"/>
    <s v="Pro Monde"/>
    <m/>
    <n v="317"/>
    <n v="79.150000000000006"/>
    <n v="1"/>
    <n v="0.1"/>
    <n v="7.9150000000000009"/>
    <n v="147"/>
  </r>
  <r>
    <s v="CLI-00907"/>
    <x v="1"/>
    <n v="4"/>
    <s v="Bloqué 5Go"/>
    <m/>
    <n v="227"/>
    <n v="83.32"/>
    <n v="2"/>
    <n v="0"/>
    <n v="0"/>
    <n v="148"/>
  </r>
  <r>
    <s v="CLI-00796"/>
    <x v="18"/>
    <n v="95"/>
    <s v="Pro Monde"/>
    <m/>
    <n v="95"/>
    <n v="82.65"/>
    <n v="2"/>
    <n v="0.1"/>
    <n v="8.2650000000000006"/>
    <n v="149"/>
  </r>
  <r>
    <s v="CLI-00017"/>
    <x v="11"/>
    <n v="29"/>
    <s v="Illimité 50Go"/>
    <m/>
    <n v="124"/>
    <n v="43.83"/>
    <n v="5"/>
    <n v="0"/>
    <n v="0"/>
    <n v="150"/>
  </r>
  <r>
    <s v="CLI-00805"/>
    <x v="8"/>
    <n v="97"/>
    <s v="Bloqué 5Go"/>
    <m/>
    <n v="484"/>
    <n v="61.98"/>
    <n v="1"/>
    <n v="0.45"/>
    <n v="27.890999999999998"/>
    <n v="151"/>
  </r>
  <r>
    <s v="CLI-00524"/>
    <x v="0"/>
    <n v="113"/>
    <s v="Premium 5G 150Go"/>
    <m/>
    <n v="207"/>
    <n v="21.55"/>
    <n v="0"/>
    <n v="0"/>
    <n v="0"/>
    <n v="152"/>
  </r>
  <r>
    <s v="CLI-00617"/>
    <x v="11"/>
    <n v="83"/>
    <s v="Pro Monde"/>
    <m/>
    <n v="420"/>
    <n v="94.9"/>
    <n v="1"/>
    <n v="0.1"/>
    <n v="9.49"/>
    <n v="153"/>
  </r>
  <r>
    <s v="CLI-01933"/>
    <x v="12"/>
    <n v="97"/>
    <s v="Premium 5G 150Go"/>
    <m/>
    <n v="296"/>
    <n v="10.87"/>
    <n v="4"/>
    <n v="0.45"/>
    <n v="4.8914999999999997"/>
    <n v="154"/>
  </r>
  <r>
    <s v="CLI-01685"/>
    <x v="14"/>
    <n v="66"/>
    <s v="Illimité 50Go"/>
    <m/>
    <n v="387"/>
    <n v="82.94"/>
    <n v="3"/>
    <n v="0.45"/>
    <n v="37.323"/>
    <n v="155"/>
  </r>
  <r>
    <s v="CLI-01550"/>
    <x v="13"/>
    <n v="48"/>
    <s v="Bloqué 5Go"/>
    <m/>
    <n v="335"/>
    <n v="85.09"/>
    <n v="3"/>
    <n v="0.45"/>
    <n v="38.290500000000002"/>
    <n v="156"/>
  </r>
  <r>
    <s v="CLI-00483"/>
    <x v="13"/>
    <n v="64"/>
    <s v="Pro Monde"/>
    <m/>
    <n v="6"/>
    <n v="40.58"/>
    <n v="5"/>
    <n v="0.1"/>
    <n v="4.0579999999999998"/>
    <n v="157"/>
  </r>
  <r>
    <s v="CLI-00610"/>
    <x v="5"/>
    <n v="67"/>
    <s v="Premium 5G 150Go"/>
    <m/>
    <n v="241"/>
    <n v="47.72"/>
    <n v="0"/>
    <n v="0.45"/>
    <n v="21.474"/>
    <n v="158"/>
  </r>
  <r>
    <s v="CLI-00431"/>
    <x v="9"/>
    <n v="60"/>
    <s v="Pro Monde"/>
    <m/>
    <n v="334"/>
    <n v="71.72"/>
    <n v="3"/>
    <n v="0.1"/>
    <n v="7.1720000000000006"/>
    <n v="159"/>
  </r>
  <r>
    <s v="CLI-01973"/>
    <x v="9"/>
    <n v="23"/>
    <s v="Pro Monde"/>
    <m/>
    <n v="262"/>
    <n v="46.3"/>
    <n v="1"/>
    <n v="0.1"/>
    <n v="4.63"/>
    <n v="160"/>
  </r>
  <r>
    <s v="CLI-01824"/>
    <x v="16"/>
    <n v="42"/>
    <s v="Pro Monde"/>
    <m/>
    <n v="389"/>
    <n v="80.08"/>
    <n v="1"/>
    <n v="0.1"/>
    <n v="8.0080000000000009"/>
    <n v="161"/>
  </r>
  <r>
    <s v="CLI-00329"/>
    <x v="24"/>
    <n v="92"/>
    <s v="Pro Monde"/>
    <m/>
    <n v="487"/>
    <n v="58.38"/>
    <n v="1"/>
    <n v="0.1"/>
    <n v="5.838000000000001"/>
    <n v="162"/>
  </r>
  <r>
    <s v="CLI-00899"/>
    <x v="11"/>
    <n v="48"/>
    <s v="Pro Monde"/>
    <m/>
    <n v="76"/>
    <n v="39.35"/>
    <n v="2"/>
    <n v="0.1"/>
    <n v="3.9350000000000005"/>
    <n v="163"/>
  </r>
  <r>
    <s v="CLI-01294"/>
    <x v="4"/>
    <n v="68"/>
    <s v="Premium 5G 150Go"/>
    <m/>
    <n v="443"/>
    <n v="12.09"/>
    <n v="3"/>
    <n v="0.45"/>
    <n v="5.4405000000000001"/>
    <n v="164"/>
  </r>
  <r>
    <s v="CLI-00650"/>
    <x v="21"/>
    <n v="89"/>
    <s v="Pro Monde"/>
    <m/>
    <n v="203"/>
    <n v="80.680000000000007"/>
    <n v="5"/>
    <n v="0.1"/>
    <n v="8.0680000000000014"/>
    <n v="165"/>
  </r>
  <r>
    <s v="CLI-01891"/>
    <x v="8"/>
    <n v="62"/>
    <s v="Premium 5G 150Go"/>
    <m/>
    <n v="116"/>
    <n v="92.99"/>
    <n v="5"/>
    <n v="0"/>
    <n v="0"/>
    <n v="166"/>
  </r>
  <r>
    <s v="CLI-01860"/>
    <x v="0"/>
    <n v="92"/>
    <s v="Premium 5G 150Go"/>
    <m/>
    <n v="116"/>
    <n v="23.83"/>
    <n v="3"/>
    <n v="0"/>
    <n v="0"/>
    <n v="167"/>
  </r>
  <r>
    <s v="CLI-01571"/>
    <x v="2"/>
    <n v="64"/>
    <s v="Pro Monde"/>
    <m/>
    <n v="370"/>
    <n v="95.74"/>
    <n v="1"/>
    <n v="0.1"/>
    <n v="9.5739999999999998"/>
    <n v="168"/>
  </r>
  <r>
    <s v="CLI-01982"/>
    <x v="15"/>
    <n v="61"/>
    <s v="Bloqué 5Go"/>
    <m/>
    <n v="383"/>
    <n v="39.72"/>
    <n v="4"/>
    <n v="0.45"/>
    <n v="17.873999999999999"/>
    <n v="169"/>
  </r>
  <r>
    <s v="CLI-00833"/>
    <x v="17"/>
    <n v="35"/>
    <s v="Illimité 50Go"/>
    <m/>
    <n v="107"/>
    <n v="66.69"/>
    <n v="4"/>
    <n v="0"/>
    <n v="0"/>
    <n v="170"/>
  </r>
  <r>
    <s v="CLI-01617"/>
    <x v="25"/>
    <n v="75"/>
    <s v="Pro Monde"/>
    <m/>
    <n v="242"/>
    <n v="64.27"/>
    <n v="2"/>
    <n v="0.1"/>
    <n v="6.4269999999999996"/>
    <n v="171"/>
  </r>
  <r>
    <s v="CLI-00070"/>
    <x v="8"/>
    <n v="52"/>
    <s v="Illimité 50Go"/>
    <m/>
    <n v="119"/>
    <n v="64.709999999999994"/>
    <n v="4"/>
    <n v="0"/>
    <n v="0"/>
    <n v="172"/>
  </r>
  <r>
    <s v="CLI-00562"/>
    <x v="22"/>
    <n v="82"/>
    <s v="Premium 5G 150Go"/>
    <m/>
    <n v="264"/>
    <n v="88.03"/>
    <n v="1"/>
    <n v="0.45"/>
    <n v="39.613500000000002"/>
    <n v="173"/>
  </r>
  <r>
    <s v="CLI-01775"/>
    <x v="9"/>
    <n v="118"/>
    <s v="Bloqué 5Go"/>
    <m/>
    <n v="300"/>
    <n v="98.22"/>
    <n v="4"/>
    <n v="0.45"/>
    <n v="44.198999999999998"/>
    <n v="174"/>
  </r>
  <r>
    <s v="CLI-00165"/>
    <x v="16"/>
    <n v="102"/>
    <s v="Premium 5G 150Go"/>
    <m/>
    <n v="402"/>
    <n v="28.38"/>
    <n v="5"/>
    <n v="0.45"/>
    <n v="12.770999999999999"/>
    <n v="175"/>
  </r>
  <r>
    <s v="CLI-01686"/>
    <x v="10"/>
    <n v="75"/>
    <s v="Bloqué 5Go"/>
    <m/>
    <n v="282"/>
    <n v="45.16"/>
    <n v="5"/>
    <n v="0.45"/>
    <n v="20.321999999999999"/>
    <n v="176"/>
  </r>
  <r>
    <s v="CLI-01597"/>
    <x v="5"/>
    <n v="84"/>
    <s v="Premium 5G 150Go"/>
    <m/>
    <n v="387"/>
    <n v="58.1"/>
    <n v="3"/>
    <n v="0.45"/>
    <n v="26.145"/>
    <n v="177"/>
  </r>
  <r>
    <s v="CLI-01007"/>
    <x v="13"/>
    <n v="5"/>
    <s v="Bloqué 5Go"/>
    <m/>
    <n v="239"/>
    <n v="26.95"/>
    <n v="2"/>
    <n v="0"/>
    <n v="0"/>
    <n v="178"/>
  </r>
  <r>
    <s v="CLI-00965"/>
    <x v="21"/>
    <n v="27"/>
    <s v="Premium 5G 150Go"/>
    <m/>
    <n v="369"/>
    <n v="19.78"/>
    <n v="1"/>
    <n v="0.45"/>
    <n v="8.9010000000000016"/>
    <n v="179"/>
  </r>
  <r>
    <s v="CLI-01923"/>
    <x v="15"/>
    <n v="29"/>
    <s v="Illimité 50Go"/>
    <m/>
    <n v="416"/>
    <n v="61.26"/>
    <n v="0"/>
    <n v="0.45"/>
    <n v="27.567"/>
    <n v="180"/>
  </r>
  <r>
    <s v="CLI-00846"/>
    <x v="17"/>
    <n v="115"/>
    <s v="Bloqué 5Go"/>
    <m/>
    <n v="236"/>
    <n v="50.64"/>
    <n v="1"/>
    <n v="0"/>
    <n v="0"/>
    <n v="181"/>
  </r>
  <r>
    <s v="CLI-01723"/>
    <x v="2"/>
    <n v="26"/>
    <s v="Bloqué 5Go"/>
    <m/>
    <n v="174"/>
    <n v="90.53"/>
    <n v="3"/>
    <n v="0"/>
    <n v="0"/>
    <n v="182"/>
  </r>
  <r>
    <s v="CLI-00682"/>
    <x v="5"/>
    <n v="58"/>
    <s v="Bloqué 5Go"/>
    <m/>
    <n v="405"/>
    <n v="18.39"/>
    <n v="0"/>
    <n v="0.45"/>
    <n v="8.275500000000001"/>
    <n v="183"/>
  </r>
  <r>
    <s v="CLI-01470"/>
    <x v="19"/>
    <n v="111"/>
    <s v="Premium 5G 150Go"/>
    <m/>
    <n v="43"/>
    <n v="19.39"/>
    <n v="3"/>
    <n v="0"/>
    <n v="0"/>
    <n v="184"/>
  </r>
  <r>
    <s v="CLI-00866"/>
    <x v="13"/>
    <n v="31"/>
    <s v="Bloqué 5Go"/>
    <m/>
    <n v="160"/>
    <n v="59.76"/>
    <n v="4"/>
    <n v="0"/>
    <n v="0"/>
    <n v="185"/>
  </r>
  <r>
    <s v="CLI-01796"/>
    <x v="20"/>
    <n v="51"/>
    <s v="Illimité 50Go"/>
    <m/>
    <n v="433"/>
    <n v="12.89"/>
    <n v="1"/>
    <n v="0.45"/>
    <n v="5.8005000000000004"/>
    <n v="186"/>
  </r>
  <r>
    <s v="CLI-01680"/>
    <x v="22"/>
    <n v="28"/>
    <s v="Premium 5G 150Go"/>
    <m/>
    <n v="96"/>
    <n v="72.010000000000005"/>
    <n v="4"/>
    <n v="0.45"/>
    <n v="32.404500000000006"/>
    <n v="187"/>
  </r>
  <r>
    <s v="CLI-00206"/>
    <x v="6"/>
    <n v="40"/>
    <s v="Illimité 50Go"/>
    <m/>
    <n v="219"/>
    <n v="53.98"/>
    <n v="2"/>
    <n v="0"/>
    <n v="0"/>
    <n v="188"/>
  </r>
  <r>
    <s v="CLI-01689"/>
    <x v="9"/>
    <n v="55"/>
    <s v="Premium 5G 150Go"/>
    <m/>
    <n v="394"/>
    <n v="26.8"/>
    <n v="4"/>
    <n v="0.45"/>
    <n v="12.06"/>
    <n v="189"/>
  </r>
  <r>
    <s v="CLI-01839"/>
    <x v="3"/>
    <n v="114"/>
    <s v="Premium 5G 150Go"/>
    <m/>
    <n v="482"/>
    <n v="16.25"/>
    <n v="3"/>
    <n v="0.45"/>
    <n v="7.3125"/>
    <n v="190"/>
  </r>
  <r>
    <s v="CLI-01431"/>
    <x v="12"/>
    <n v="49"/>
    <s v="Premium 5G 150Go"/>
    <m/>
    <n v="357"/>
    <n v="96.67"/>
    <n v="3"/>
    <n v="0.45"/>
    <n v="43.5015"/>
    <n v="191"/>
  </r>
  <r>
    <s v="CLI-00535"/>
    <x v="5"/>
    <n v="74"/>
    <s v="Premium 5G 150Go"/>
    <m/>
    <n v="213"/>
    <n v="35.54"/>
    <n v="3"/>
    <n v="0"/>
    <n v="0"/>
    <n v="192"/>
  </r>
  <r>
    <s v="CLI-01037"/>
    <x v="6"/>
    <n v="21"/>
    <s v="Illimité 50Go"/>
    <m/>
    <n v="107"/>
    <n v="30.97"/>
    <n v="4"/>
    <n v="0"/>
    <n v="0"/>
    <n v="193"/>
  </r>
  <r>
    <s v="CLI-00136"/>
    <x v="5"/>
    <n v="120"/>
    <s v="Illimité 50Go"/>
    <m/>
    <n v="224"/>
    <n v="69.36"/>
    <n v="0"/>
    <n v="0"/>
    <n v="0"/>
    <n v="194"/>
  </r>
  <r>
    <s v="CLI-00721"/>
    <x v="1"/>
    <n v="108"/>
    <s v="Premium 5G 150Go"/>
    <m/>
    <n v="230"/>
    <n v="16.3"/>
    <n v="5"/>
    <n v="0"/>
    <n v="0"/>
    <n v="195"/>
  </r>
  <r>
    <s v="CLI-00862"/>
    <x v="8"/>
    <n v="48"/>
    <s v="Bloqué 5Go"/>
    <m/>
    <n v="436"/>
    <n v="15.17"/>
    <n v="0"/>
    <n v="0.45"/>
    <n v="6.8265000000000002"/>
    <n v="196"/>
  </r>
  <r>
    <s v="CLI-01234"/>
    <x v="12"/>
    <n v="33"/>
    <s v="Premium 5G 150Go"/>
    <m/>
    <n v="285"/>
    <n v="56.67"/>
    <n v="2"/>
    <n v="0.45"/>
    <n v="25.5015"/>
    <n v="197"/>
  </r>
  <r>
    <s v="CLI-01494"/>
    <x v="7"/>
    <n v="71"/>
    <s v="Premium 5G 150Go"/>
    <m/>
    <n v="15"/>
    <n v="25.46"/>
    <n v="5"/>
    <n v="0"/>
    <n v="0"/>
    <n v="198"/>
  </r>
  <r>
    <s v="CLI-01666"/>
    <x v="20"/>
    <n v="11"/>
    <s v="Premium 5G 150Go"/>
    <m/>
    <n v="191"/>
    <n v="87.37"/>
    <n v="3"/>
    <n v="0.45"/>
    <n v="39.316500000000005"/>
    <n v="199"/>
  </r>
  <r>
    <s v="CLI-01122"/>
    <x v="24"/>
    <n v="18"/>
    <s v="Pro Monde"/>
    <m/>
    <n v="71"/>
    <n v="46.98"/>
    <n v="2"/>
    <n v="0.1"/>
    <n v="4.6979999999999995"/>
    <n v="200"/>
  </r>
  <r>
    <s v="CLI-01511"/>
    <x v="10"/>
    <n v="27"/>
    <s v="Premium 5G 150Go"/>
    <m/>
    <n v="61"/>
    <n v="97.51"/>
    <n v="5"/>
    <n v="0.45"/>
    <n v="43.8795"/>
    <n v="201"/>
  </r>
  <r>
    <s v="CLI-00670"/>
    <x v="24"/>
    <n v="65"/>
    <s v="Bloqué 5Go"/>
    <m/>
    <n v="118"/>
    <n v="72.430000000000007"/>
    <n v="1"/>
    <n v="0"/>
    <n v="0"/>
    <n v="202"/>
  </r>
  <r>
    <s v="CLI-00929"/>
    <x v="8"/>
    <n v="6"/>
    <s v="Pro Monde"/>
    <m/>
    <n v="109"/>
    <n v="39.880000000000003"/>
    <n v="4"/>
    <n v="0.1"/>
    <n v="3.9880000000000004"/>
    <n v="203"/>
  </r>
  <r>
    <s v="CLI-01424"/>
    <x v="5"/>
    <n v="60"/>
    <s v="Illimité 50Go"/>
    <m/>
    <n v="54"/>
    <n v="67.180000000000007"/>
    <n v="3"/>
    <n v="0"/>
    <n v="0"/>
    <n v="204"/>
  </r>
  <r>
    <s v="CLI-00057"/>
    <x v="7"/>
    <n v="4"/>
    <s v="Bloqué 5Go"/>
    <m/>
    <n v="182"/>
    <n v="89.56"/>
    <n v="4"/>
    <n v="0"/>
    <n v="0"/>
    <n v="205"/>
  </r>
  <r>
    <s v="CLI-01561"/>
    <x v="0"/>
    <n v="10"/>
    <s v="Bloqué 5Go"/>
    <m/>
    <n v="165"/>
    <n v="38.619999999999997"/>
    <n v="2"/>
    <n v="0"/>
    <n v="0"/>
    <n v="206"/>
  </r>
  <r>
    <s v="CLI-00107"/>
    <x v="15"/>
    <n v="82"/>
    <s v="Premium 5G 150Go"/>
    <m/>
    <n v="88"/>
    <n v="86.64"/>
    <n v="1"/>
    <n v="0"/>
    <n v="0"/>
    <n v="207"/>
  </r>
  <r>
    <s v="CLI-01314"/>
    <x v="7"/>
    <n v="89"/>
    <s v="Illimité 50Go"/>
    <m/>
    <n v="7"/>
    <n v="53.39"/>
    <n v="3"/>
    <n v="0"/>
    <n v="0"/>
    <n v="208"/>
  </r>
  <r>
    <s v="CLI-01793"/>
    <x v="8"/>
    <n v="87"/>
    <s v="Pro Monde"/>
    <m/>
    <n v="205"/>
    <n v="40.159999999999997"/>
    <n v="5"/>
    <n v="0.1"/>
    <n v="4.016"/>
    <n v="209"/>
  </r>
  <r>
    <s v="CLI-00377"/>
    <x v="3"/>
    <n v="96"/>
    <s v="Premium 5G 150Go"/>
    <m/>
    <n v="334"/>
    <n v="64.77"/>
    <n v="0"/>
    <n v="0.45"/>
    <n v="29.1465"/>
    <n v="210"/>
  </r>
  <r>
    <s v="CLI-01291"/>
    <x v="0"/>
    <n v="60"/>
    <s v="Illimité 50Go"/>
    <m/>
    <n v="161"/>
    <n v="62.65"/>
    <n v="0"/>
    <n v="0"/>
    <n v="0"/>
    <n v="211"/>
  </r>
  <r>
    <s v="CLI-00909"/>
    <x v="23"/>
    <n v="49"/>
    <s v="Illimité 50Go"/>
    <m/>
    <n v="6"/>
    <n v="44.41"/>
    <n v="3"/>
    <n v="0"/>
    <n v="0"/>
    <n v="212"/>
  </r>
  <r>
    <s v="CLI-01621"/>
    <x v="24"/>
    <n v="44"/>
    <s v="Bloqué 5Go"/>
    <m/>
    <n v="199"/>
    <n v="67.650000000000006"/>
    <n v="0"/>
    <n v="0"/>
    <n v="0"/>
    <n v="213"/>
  </r>
  <r>
    <s v="CLI-01313"/>
    <x v="1"/>
    <n v="96"/>
    <s v="Illimité 50Go"/>
    <m/>
    <n v="108"/>
    <n v="30.92"/>
    <n v="1"/>
    <n v="0"/>
    <n v="0"/>
    <n v="214"/>
  </r>
  <r>
    <s v="CLI-00279"/>
    <x v="7"/>
    <n v="52"/>
    <s v="Pro Monde"/>
    <m/>
    <n v="234"/>
    <n v="62.87"/>
    <n v="0"/>
    <n v="0.1"/>
    <n v="6.2869999999999999"/>
    <n v="215"/>
  </r>
  <r>
    <s v="CLI-00007"/>
    <x v="11"/>
    <n v="110"/>
    <s v="Bloqué 5Go"/>
    <m/>
    <n v="112"/>
    <n v="98.95"/>
    <n v="5"/>
    <n v="0"/>
    <n v="0"/>
    <n v="216"/>
  </r>
  <r>
    <s v="CLI-00821"/>
    <x v="22"/>
    <n v="25"/>
    <s v="Bloqué 5Go"/>
    <m/>
    <n v="33"/>
    <n v="30.93"/>
    <n v="1"/>
    <n v="0"/>
    <n v="0"/>
    <n v="217"/>
  </r>
  <r>
    <s v="CLI-00410"/>
    <x v="14"/>
    <n v="51"/>
    <s v="Pro Monde"/>
    <m/>
    <n v="336"/>
    <n v="65.47"/>
    <n v="1"/>
    <n v="0.1"/>
    <n v="6.5470000000000006"/>
    <n v="218"/>
  </r>
  <r>
    <s v="CLI-01287"/>
    <x v="24"/>
    <n v="5"/>
    <s v="Premium 5G 150Go"/>
    <m/>
    <n v="417"/>
    <n v="90.71"/>
    <n v="1"/>
    <n v="0.45"/>
    <n v="40.819499999999998"/>
    <n v="219"/>
  </r>
  <r>
    <s v="CLI-00626"/>
    <x v="11"/>
    <n v="2"/>
    <s v="Pro Monde"/>
    <m/>
    <n v="142"/>
    <n v="37.799999999999997"/>
    <n v="0"/>
    <n v="0.1"/>
    <n v="3.78"/>
    <n v="220"/>
  </r>
  <r>
    <s v="CLI-01970"/>
    <x v="17"/>
    <n v="33"/>
    <s v="Bloqué 5Go"/>
    <m/>
    <n v="332"/>
    <n v="76.41"/>
    <n v="1"/>
    <n v="0.45"/>
    <n v="34.384500000000003"/>
    <n v="221"/>
  </r>
  <r>
    <s v="CLI-01180"/>
    <x v="15"/>
    <n v="15"/>
    <s v="Bloqué 5Go"/>
    <m/>
    <n v="319"/>
    <n v="78.150000000000006"/>
    <n v="4"/>
    <n v="0.45"/>
    <n v="35.167500000000004"/>
    <n v="222"/>
  </r>
  <r>
    <s v="CLI-00169"/>
    <x v="7"/>
    <n v="91"/>
    <s v="Bloqué 5Go"/>
    <m/>
    <n v="188"/>
    <n v="65.78"/>
    <n v="4"/>
    <n v="0"/>
    <n v="0"/>
    <n v="223"/>
  </r>
  <r>
    <s v="CLI-00227"/>
    <x v="19"/>
    <n v="118"/>
    <s v="Pro Monde"/>
    <m/>
    <n v="22"/>
    <n v="15.39"/>
    <n v="1"/>
    <n v="0.1"/>
    <n v="1.5390000000000001"/>
    <n v="224"/>
  </r>
  <r>
    <s v="CLI-00324"/>
    <x v="2"/>
    <n v="18"/>
    <s v="Illimité 50Go"/>
    <m/>
    <n v="34"/>
    <n v="43.71"/>
    <n v="1"/>
    <n v="0"/>
    <n v="0"/>
    <n v="225"/>
  </r>
  <r>
    <s v="CLI-00512"/>
    <x v="16"/>
    <n v="42"/>
    <s v="Illimité 50Go"/>
    <m/>
    <n v="453"/>
    <n v="36.700000000000003"/>
    <n v="4"/>
    <n v="0.45"/>
    <n v="16.515000000000001"/>
    <n v="226"/>
  </r>
  <r>
    <s v="CLI-01058"/>
    <x v="10"/>
    <n v="86"/>
    <s v="Premium 5G 150Go"/>
    <m/>
    <n v="111"/>
    <n v="23.65"/>
    <n v="0"/>
    <n v="0"/>
    <n v="0"/>
    <n v="227"/>
  </r>
  <r>
    <s v="CLI-01462"/>
    <x v="1"/>
    <n v="96"/>
    <s v="Illimité 50Go"/>
    <m/>
    <n v="210"/>
    <n v="28.39"/>
    <n v="3"/>
    <n v="0"/>
    <n v="0"/>
    <n v="228"/>
  </r>
  <r>
    <s v="CLI-01573"/>
    <x v="12"/>
    <n v="60"/>
    <s v="Illimité 50Go"/>
    <m/>
    <n v="154"/>
    <n v="13.41"/>
    <n v="5"/>
    <n v="0"/>
    <n v="0"/>
    <n v="229"/>
  </r>
  <r>
    <s v="CLI-01702"/>
    <x v="11"/>
    <n v="63"/>
    <s v="Bloqué 5Go"/>
    <m/>
    <n v="392"/>
    <n v="93.11"/>
    <n v="3"/>
    <n v="0.45"/>
    <n v="41.899500000000003"/>
    <n v="230"/>
  </r>
  <r>
    <s v="CLI-01330"/>
    <x v="3"/>
    <n v="60"/>
    <s v="Bloqué 5Go"/>
    <m/>
    <n v="306"/>
    <n v="63.83"/>
    <n v="2"/>
    <n v="0.45"/>
    <n v="28.723500000000001"/>
    <n v="231"/>
  </r>
  <r>
    <s v="CLI-01563"/>
    <x v="3"/>
    <n v="9"/>
    <s v="Pro Monde"/>
    <m/>
    <n v="255"/>
    <n v="95.13"/>
    <n v="1"/>
    <n v="0.1"/>
    <n v="9.5129999999999999"/>
    <n v="232"/>
  </r>
  <r>
    <s v="CLI-00267"/>
    <x v="9"/>
    <n v="11"/>
    <s v="Bloqué 5Go"/>
    <m/>
    <n v="52"/>
    <n v="76.53"/>
    <n v="5"/>
    <n v="0"/>
    <n v="0"/>
    <n v="233"/>
  </r>
  <r>
    <s v="CLI-01735"/>
    <x v="6"/>
    <n v="71"/>
    <s v="Bloqué 5Go"/>
    <m/>
    <n v="364"/>
    <n v="39.58"/>
    <n v="1"/>
    <n v="0.45"/>
    <n v="17.811"/>
    <n v="234"/>
  </r>
  <r>
    <s v="CLI-01217"/>
    <x v="0"/>
    <n v="85"/>
    <s v="Premium 5G 150Go"/>
    <m/>
    <n v="274"/>
    <n v="35.03"/>
    <n v="1"/>
    <n v="0.45"/>
    <n v="15.763500000000001"/>
    <n v="235"/>
  </r>
  <r>
    <s v="CLI-01405"/>
    <x v="25"/>
    <n v="32"/>
    <s v="Illimité 50Go"/>
    <m/>
    <n v="405"/>
    <n v="67.92"/>
    <n v="3"/>
    <n v="0.45"/>
    <n v="30.564"/>
    <n v="236"/>
  </r>
  <r>
    <s v="CLI-00841"/>
    <x v="16"/>
    <n v="92"/>
    <s v="Bloqué 5Go"/>
    <m/>
    <n v="472"/>
    <n v="78.44"/>
    <n v="1"/>
    <n v="0.45"/>
    <n v="35.298000000000002"/>
    <n v="237"/>
  </r>
  <r>
    <s v="CLI-01624"/>
    <x v="14"/>
    <n v="57"/>
    <s v="Illimité 50Go"/>
    <m/>
    <n v="435"/>
    <n v="56.88"/>
    <n v="4"/>
    <n v="0.45"/>
    <n v="25.596"/>
    <n v="238"/>
  </r>
  <r>
    <s v="CLI-00655"/>
    <x v="4"/>
    <n v="18"/>
    <s v="Bloqué 5Go"/>
    <m/>
    <n v="291"/>
    <n v="97.98"/>
    <n v="1"/>
    <n v="0.45"/>
    <n v="44.091000000000001"/>
    <n v="239"/>
  </r>
  <r>
    <s v="CLI-00925"/>
    <x v="12"/>
    <n v="61"/>
    <s v="Illimité 50Go"/>
    <m/>
    <n v="87"/>
    <n v="68.319999999999993"/>
    <n v="2"/>
    <n v="0"/>
    <n v="0"/>
    <n v="240"/>
  </r>
  <r>
    <s v="CLI-00980"/>
    <x v="25"/>
    <n v="106"/>
    <s v="Illimité 50Go"/>
    <m/>
    <n v="128"/>
    <n v="35.96"/>
    <n v="2"/>
    <n v="0"/>
    <n v="0"/>
    <n v="241"/>
  </r>
  <r>
    <s v="CLI-01506"/>
    <x v="14"/>
    <n v="36"/>
    <s v="Bloqué 5Go"/>
    <m/>
    <n v="491"/>
    <n v="12.13"/>
    <n v="4"/>
    <n v="0.45"/>
    <n v="5.4585000000000008"/>
    <n v="242"/>
  </r>
  <r>
    <s v="CLI-00274"/>
    <x v="20"/>
    <n v="108"/>
    <s v="Pro Monde"/>
    <m/>
    <n v="48"/>
    <n v="86.22"/>
    <n v="3"/>
    <n v="0.1"/>
    <n v="8.6219999999999999"/>
    <n v="243"/>
  </r>
  <r>
    <s v="CLI-00534"/>
    <x v="25"/>
    <n v="21"/>
    <s v="Bloqué 5Go"/>
    <m/>
    <n v="307"/>
    <n v="39.81"/>
    <n v="5"/>
    <n v="0.45"/>
    <n v="17.9145"/>
    <n v="244"/>
  </r>
  <r>
    <s v="CLI-00356"/>
    <x v="25"/>
    <n v="22"/>
    <s v="Premium 5G 150Go"/>
    <m/>
    <n v="166"/>
    <n v="31.8"/>
    <n v="1"/>
    <n v="0.45"/>
    <n v="14.31"/>
    <n v="245"/>
  </r>
  <r>
    <s v="CLI-01408"/>
    <x v="21"/>
    <n v="108"/>
    <s v="Premium 5G 150Go"/>
    <m/>
    <n v="323"/>
    <n v="58.54"/>
    <n v="2"/>
    <n v="0.45"/>
    <n v="26.343"/>
    <n v="246"/>
  </r>
  <r>
    <s v="CLI-01215"/>
    <x v="0"/>
    <n v="3"/>
    <s v="Illimité 50Go"/>
    <m/>
    <n v="356"/>
    <n v="91.6"/>
    <n v="3"/>
    <n v="0.45"/>
    <n v="41.22"/>
    <n v="247"/>
  </r>
  <r>
    <s v="CLI-01694"/>
    <x v="23"/>
    <n v="78"/>
    <s v="Illimité 50Go"/>
    <m/>
    <n v="198"/>
    <n v="69.849999999999994"/>
    <n v="0"/>
    <n v="0"/>
    <n v="0"/>
    <n v="248"/>
  </r>
  <r>
    <s v="CLI-00671"/>
    <x v="7"/>
    <n v="13"/>
    <s v="Pro Monde"/>
    <m/>
    <n v="347"/>
    <n v="32.35"/>
    <n v="2"/>
    <n v="0.1"/>
    <n v="3.2350000000000003"/>
    <n v="249"/>
  </r>
  <r>
    <s v="CLI-01638"/>
    <x v="19"/>
    <n v="23"/>
    <s v="Pro Monde"/>
    <m/>
    <n v="473"/>
    <n v="71.86"/>
    <n v="3"/>
    <n v="0.1"/>
    <n v="7.1859999999999999"/>
    <n v="250"/>
  </r>
  <r>
    <s v="CLI-00578"/>
    <x v="0"/>
    <n v="96"/>
    <s v="Illimité 50Go"/>
    <m/>
    <n v="290"/>
    <n v="29"/>
    <n v="3"/>
    <n v="0.45"/>
    <n v="13.05"/>
    <n v="251"/>
  </r>
  <r>
    <s v="CLI-00407"/>
    <x v="20"/>
    <n v="48"/>
    <s v="Premium 5G 150Go"/>
    <m/>
    <n v="416"/>
    <n v="81.260000000000005"/>
    <n v="5"/>
    <n v="0.45"/>
    <n v="36.567"/>
    <n v="252"/>
  </r>
  <r>
    <s v="CLI-00173"/>
    <x v="8"/>
    <n v="50"/>
    <s v="Pro Monde"/>
    <m/>
    <n v="108"/>
    <n v="43.81"/>
    <n v="5"/>
    <n v="0.1"/>
    <n v="4.3810000000000002"/>
    <n v="253"/>
  </r>
  <r>
    <s v="CLI-00849"/>
    <x v="3"/>
    <n v="63"/>
    <s v="Illimité 50Go"/>
    <m/>
    <n v="95"/>
    <n v="56.81"/>
    <n v="0"/>
    <n v="0"/>
    <n v="0"/>
    <n v="254"/>
  </r>
  <r>
    <s v="CLI-00753"/>
    <x v="0"/>
    <n v="40"/>
    <s v="Premium 5G 150Go"/>
    <m/>
    <n v="102"/>
    <n v="96.59"/>
    <n v="5"/>
    <n v="0.45"/>
    <n v="43.465500000000006"/>
    <n v="255"/>
  </r>
  <r>
    <s v="CLI-00373"/>
    <x v="25"/>
    <n v="83"/>
    <s v="Illimité 50Go"/>
    <m/>
    <n v="30"/>
    <n v="33.93"/>
    <n v="3"/>
    <n v="0"/>
    <n v="0"/>
    <n v="256"/>
  </r>
  <r>
    <s v="CLI-00806"/>
    <x v="13"/>
    <n v="76"/>
    <s v="Illimité 50Go"/>
    <m/>
    <n v="383"/>
    <n v="53.73"/>
    <n v="2"/>
    <n v="0.45"/>
    <n v="24.1785"/>
    <n v="257"/>
  </r>
  <r>
    <s v="CLI-00773"/>
    <x v="5"/>
    <n v="10"/>
    <s v="Bloqué 5Go"/>
    <m/>
    <n v="93"/>
    <n v="78.12"/>
    <n v="4"/>
    <n v="0"/>
    <n v="0"/>
    <n v="258"/>
  </r>
  <r>
    <s v="CLI-01710"/>
    <x v="6"/>
    <n v="-53"/>
    <s v="Bloqué 5Go"/>
    <m/>
    <n v="414"/>
    <n v="64.39"/>
    <n v="1"/>
    <n v="0.45"/>
    <n v="28.9755"/>
    <n v="259"/>
  </r>
  <r>
    <s v="CLI-01169"/>
    <x v="18"/>
    <n v="114"/>
    <s v="Bloqué 5Go"/>
    <m/>
    <n v="388"/>
    <n v="40.29"/>
    <n v="5"/>
    <n v="0.45"/>
    <n v="18.130500000000001"/>
    <n v="260"/>
  </r>
  <r>
    <s v="CLI-00460"/>
    <x v="25"/>
    <n v="5"/>
    <s v="Pro Monde"/>
    <m/>
    <n v="98"/>
    <n v="71.37"/>
    <n v="1"/>
    <n v="0.1"/>
    <n v="7.1370000000000005"/>
    <n v="261"/>
  </r>
  <r>
    <s v="CLI-00043"/>
    <x v="24"/>
    <n v="118"/>
    <s v="Pro Monde"/>
    <m/>
    <n v="132"/>
    <n v="40.880000000000003"/>
    <n v="4"/>
    <n v="0.1"/>
    <n v="4.0880000000000001"/>
    <n v="262"/>
  </r>
  <r>
    <s v="CLI-00048"/>
    <x v="0"/>
    <n v="16"/>
    <s v="Bloqué 5Go"/>
    <m/>
    <n v="461"/>
    <n v="38.369999999999997"/>
    <n v="4"/>
    <n v="0.45"/>
    <n v="17.266500000000001"/>
    <n v="263"/>
  </r>
  <r>
    <s v="CLI-01144"/>
    <x v="12"/>
    <n v="50"/>
    <s v="Illimité 50Go"/>
    <m/>
    <n v="446"/>
    <n v="31.56"/>
    <n v="5"/>
    <n v="0.45"/>
    <n v="14.202"/>
    <n v="264"/>
  </r>
  <r>
    <s v="CLI-01326"/>
    <x v="25"/>
    <n v="120"/>
    <s v="Pro Monde"/>
    <m/>
    <n v="209"/>
    <n v="42.51"/>
    <n v="4"/>
    <n v="0.1"/>
    <n v="4.2510000000000003"/>
    <n v="265"/>
  </r>
  <r>
    <s v="CLI-01254"/>
    <x v="10"/>
    <n v="73"/>
    <s v="Illimité 50Go"/>
    <m/>
    <n v="225"/>
    <n v="45.86"/>
    <n v="0"/>
    <n v="0"/>
    <n v="0"/>
    <n v="266"/>
  </r>
  <r>
    <s v="CLI-01284"/>
    <x v="8"/>
    <n v="21"/>
    <s v="Pro Monde"/>
    <m/>
    <n v="320"/>
    <n v="64.97"/>
    <n v="1"/>
    <n v="0.1"/>
    <n v="6.4969999999999999"/>
    <n v="267"/>
  </r>
  <r>
    <s v="CLI-00469"/>
    <x v="16"/>
    <n v="25"/>
    <s v="Premium 5G 150Go"/>
    <m/>
    <n v="467"/>
    <n v="97.78"/>
    <n v="3"/>
    <n v="0.45"/>
    <n v="44.001000000000005"/>
    <n v="268"/>
  </r>
  <r>
    <s v="CLI-00183"/>
    <x v="13"/>
    <n v="98"/>
    <s v="Premium 5G 150Go"/>
    <m/>
    <n v="319"/>
    <n v="88.58"/>
    <n v="0"/>
    <n v="0.45"/>
    <n v="39.860999999999997"/>
    <n v="269"/>
  </r>
  <r>
    <s v="CLI-00948"/>
    <x v="16"/>
    <n v="56"/>
    <s v="Pro Monde"/>
    <m/>
    <n v="55"/>
    <n v="82.56"/>
    <n v="2"/>
    <n v="0.1"/>
    <n v="8.2560000000000002"/>
    <n v="270"/>
  </r>
  <r>
    <s v="CLI-01749"/>
    <x v="3"/>
    <n v="33"/>
    <s v="Premium 5G 150Go"/>
    <m/>
    <n v="444"/>
    <n v="10.28"/>
    <n v="5"/>
    <n v="0.45"/>
    <n v="4.6259999999999994"/>
    <n v="271"/>
  </r>
  <r>
    <s v="CLI-00537"/>
    <x v="7"/>
    <n v="99"/>
    <s v="Pro Monde"/>
    <m/>
    <n v="325"/>
    <n v="88.35"/>
    <n v="4"/>
    <n v="0.1"/>
    <n v="8.8349999999999991"/>
    <n v="272"/>
  </r>
  <r>
    <s v="CLI-01437"/>
    <x v="19"/>
    <n v="117"/>
    <s v="Bloqué 5Go"/>
    <m/>
    <n v="85"/>
    <n v="46.16"/>
    <n v="3"/>
    <n v="0"/>
    <n v="0"/>
    <n v="273"/>
  </r>
  <r>
    <s v="CLI-00346"/>
    <x v="24"/>
    <n v="97"/>
    <s v="Bloqué 5Go"/>
    <m/>
    <n v="40"/>
    <n v="85.19"/>
    <n v="1"/>
    <n v="0"/>
    <n v="0"/>
    <n v="274"/>
  </r>
  <r>
    <s v="CLI-00102"/>
    <x v="23"/>
    <n v="93"/>
    <s v="Premium 5G 150Go"/>
    <m/>
    <n v="150"/>
    <n v="93.25"/>
    <n v="3"/>
    <n v="0"/>
    <n v="0"/>
    <n v="275"/>
  </r>
  <r>
    <s v="CLI-00822"/>
    <x v="10"/>
    <n v="45"/>
    <s v="Illimité 50Go"/>
    <m/>
    <n v="43"/>
    <n v="12.31"/>
    <n v="0"/>
    <n v="0"/>
    <n v="0"/>
    <n v="276"/>
  </r>
  <r>
    <s v="CLI-01266"/>
    <x v="23"/>
    <n v="66"/>
    <s v="Premium 5G 150Go"/>
    <m/>
    <n v="193"/>
    <n v="21.06"/>
    <n v="3"/>
    <n v="0"/>
    <n v="0"/>
    <n v="277"/>
  </r>
  <r>
    <s v="CLI-00879"/>
    <x v="10"/>
    <n v="91"/>
    <s v="Illimité 50Go"/>
    <m/>
    <n v="63"/>
    <n v="57.76"/>
    <n v="5"/>
    <n v="0"/>
    <n v="0"/>
    <n v="278"/>
  </r>
  <r>
    <s v="CLI-01230"/>
    <x v="24"/>
    <n v="63"/>
    <s v="Pro Monde"/>
    <m/>
    <n v="141"/>
    <n v="95.6"/>
    <n v="4"/>
    <n v="0.1"/>
    <n v="9.56"/>
    <n v="279"/>
  </r>
  <r>
    <s v="CLI-00533"/>
    <x v="16"/>
    <n v="82"/>
    <s v="Premium 5G 150Go"/>
    <m/>
    <n v="32"/>
    <n v="77.63"/>
    <n v="1"/>
    <n v="0"/>
    <n v="0"/>
    <n v="280"/>
  </r>
  <r>
    <s v="CLI-00306"/>
    <x v="8"/>
    <n v="89"/>
    <s v="Bloqué 5Go"/>
    <m/>
    <n v="175"/>
    <n v="32.369999999999997"/>
    <n v="1"/>
    <n v="0"/>
    <n v="0"/>
    <n v="281"/>
  </r>
  <r>
    <s v="CLI-01732"/>
    <x v="6"/>
    <n v="48"/>
    <s v="Illimité 50Go"/>
    <m/>
    <n v="15"/>
    <n v="50.67"/>
    <n v="1"/>
    <n v="0"/>
    <n v="0"/>
    <n v="282"/>
  </r>
  <r>
    <s v="CLI-01885"/>
    <x v="12"/>
    <n v="90"/>
    <s v="Pro Monde"/>
    <m/>
    <n v="299"/>
    <n v="71.760000000000005"/>
    <n v="1"/>
    <n v="0.1"/>
    <n v="7.176000000000001"/>
    <n v="283"/>
  </r>
  <r>
    <s v="CLI-00349"/>
    <x v="21"/>
    <n v="8"/>
    <s v="Bloqué 5Go"/>
    <m/>
    <n v="120"/>
    <n v="88.29"/>
    <n v="5"/>
    <n v="0"/>
    <n v="0"/>
    <n v="284"/>
  </r>
  <r>
    <s v="CLI-01162"/>
    <x v="13"/>
    <n v="84"/>
    <s v="Bloqué 5Go"/>
    <m/>
    <n v="244"/>
    <n v="56.34"/>
    <n v="5"/>
    <n v="0.45"/>
    <n v="25.353000000000002"/>
    <n v="285"/>
  </r>
  <r>
    <s v="CLI-00241"/>
    <x v="11"/>
    <n v="50"/>
    <s v="Bloqué 5Go"/>
    <m/>
    <n v="248"/>
    <n v="69.42"/>
    <n v="0"/>
    <n v="0.45"/>
    <n v="31.239000000000001"/>
    <n v="286"/>
  </r>
  <r>
    <s v="CLI-00029"/>
    <x v="6"/>
    <n v="119"/>
    <s v="Pro Monde"/>
    <m/>
    <n v="344"/>
    <n v="10.28"/>
    <n v="0"/>
    <n v="0.1"/>
    <n v="1.028"/>
    <n v="287"/>
  </r>
  <r>
    <s v="CLI-01472"/>
    <x v="9"/>
    <n v="55"/>
    <s v="Pro Monde"/>
    <m/>
    <n v="389"/>
    <n v="67.430000000000007"/>
    <n v="3"/>
    <n v="0.1"/>
    <n v="6.7430000000000012"/>
    <n v="288"/>
  </r>
  <r>
    <s v="CLI-01077"/>
    <x v="13"/>
    <n v="95"/>
    <s v="Premium 5G 150Go"/>
    <m/>
    <n v="51"/>
    <n v="94.77"/>
    <n v="5"/>
    <n v="0"/>
    <n v="0"/>
    <n v="289"/>
  </r>
  <r>
    <s v="CLI-00892"/>
    <x v="9"/>
    <n v="32"/>
    <s v="Pro Monde"/>
    <m/>
    <n v="4"/>
    <n v="39"/>
    <n v="0"/>
    <n v="0.1"/>
    <n v="3.9000000000000004"/>
    <n v="290"/>
  </r>
  <r>
    <s v="CLI-01929"/>
    <x v="18"/>
    <n v="32"/>
    <s v="Illimité 50Go"/>
    <m/>
    <n v="31"/>
    <n v="67.040000000000006"/>
    <n v="1"/>
    <n v="0"/>
    <n v="0"/>
    <n v="291"/>
  </r>
  <r>
    <s v="CLI-00930"/>
    <x v="18"/>
    <n v="62"/>
    <s v="Illimité 50Go"/>
    <m/>
    <n v="136"/>
    <n v="88.61"/>
    <n v="2"/>
    <n v="0"/>
    <n v="0"/>
    <n v="292"/>
  </r>
  <r>
    <s v="CLI-01695"/>
    <x v="20"/>
    <n v="5"/>
    <s v="Premium 5G 150Go"/>
    <m/>
    <n v="384"/>
    <n v="97.26"/>
    <n v="3"/>
    <n v="0.45"/>
    <n v="43.767000000000003"/>
    <n v="293"/>
  </r>
  <r>
    <s v="CLI-01380"/>
    <x v="3"/>
    <n v="118"/>
    <s v="Illimité 50Go"/>
    <m/>
    <n v="489"/>
    <n v="76.22"/>
    <n v="2"/>
    <n v="0.45"/>
    <n v="34.298999999999999"/>
    <n v="294"/>
  </r>
  <r>
    <s v="CLI-01013"/>
    <x v="3"/>
    <n v="105"/>
    <s v="Illimité 50Go"/>
    <m/>
    <n v="3"/>
    <n v="71.010000000000005"/>
    <n v="1"/>
    <n v="0"/>
    <n v="0"/>
    <n v="295"/>
  </r>
  <r>
    <s v="CLI-00243"/>
    <x v="4"/>
    <n v="47"/>
    <s v="Illimité 50Go"/>
    <m/>
    <n v="340"/>
    <n v="31.02"/>
    <n v="5"/>
    <n v="0.45"/>
    <n v="13.959"/>
    <n v="296"/>
  </r>
  <r>
    <s v="CLI-01740"/>
    <x v="6"/>
    <n v="81"/>
    <s v="Pro Monde"/>
    <m/>
    <n v="298"/>
    <n v="53.61"/>
    <n v="2"/>
    <n v="0.1"/>
    <n v="5.3610000000000007"/>
    <n v="297"/>
  </r>
  <r>
    <s v="CLI-01773"/>
    <x v="24"/>
    <n v="91"/>
    <s v="Illimité 50Go"/>
    <m/>
    <n v="404"/>
    <n v="76.53"/>
    <n v="5"/>
    <n v="0.45"/>
    <n v="34.438500000000005"/>
    <n v="298"/>
  </r>
  <r>
    <s v="CLI-00417"/>
    <x v="0"/>
    <n v="87"/>
    <s v="Bloqué 5Go"/>
    <m/>
    <n v="21"/>
    <n v="81.459999999999994"/>
    <n v="3"/>
    <n v="0"/>
    <n v="0"/>
    <n v="299"/>
  </r>
  <r>
    <s v="CLI-00391"/>
    <x v="24"/>
    <n v="4"/>
    <s v="Pro Monde"/>
    <m/>
    <n v="49"/>
    <n v="41.35"/>
    <n v="5"/>
    <n v="0.1"/>
    <n v="4.1350000000000007"/>
    <n v="300"/>
  </r>
  <r>
    <s v="CLI-01835"/>
    <x v="2"/>
    <n v="76"/>
    <s v="Bloqué 5Go"/>
    <m/>
    <n v="192"/>
    <n v="68.53"/>
    <n v="0"/>
    <n v="0"/>
    <n v="0"/>
    <n v="301"/>
  </r>
  <r>
    <s v="CLI-01602"/>
    <x v="3"/>
    <n v="69"/>
    <s v="Premium 5G 150Go"/>
    <m/>
    <n v="486"/>
    <n v="34.770000000000003"/>
    <n v="0"/>
    <n v="0.45"/>
    <n v="15.646500000000001"/>
    <n v="302"/>
  </r>
  <r>
    <s v="CLI-00546"/>
    <x v="6"/>
    <n v="25"/>
    <s v="Pro Monde"/>
    <m/>
    <n v="218"/>
    <n v="68.790000000000006"/>
    <n v="0"/>
    <n v="0.1"/>
    <n v="6.8790000000000013"/>
    <n v="303"/>
  </r>
  <r>
    <s v="CLI-00590"/>
    <x v="12"/>
    <n v="109"/>
    <s v="Illimité 50Go"/>
    <m/>
    <n v="347"/>
    <n v="43.06"/>
    <n v="4"/>
    <n v="0.45"/>
    <n v="19.377000000000002"/>
    <n v="304"/>
  </r>
  <r>
    <s v="CLI-01529"/>
    <x v="5"/>
    <n v="50"/>
    <s v="Pro Monde"/>
    <m/>
    <n v="430"/>
    <n v="20.8"/>
    <n v="2"/>
    <n v="0.1"/>
    <n v="2.08"/>
    <n v="305"/>
  </r>
  <r>
    <s v="CLI-01706"/>
    <x v="11"/>
    <n v="55"/>
    <s v="Premium 5G 150Go"/>
    <m/>
    <n v="86"/>
    <n v="17.440000000000001"/>
    <n v="2"/>
    <n v="0.45"/>
    <n v="7.8480000000000008"/>
    <n v="306"/>
  </r>
  <r>
    <s v="CLI-00783"/>
    <x v="21"/>
    <n v="41"/>
    <s v="Pro Monde"/>
    <m/>
    <n v="474"/>
    <n v="54.03"/>
    <n v="4"/>
    <n v="0.1"/>
    <n v="5.4030000000000005"/>
    <n v="307"/>
  </r>
  <r>
    <s v="CLI-01906"/>
    <x v="15"/>
    <n v="99"/>
    <s v="Bloqué 5Go"/>
    <m/>
    <n v="28"/>
    <n v="70.19"/>
    <n v="1"/>
    <n v="0"/>
    <n v="0"/>
    <n v="308"/>
  </r>
  <r>
    <s v="CLI-00884"/>
    <x v="22"/>
    <n v="47"/>
    <s v="Premium 5G 150Go"/>
    <m/>
    <n v="49"/>
    <n v="55.88"/>
    <n v="3"/>
    <n v="0.45"/>
    <n v="25.146000000000001"/>
    <n v="309"/>
  </r>
  <r>
    <s v="CLI-00424"/>
    <x v="25"/>
    <n v="103"/>
    <s v="Illimité 50Go"/>
    <m/>
    <n v="182"/>
    <n v="12.07"/>
    <n v="5"/>
    <n v="0"/>
    <n v="0"/>
    <n v="310"/>
  </r>
  <r>
    <s v="CLI-01931"/>
    <x v="8"/>
    <n v="87"/>
    <s v="Illimité 50Go"/>
    <m/>
    <n v="498"/>
    <n v="61.57"/>
    <n v="0"/>
    <n v="0.45"/>
    <n v="27.706500000000002"/>
    <n v="311"/>
  </r>
  <r>
    <s v="CLI-00442"/>
    <x v="12"/>
    <n v="120"/>
    <s v="Illimité 50Go"/>
    <m/>
    <n v="242"/>
    <n v="61.54"/>
    <n v="1"/>
    <n v="0.45"/>
    <n v="27.693000000000001"/>
    <n v="312"/>
  </r>
  <r>
    <s v="CLI-01688"/>
    <x v="2"/>
    <n v="102"/>
    <s v="Bloqué 5Go"/>
    <m/>
    <n v="91"/>
    <n v="34.64"/>
    <n v="2"/>
    <n v="0"/>
    <n v="0"/>
    <n v="313"/>
  </r>
  <r>
    <s v="CLI-00580"/>
    <x v="21"/>
    <n v="17"/>
    <s v="Illimité 50Go"/>
    <m/>
    <n v="483"/>
    <n v="77.08"/>
    <n v="0"/>
    <n v="0.45"/>
    <n v="34.686"/>
    <n v="314"/>
  </r>
  <r>
    <s v="CLI-01489"/>
    <x v="24"/>
    <n v="67"/>
    <s v="Pro Monde"/>
    <m/>
    <n v="26"/>
    <n v="81.489999999999995"/>
    <n v="4"/>
    <n v="0.1"/>
    <n v="8.1489999999999991"/>
    <n v="315"/>
  </r>
  <r>
    <s v="CLI-01387"/>
    <x v="11"/>
    <n v="85"/>
    <s v="Pro Monde"/>
    <m/>
    <n v="60"/>
    <n v="26.3"/>
    <n v="2"/>
    <n v="0.1"/>
    <n v="2.6300000000000003"/>
    <n v="316"/>
  </r>
  <r>
    <s v="CLI-00388"/>
    <x v="3"/>
    <n v="78"/>
    <s v="Premium 5G 150Go"/>
    <m/>
    <n v="263"/>
    <n v="53.58"/>
    <n v="5"/>
    <n v="0.45"/>
    <n v="24.111000000000001"/>
    <n v="317"/>
  </r>
  <r>
    <s v="CLI-00857"/>
    <x v="3"/>
    <n v="76"/>
    <s v="Illimité 50Go"/>
    <m/>
    <n v="332"/>
    <n v="68.010000000000005"/>
    <n v="4"/>
    <n v="0.45"/>
    <n v="30.604500000000002"/>
    <n v="318"/>
  </r>
  <r>
    <s v="CLI-00370"/>
    <x v="3"/>
    <n v="29"/>
    <s v="Bloqué 5Go"/>
    <m/>
    <n v="173"/>
    <n v="49.03"/>
    <n v="3"/>
    <n v="0"/>
    <n v="0"/>
    <n v="319"/>
  </r>
  <r>
    <s v="CLI-01938"/>
    <x v="24"/>
    <n v="14"/>
    <s v="Pro Monde"/>
    <m/>
    <n v="303"/>
    <n v="61.43"/>
    <n v="1"/>
    <n v="0.1"/>
    <n v="6.1430000000000007"/>
    <n v="320"/>
  </r>
  <r>
    <s v="CLI-01623"/>
    <x v="2"/>
    <n v="51"/>
    <s v="Premium 5G 150Go"/>
    <m/>
    <n v="222"/>
    <n v="18.95"/>
    <n v="4"/>
    <n v="0.45"/>
    <n v="8.5274999999999999"/>
    <n v="321"/>
  </r>
  <r>
    <s v="CLI-00299"/>
    <x v="2"/>
    <n v="2"/>
    <s v="Pro Monde"/>
    <m/>
    <n v="496"/>
    <n v="15.71"/>
    <n v="3"/>
    <n v="0.1"/>
    <n v="1.5710000000000002"/>
    <n v="322"/>
  </r>
  <r>
    <s v="CLI-00059"/>
    <x v="5"/>
    <n v="69"/>
    <s v="Pro Monde"/>
    <m/>
    <n v="76"/>
    <n v="91.8"/>
    <n v="5"/>
    <n v="0.1"/>
    <n v="9.18"/>
    <n v="323"/>
  </r>
  <r>
    <s v="CLI-00595"/>
    <x v="16"/>
    <n v="110"/>
    <s v="Premium 5G 150Go"/>
    <m/>
    <n v="321"/>
    <n v="81.569999999999993"/>
    <n v="2"/>
    <n v="0.45"/>
    <n v="36.706499999999998"/>
    <n v="324"/>
  </r>
  <r>
    <s v="CLI-01729"/>
    <x v="0"/>
    <n v="59"/>
    <s v="Pro Monde"/>
    <m/>
    <n v="369"/>
    <n v="26.64"/>
    <n v="4"/>
    <n v="0.1"/>
    <n v="2.6640000000000001"/>
    <n v="325"/>
  </r>
  <r>
    <s v="CLI-01844"/>
    <x v="5"/>
    <n v="41"/>
    <s v="Pro Monde"/>
    <m/>
    <n v="206"/>
    <n v="83.16"/>
    <n v="2"/>
    <n v="0.1"/>
    <n v="8.3160000000000007"/>
    <n v="326"/>
  </r>
  <r>
    <s v="CLI-01877"/>
    <x v="15"/>
    <n v="19"/>
    <s v="Bloqué 5Go"/>
    <m/>
    <n v="125"/>
    <n v="11.78"/>
    <n v="4"/>
    <n v="0"/>
    <n v="0"/>
    <n v="327"/>
  </r>
  <r>
    <s v="CLI-00924"/>
    <x v="15"/>
    <n v="105"/>
    <s v="Premium 5G 150Go"/>
    <m/>
    <n v="17"/>
    <n v="60.05"/>
    <n v="4"/>
    <n v="0"/>
    <n v="0"/>
    <n v="328"/>
  </r>
  <r>
    <s v="CLI-00509"/>
    <x v="19"/>
    <n v="38"/>
    <s v="Premium 5G 150Go"/>
    <m/>
    <n v="60"/>
    <n v="58.28"/>
    <n v="4"/>
    <n v="0.45"/>
    <n v="26.226000000000003"/>
    <n v="329"/>
  </r>
  <r>
    <s v="CLI-00758"/>
    <x v="14"/>
    <n v="108"/>
    <s v="Illimité 50Go"/>
    <m/>
    <n v="123"/>
    <n v="83.1"/>
    <n v="1"/>
    <n v="0"/>
    <n v="0"/>
    <n v="330"/>
  </r>
  <r>
    <s v="CLI-01194"/>
    <x v="10"/>
    <n v="29"/>
    <s v="Pro Monde"/>
    <m/>
    <n v="203"/>
    <n v="53.97"/>
    <n v="5"/>
    <n v="0.1"/>
    <n v="5.3970000000000002"/>
    <n v="331"/>
  </r>
  <r>
    <s v="CLI-01402"/>
    <x v="12"/>
    <n v="64"/>
    <s v="Bloqué 5Go"/>
    <m/>
    <n v="250"/>
    <n v="56.7"/>
    <n v="0"/>
    <n v="0.45"/>
    <n v="25.515000000000001"/>
    <n v="332"/>
  </r>
  <r>
    <s v="CLI-01736"/>
    <x v="14"/>
    <n v="88"/>
    <s v="Illimité 50Go"/>
    <m/>
    <n v="154"/>
    <n v="62.62"/>
    <n v="5"/>
    <n v="0"/>
    <n v="0"/>
    <n v="333"/>
  </r>
  <r>
    <s v="CLI-00939"/>
    <x v="12"/>
    <n v="59"/>
    <s v="Premium 5G 150Go"/>
    <m/>
    <n v="352"/>
    <n v="74.239999999999995"/>
    <n v="0"/>
    <n v="0.45"/>
    <n v="33.408000000000001"/>
    <n v="334"/>
  </r>
  <r>
    <s v="CLI-00176"/>
    <x v="21"/>
    <n v="19"/>
    <s v="Bloqué 5Go"/>
    <m/>
    <n v="305"/>
    <n v="81.11"/>
    <n v="1"/>
    <n v="0.45"/>
    <n v="36.499499999999998"/>
    <n v="335"/>
  </r>
  <r>
    <s v="CLI-00022"/>
    <x v="3"/>
    <n v="77"/>
    <s v="Premium 5G 150Go"/>
    <m/>
    <n v="488"/>
    <n v="21.17"/>
    <n v="0"/>
    <n v="0.45"/>
    <n v="9.5265000000000004"/>
    <n v="336"/>
  </r>
  <r>
    <s v="CLI-00961"/>
    <x v="22"/>
    <n v="37"/>
    <s v="Pro Monde"/>
    <m/>
    <n v="88"/>
    <n v="77.77"/>
    <n v="1"/>
    <n v="0.1"/>
    <n v="7.7770000000000001"/>
    <n v="337"/>
  </r>
  <r>
    <s v="CLI-00273"/>
    <x v="9"/>
    <n v="19"/>
    <s v="Illimité 50Go"/>
    <m/>
    <n v="334"/>
    <n v="96.91"/>
    <n v="1"/>
    <n v="0.45"/>
    <n v="43.609499999999997"/>
    <n v="338"/>
  </r>
  <r>
    <s v="CLI-00663"/>
    <x v="3"/>
    <n v="96"/>
    <s v="Illimité 50Go"/>
    <m/>
    <n v="381"/>
    <n v="90.78"/>
    <n v="2"/>
    <n v="0.45"/>
    <n v="40.850999999999999"/>
    <n v="339"/>
  </r>
  <r>
    <s v="CLI-01420"/>
    <x v="14"/>
    <n v="86"/>
    <s v="Pro Monde"/>
    <m/>
    <n v="192"/>
    <n v="26.26"/>
    <n v="1"/>
    <n v="0.1"/>
    <n v="2.6260000000000003"/>
    <n v="340"/>
  </r>
  <r>
    <s v="CLI-00815"/>
    <x v="22"/>
    <n v="109"/>
    <s v="Pro Monde"/>
    <m/>
    <n v="397"/>
    <n v="63.92"/>
    <n v="1"/>
    <n v="0.1"/>
    <n v="6.3920000000000003"/>
    <n v="341"/>
  </r>
  <r>
    <s v="CLI-01407"/>
    <x v="4"/>
    <n v="103"/>
    <s v="Premium 5G 150Go"/>
    <m/>
    <n v="354"/>
    <n v="26.19"/>
    <n v="4"/>
    <n v="0.45"/>
    <n v="11.785500000000001"/>
    <n v="342"/>
  </r>
  <r>
    <s v="CLI-00435"/>
    <x v="13"/>
    <n v="106"/>
    <s v="Illimité 50Go"/>
    <m/>
    <n v="407"/>
    <n v="59.92"/>
    <n v="4"/>
    <n v="0.45"/>
    <n v="26.964000000000002"/>
    <n v="343"/>
  </r>
  <r>
    <s v="CLI-01461"/>
    <x v="21"/>
    <n v="90"/>
    <s v="Illimité 50Go"/>
    <m/>
    <n v="343"/>
    <n v="82.05"/>
    <n v="1"/>
    <n v="0.45"/>
    <n v="36.922499999999999"/>
    <n v="344"/>
  </r>
  <r>
    <s v="CLI-00786"/>
    <x v="24"/>
    <n v="5"/>
    <s v="Illimité 50Go"/>
    <m/>
    <n v="337"/>
    <n v="21.07"/>
    <n v="4"/>
    <n v="0.45"/>
    <n v="9.4815000000000005"/>
    <n v="345"/>
  </r>
  <r>
    <s v="CLI-01451"/>
    <x v="22"/>
    <n v="77"/>
    <s v="Illimité 50Go"/>
    <m/>
    <n v="45"/>
    <n v="21.59"/>
    <n v="2"/>
    <n v="0"/>
    <n v="0"/>
    <n v="346"/>
  </r>
  <r>
    <s v="CLI-01917"/>
    <x v="3"/>
    <n v="41"/>
    <s v="Bloqué 5Go"/>
    <m/>
    <n v="398"/>
    <n v="28.56"/>
    <n v="2"/>
    <n v="0.45"/>
    <n v="12.852"/>
    <n v="347"/>
  </r>
  <r>
    <s v="CLI-01508"/>
    <x v="18"/>
    <n v="40"/>
    <s v="Premium 5G 150Go"/>
    <m/>
    <n v="237"/>
    <n v="24.51"/>
    <n v="1"/>
    <n v="0.45"/>
    <n v="11.029500000000001"/>
    <n v="348"/>
  </r>
  <r>
    <s v="CLI-01224"/>
    <x v="10"/>
    <n v="65"/>
    <s v="Bloqué 5Go"/>
    <m/>
    <n v="442"/>
    <n v="60.62"/>
    <n v="5"/>
    <n v="0.45"/>
    <n v="27.279"/>
    <n v="349"/>
  </r>
  <r>
    <s v="CLI-00525"/>
    <x v="17"/>
    <n v="89"/>
    <s v="Illimité 50Go"/>
    <m/>
    <n v="418"/>
    <n v="86.63"/>
    <n v="4"/>
    <n v="0.45"/>
    <n v="38.983499999999999"/>
    <n v="350"/>
  </r>
  <r>
    <s v="CLI-00150"/>
    <x v="19"/>
    <n v="12"/>
    <s v="Pro Monde"/>
    <m/>
    <n v="125"/>
    <n v="36.93"/>
    <n v="0"/>
    <n v="0.1"/>
    <n v="3.6930000000000001"/>
    <n v="351"/>
  </r>
  <r>
    <s v="CLI-00196"/>
    <x v="24"/>
    <n v="47"/>
    <s v="Pro Monde"/>
    <m/>
    <n v="378"/>
    <n v="36.42"/>
    <n v="1"/>
    <n v="0.1"/>
    <n v="3.6420000000000003"/>
    <n v="352"/>
  </r>
  <r>
    <s v="CLI-01141"/>
    <x v="2"/>
    <n v="117"/>
    <s v="Illimité 50Go"/>
    <m/>
    <n v="338"/>
    <n v="29.18"/>
    <n v="5"/>
    <n v="0.45"/>
    <n v="13.131"/>
    <n v="353"/>
  </r>
  <r>
    <s v="CLI-00121"/>
    <x v="7"/>
    <n v="43"/>
    <s v="Premium 5G 150Go"/>
    <m/>
    <n v="486"/>
    <n v="76.42"/>
    <n v="1"/>
    <n v="0.45"/>
    <n v="34.389000000000003"/>
    <n v="354"/>
  </r>
  <r>
    <s v="CLI-01794"/>
    <x v="24"/>
    <n v="100"/>
    <s v="Bloqué 5Go"/>
    <m/>
    <n v="471"/>
    <n v="61.2"/>
    <n v="3"/>
    <n v="0.45"/>
    <n v="27.540000000000003"/>
    <n v="355"/>
  </r>
  <r>
    <s v="CLI-01818"/>
    <x v="23"/>
    <n v="35"/>
    <s v="Illimité 50Go"/>
    <m/>
    <n v="421"/>
    <n v="29.57"/>
    <n v="5"/>
    <n v="0.45"/>
    <n v="13.3065"/>
    <n v="356"/>
  </r>
  <r>
    <s v="CLI-00481"/>
    <x v="12"/>
    <n v="19"/>
    <s v="Illimité 50Go"/>
    <m/>
    <n v="450"/>
    <n v="37.43"/>
    <n v="2"/>
    <n v="0.45"/>
    <n v="16.843499999999999"/>
    <n v="357"/>
  </r>
  <r>
    <s v="CLI-01822"/>
    <x v="19"/>
    <n v="112"/>
    <s v="Illimité 50Go"/>
    <m/>
    <n v="483"/>
    <n v="93.98"/>
    <n v="0"/>
    <n v="0.45"/>
    <n v="42.291000000000004"/>
    <n v="358"/>
  </r>
  <r>
    <s v="CLI-00726"/>
    <x v="1"/>
    <n v="103"/>
    <s v="Pro Monde"/>
    <m/>
    <n v="270"/>
    <n v="67.87"/>
    <n v="3"/>
    <n v="0.1"/>
    <n v="6.7870000000000008"/>
    <n v="359"/>
  </r>
  <r>
    <s v="CLI-01242"/>
    <x v="0"/>
    <n v="29"/>
    <s v="Premium 5G 150Go"/>
    <m/>
    <n v="350"/>
    <n v="84.32"/>
    <n v="3"/>
    <n v="0.45"/>
    <n v="37.943999999999996"/>
    <n v="360"/>
  </r>
  <r>
    <s v="CLI-01374"/>
    <x v="11"/>
    <n v="36"/>
    <s v="Bloqué 5Go"/>
    <m/>
    <n v="311"/>
    <n v="13.19"/>
    <n v="4"/>
    <n v="0.45"/>
    <n v="5.9355000000000002"/>
    <n v="361"/>
  </r>
  <r>
    <s v="CLI-01226"/>
    <x v="13"/>
    <n v="2"/>
    <s v="Premium 5G 150Go"/>
    <m/>
    <n v="21"/>
    <n v="51.68"/>
    <n v="3"/>
    <n v="0.45"/>
    <n v="23.256"/>
    <n v="362"/>
  </r>
  <r>
    <s v="CLI-01454"/>
    <x v="16"/>
    <n v="13"/>
    <s v="Illimité 50Go"/>
    <m/>
    <n v="310"/>
    <n v="65.599999999999994"/>
    <n v="5"/>
    <n v="0.45"/>
    <n v="29.52"/>
    <n v="363"/>
  </r>
  <r>
    <s v="CLI-01920"/>
    <x v="9"/>
    <n v="49"/>
    <s v="Pro Monde"/>
    <m/>
    <n v="229"/>
    <n v="53.94"/>
    <n v="5"/>
    <n v="0.1"/>
    <n v="5.3940000000000001"/>
    <n v="364"/>
  </r>
  <r>
    <s v="CLI-00094"/>
    <x v="12"/>
    <n v="29"/>
    <s v="Pro Monde"/>
    <m/>
    <n v="493"/>
    <n v="42.02"/>
    <n v="1"/>
    <n v="0.1"/>
    <n v="4.2020000000000008"/>
    <n v="365"/>
  </r>
  <r>
    <s v="CLI-00011"/>
    <x v="2"/>
    <n v="49"/>
    <s v="Illimité 50Go"/>
    <m/>
    <n v="86"/>
    <n v="65.400000000000006"/>
    <n v="2"/>
    <n v="0"/>
    <n v="0"/>
    <n v="366"/>
  </r>
  <r>
    <s v="CLI-00520"/>
    <x v="3"/>
    <n v="14"/>
    <s v="Pro Monde"/>
    <m/>
    <n v="345"/>
    <n v="39.57"/>
    <n v="3"/>
    <n v="0.1"/>
    <n v="3.9570000000000003"/>
    <n v="367"/>
  </r>
  <r>
    <s v="CLI-01034"/>
    <x v="19"/>
    <n v="101"/>
    <s v="Premium 5G 150Go"/>
    <m/>
    <n v="476"/>
    <n v="41.85"/>
    <n v="4"/>
    <n v="0.45"/>
    <n v="18.8325"/>
    <n v="368"/>
  </r>
  <r>
    <s v="CLI-01270"/>
    <x v="2"/>
    <n v="119"/>
    <s v="Pro Monde"/>
    <m/>
    <n v="451"/>
    <n v="10.46"/>
    <n v="5"/>
    <n v="0.1"/>
    <n v="1.046"/>
    <n v="369"/>
  </r>
  <r>
    <s v="CLI-00781"/>
    <x v="11"/>
    <n v="16"/>
    <s v="Premium 5G 150Go"/>
    <m/>
    <n v="391"/>
    <n v="90.12"/>
    <n v="5"/>
    <n v="0.45"/>
    <n v="40.554000000000002"/>
    <n v="370"/>
  </r>
  <r>
    <s v="CLI-00620"/>
    <x v="2"/>
    <n v="23"/>
    <s v="Premium 5G 150Go"/>
    <m/>
    <n v="268"/>
    <n v="26.75"/>
    <n v="3"/>
    <n v="0.45"/>
    <n v="12.0375"/>
    <n v="371"/>
  </r>
  <r>
    <s v="CLI-00809"/>
    <x v="9"/>
    <n v="68"/>
    <s v="Pro Monde"/>
    <m/>
    <n v="462"/>
    <n v="41.91"/>
    <n v="1"/>
    <n v="0.1"/>
    <n v="4.1909999999999998"/>
    <n v="372"/>
  </r>
  <r>
    <s v="CLI-01375"/>
    <x v="11"/>
    <n v="94"/>
    <s v="Illimité 50Go"/>
    <m/>
    <n v="115"/>
    <n v="19.12"/>
    <n v="0"/>
    <n v="0"/>
    <n v="0"/>
    <n v="373"/>
  </r>
  <r>
    <s v="CLI-00760"/>
    <x v="4"/>
    <n v="113"/>
    <s v="Premium 5G 150Go"/>
    <m/>
    <n v="89"/>
    <n v="54.28"/>
    <n v="0"/>
    <n v="0"/>
    <n v="0"/>
    <n v="374"/>
  </r>
  <r>
    <s v="CLI-00271"/>
    <x v="22"/>
    <n v="40"/>
    <s v="Bloqué 5Go"/>
    <m/>
    <n v="38"/>
    <n v="17.63"/>
    <n v="0"/>
    <n v="0"/>
    <n v="0"/>
    <n v="375"/>
  </r>
  <r>
    <s v="CLI-01146"/>
    <x v="1"/>
    <n v="76"/>
    <s v="Premium 5G 150Go"/>
    <m/>
    <n v="187"/>
    <n v="56.29"/>
    <n v="1"/>
    <n v="0"/>
    <n v="0"/>
    <n v="376"/>
  </r>
  <r>
    <s v="CLI-00085"/>
    <x v="2"/>
    <n v="106"/>
    <s v="Pro Monde"/>
    <m/>
    <n v="429"/>
    <n v="23.83"/>
    <n v="1"/>
    <n v="0.1"/>
    <n v="2.383"/>
    <n v="377"/>
  </r>
  <r>
    <s v="CLI-01940"/>
    <x v="20"/>
    <n v="104"/>
    <s v="Premium 5G 150Go"/>
    <m/>
    <n v="68"/>
    <n v="21.15"/>
    <n v="2"/>
    <n v="0"/>
    <n v="0"/>
    <n v="378"/>
  </r>
  <r>
    <s v="CLI-00368"/>
    <x v="8"/>
    <n v="63"/>
    <s v="Bloqué 5Go"/>
    <m/>
    <n v="263"/>
    <n v="53.87"/>
    <n v="4"/>
    <n v="0.45"/>
    <n v="24.241499999999998"/>
    <n v="379"/>
  </r>
  <r>
    <s v="CLI-01880"/>
    <x v="7"/>
    <n v="13"/>
    <s v="Bloqué 5Go"/>
    <m/>
    <n v="180"/>
    <n v="24.01"/>
    <n v="0"/>
    <n v="0"/>
    <n v="0"/>
    <n v="380"/>
  </r>
  <r>
    <s v="CLI-00348"/>
    <x v="0"/>
    <n v="68"/>
    <s v="Bloqué 5Go"/>
    <m/>
    <n v="487"/>
    <n v="69.099999999999994"/>
    <n v="5"/>
    <n v="0.45"/>
    <n v="31.094999999999999"/>
    <n v="381"/>
  </r>
  <r>
    <s v="CLI-01032"/>
    <x v="13"/>
    <n v="45"/>
    <s v="Illimité 50Go"/>
    <m/>
    <n v="26"/>
    <n v="30.35"/>
    <n v="1"/>
    <n v="0"/>
    <n v="0"/>
    <n v="382"/>
  </r>
  <r>
    <s v="CLI-01010"/>
    <x v="21"/>
    <n v="90"/>
    <s v="Bloqué 5Go"/>
    <m/>
    <n v="216"/>
    <n v="45.58"/>
    <n v="0"/>
    <n v="0"/>
    <n v="0"/>
    <n v="383"/>
  </r>
  <r>
    <s v="CLI-00695"/>
    <x v="5"/>
    <n v="74"/>
    <s v="Illimité 50Go"/>
    <m/>
    <n v="253"/>
    <n v="36.94"/>
    <n v="5"/>
    <n v="0.45"/>
    <n v="16.623000000000001"/>
    <n v="384"/>
  </r>
  <r>
    <s v="CLI-00959"/>
    <x v="0"/>
    <n v="111"/>
    <s v="Bloqué 5Go"/>
    <m/>
    <n v="194"/>
    <n v="48.55"/>
    <n v="2"/>
    <n v="0"/>
    <n v="0"/>
    <n v="385"/>
  </r>
  <r>
    <s v="CLI-01626"/>
    <x v="24"/>
    <n v="37"/>
    <s v="Bloqué 5Go"/>
    <m/>
    <n v="87"/>
    <n v="26.4"/>
    <n v="3"/>
    <n v="0"/>
    <n v="0"/>
    <n v="386"/>
  </r>
  <r>
    <s v="CLI-00184"/>
    <x v="18"/>
    <n v="71"/>
    <s v="Premium 5G 150Go"/>
    <m/>
    <n v="191"/>
    <n v="83.04"/>
    <n v="4"/>
    <n v="0"/>
    <n v="0"/>
    <n v="387"/>
  </r>
  <r>
    <s v="CLI-01836"/>
    <x v="8"/>
    <n v="35"/>
    <s v="Pro Monde"/>
    <m/>
    <n v="496"/>
    <n v="19.78"/>
    <n v="5"/>
    <n v="0.1"/>
    <n v="1.9780000000000002"/>
    <n v="388"/>
  </r>
  <r>
    <s v="CLI-01455"/>
    <x v="15"/>
    <n v="78"/>
    <s v="Bloqué 5Go"/>
    <m/>
    <n v="57"/>
    <n v="49.47"/>
    <n v="0"/>
    <n v="0"/>
    <n v="0"/>
    <n v="389"/>
  </r>
  <r>
    <s v="CLI-01087"/>
    <x v="12"/>
    <n v="13"/>
    <s v="Pro Monde"/>
    <m/>
    <n v="173"/>
    <n v="85.54"/>
    <n v="3"/>
    <n v="0.1"/>
    <n v="8.5540000000000003"/>
    <n v="390"/>
  </r>
  <r>
    <s v="CLI-00887"/>
    <x v="19"/>
    <n v="115"/>
    <s v="Illimité 50Go"/>
    <m/>
    <n v="467"/>
    <n v="24.57"/>
    <n v="3"/>
    <n v="0.45"/>
    <n v="11.0565"/>
    <n v="391"/>
  </r>
  <r>
    <s v="CLI-00291"/>
    <x v="14"/>
    <n v="7"/>
    <s v="Pro Monde"/>
    <m/>
    <n v="347"/>
    <n v="41.84"/>
    <n v="2"/>
    <n v="0.1"/>
    <n v="4.1840000000000002"/>
    <n v="392"/>
  </r>
  <r>
    <s v="CLI-01788"/>
    <x v="16"/>
    <n v="22"/>
    <s v="Pro Monde"/>
    <m/>
    <n v="127"/>
    <n v="49.06"/>
    <n v="2"/>
    <n v="0.1"/>
    <n v="4.9060000000000006"/>
    <n v="393"/>
  </r>
  <r>
    <s v="CLI-00240"/>
    <x v="14"/>
    <n v="41"/>
    <s v="Bloqué 5Go"/>
    <m/>
    <n v="425"/>
    <n v="42.33"/>
    <n v="3"/>
    <n v="0.45"/>
    <n v="19.048500000000001"/>
    <n v="394"/>
  </r>
  <r>
    <s v="CLI-01927"/>
    <x v="1"/>
    <n v="97"/>
    <s v="Pro Monde"/>
    <m/>
    <n v="276"/>
    <n v="88.35"/>
    <n v="0"/>
    <n v="0.1"/>
    <n v="8.8349999999999991"/>
    <n v="395"/>
  </r>
  <r>
    <s v="CLI-00091"/>
    <x v="16"/>
    <n v="50"/>
    <s v="Bloqué 5Go"/>
    <m/>
    <n v="435"/>
    <n v="27.86"/>
    <n v="3"/>
    <n v="0.45"/>
    <n v="12.537000000000001"/>
    <n v="396"/>
  </r>
  <r>
    <s v="CLI-00262"/>
    <x v="0"/>
    <n v="24"/>
    <s v="Illimité 50Go"/>
    <m/>
    <n v="392"/>
    <n v="27.06"/>
    <n v="1"/>
    <n v="0.45"/>
    <n v="12.177"/>
    <n v="397"/>
  </r>
  <r>
    <s v="CLI-01023"/>
    <x v="12"/>
    <n v="45"/>
    <s v="Bloqué 5Go"/>
    <m/>
    <n v="439"/>
    <n v="13.62"/>
    <n v="4"/>
    <n v="0.45"/>
    <n v="6.1289999999999996"/>
    <n v="398"/>
  </r>
  <r>
    <s v="CLI-00576"/>
    <x v="21"/>
    <n v="104"/>
    <s v="Pro Monde"/>
    <m/>
    <n v="60"/>
    <n v="45.51"/>
    <n v="1"/>
    <n v="0.1"/>
    <n v="4.5510000000000002"/>
    <n v="399"/>
  </r>
  <r>
    <s v="CLI-01532"/>
    <x v="2"/>
    <n v="95"/>
    <s v="Premium 5G 150Go"/>
    <m/>
    <n v="148"/>
    <n v="76.95"/>
    <n v="5"/>
    <n v="0"/>
    <n v="0"/>
    <n v="400"/>
  </r>
  <r>
    <s v="CLI-00739"/>
    <x v="14"/>
    <n v="83"/>
    <s v="Premium 5G 150Go"/>
    <m/>
    <n v="105"/>
    <n v="20.46"/>
    <n v="1"/>
    <n v="0"/>
    <n v="0"/>
    <n v="401"/>
  </r>
  <r>
    <s v="CLI-00881"/>
    <x v="19"/>
    <n v="7"/>
    <s v="Illimité 50Go"/>
    <m/>
    <n v="94"/>
    <n v="68.38"/>
    <n v="3"/>
    <n v="0"/>
    <n v="0"/>
    <n v="402"/>
  </r>
  <r>
    <s v="CLI-01687"/>
    <x v="11"/>
    <n v="39"/>
    <s v="Premium 5G 150Go"/>
    <m/>
    <n v="1"/>
    <n v="66.94"/>
    <n v="5"/>
    <n v="0.45"/>
    <n v="30.123000000000001"/>
    <n v="403"/>
  </r>
  <r>
    <s v="CLI-00540"/>
    <x v="15"/>
    <n v="15"/>
    <s v="Illimité 50Go"/>
    <m/>
    <n v="81"/>
    <n v="97.5"/>
    <n v="4"/>
    <n v="0"/>
    <n v="0"/>
    <n v="404"/>
  </r>
  <r>
    <s v="CLI-01256"/>
    <x v="1"/>
    <n v="35"/>
    <s v="Pro Monde"/>
    <m/>
    <n v="292"/>
    <n v="39.21"/>
    <n v="1"/>
    <n v="0.1"/>
    <n v="3.9210000000000003"/>
    <n v="405"/>
  </r>
  <r>
    <s v="CLI-01560"/>
    <x v="0"/>
    <n v="47"/>
    <s v="Bloqué 5Go"/>
    <m/>
    <n v="111"/>
    <n v="95.18"/>
    <n v="0"/>
    <n v="0"/>
    <n v="0"/>
    <n v="406"/>
  </r>
  <r>
    <s v="CLI-00541"/>
    <x v="9"/>
    <n v="36"/>
    <s v="Bloqué 5Go"/>
    <m/>
    <n v="303"/>
    <n v="89.56"/>
    <n v="1"/>
    <n v="0.45"/>
    <n v="40.302"/>
    <n v="407"/>
  </r>
  <r>
    <s v="CLI-01059"/>
    <x v="6"/>
    <n v="45"/>
    <s v="Illimité 50Go"/>
    <m/>
    <n v="356"/>
    <n v="33.76"/>
    <n v="0"/>
    <n v="0.45"/>
    <n v="15.192"/>
    <n v="408"/>
  </r>
  <r>
    <s v="CLI-01606"/>
    <x v="11"/>
    <n v="92"/>
    <s v="Bloqué 5Go"/>
    <m/>
    <n v="4"/>
    <n v="22.03"/>
    <n v="3"/>
    <n v="0"/>
    <n v="0"/>
    <n v="409"/>
  </r>
  <r>
    <s v="CLI-00893"/>
    <x v="5"/>
    <n v="54"/>
    <s v="Bloqué 5Go"/>
    <m/>
    <n v="450"/>
    <n v="90.85"/>
    <n v="1"/>
    <n v="0.45"/>
    <n v="40.8825"/>
    <n v="410"/>
  </r>
  <r>
    <s v="CLI-00338"/>
    <x v="5"/>
    <n v="32"/>
    <s v="Illimité 50Go"/>
    <m/>
    <n v="475"/>
    <n v="36.54"/>
    <n v="3"/>
    <n v="0.45"/>
    <n v="16.443000000000001"/>
    <n v="411"/>
  </r>
  <r>
    <s v="CLI-00647"/>
    <x v="14"/>
    <n v="41"/>
    <s v="Illimité 50Go"/>
    <m/>
    <n v="404"/>
    <n v="98.67"/>
    <n v="5"/>
    <n v="0.45"/>
    <n v="44.401499999999999"/>
    <n v="412"/>
  </r>
  <r>
    <s v="CLI-01821"/>
    <x v="11"/>
    <n v="115"/>
    <s v="Pro Monde"/>
    <m/>
    <n v="262"/>
    <n v="66.34"/>
    <n v="3"/>
    <n v="0.1"/>
    <n v="6.6340000000000003"/>
    <n v="413"/>
  </r>
  <r>
    <s v="CLI-01823"/>
    <x v="3"/>
    <n v="7"/>
    <s v="Bloqué 5Go"/>
    <m/>
    <n v="233"/>
    <n v="10.94"/>
    <n v="0"/>
    <n v="0"/>
    <n v="0"/>
    <n v="414"/>
  </r>
  <r>
    <s v="CLI-01565"/>
    <x v="20"/>
    <n v="24"/>
    <s v="Bloqué 5Go"/>
    <m/>
    <n v="257"/>
    <n v="41.99"/>
    <n v="5"/>
    <n v="0.45"/>
    <n v="18.895500000000002"/>
    <n v="415"/>
  </r>
  <r>
    <s v="CLI-00310"/>
    <x v="8"/>
    <n v="6"/>
    <s v="Premium 5G 150Go"/>
    <m/>
    <n v="362"/>
    <n v="75.739999999999995"/>
    <n v="4"/>
    <n v="0.45"/>
    <n v="34.082999999999998"/>
    <n v="416"/>
  </r>
  <r>
    <s v="CLI-01139"/>
    <x v="7"/>
    <n v="1"/>
    <s v="Premium 5G 150Go"/>
    <m/>
    <n v="368"/>
    <n v="35.17"/>
    <n v="1"/>
    <n v="0.45"/>
    <n v="15.826500000000001"/>
    <n v="417"/>
  </r>
  <r>
    <s v="CLI-01959"/>
    <x v="9"/>
    <n v="7"/>
    <s v="Pro Monde"/>
    <m/>
    <n v="268"/>
    <n v="33.04"/>
    <n v="5"/>
    <n v="0.1"/>
    <n v="3.3040000000000003"/>
    <n v="418"/>
  </r>
  <r>
    <s v="CLI-01304"/>
    <x v="22"/>
    <n v="85"/>
    <s v="Illimité 50Go"/>
    <m/>
    <n v="132"/>
    <n v="11.41"/>
    <n v="0"/>
    <n v="0"/>
    <n v="0"/>
    <n v="419"/>
  </r>
  <r>
    <s v="CLI-00902"/>
    <x v="2"/>
    <n v="96"/>
    <s v="Illimité 50Go"/>
    <m/>
    <n v="155"/>
    <n v="69.16"/>
    <n v="4"/>
    <n v="0"/>
    <n v="0"/>
    <n v="420"/>
  </r>
  <r>
    <s v="CLI-00109"/>
    <x v="2"/>
    <n v="42"/>
    <s v="Bloqué 5Go"/>
    <m/>
    <n v="436"/>
    <n v="88.12"/>
    <n v="0"/>
    <n v="0.45"/>
    <n v="39.654000000000003"/>
    <n v="421"/>
  </r>
  <r>
    <s v="CLI-00387"/>
    <x v="13"/>
    <n v="28"/>
    <s v="Illimité 50Go"/>
    <m/>
    <n v="112"/>
    <n v="94.51"/>
    <n v="3"/>
    <n v="0"/>
    <n v="0"/>
    <n v="422"/>
  </r>
  <r>
    <s v="CLI-00305"/>
    <x v="15"/>
    <n v="37"/>
    <s v="Illimité 50Go"/>
    <m/>
    <n v="151"/>
    <n v="62.49"/>
    <n v="3"/>
    <n v="0"/>
    <n v="0"/>
    <n v="423"/>
  </r>
  <r>
    <s v="CLI-01873"/>
    <x v="14"/>
    <n v="61"/>
    <s v="Pro Monde"/>
    <m/>
    <n v="362"/>
    <n v="75.03"/>
    <n v="0"/>
    <n v="0.1"/>
    <n v="7.5030000000000001"/>
    <n v="424"/>
  </r>
  <r>
    <s v="CLI-00471"/>
    <x v="13"/>
    <n v="36"/>
    <s v="Premium 5G 150Go"/>
    <m/>
    <n v="137"/>
    <n v="71.930000000000007"/>
    <n v="0"/>
    <n v="0.45"/>
    <n v="32.368500000000004"/>
    <n v="425"/>
  </r>
  <r>
    <s v="CLI-00376"/>
    <x v="24"/>
    <n v="117"/>
    <s v="Premium 5G 150Go"/>
    <m/>
    <n v="282"/>
    <n v="95.11"/>
    <n v="0"/>
    <n v="0.45"/>
    <n v="42.799500000000002"/>
    <n v="426"/>
  </r>
  <r>
    <s v="CLI-00074"/>
    <x v="17"/>
    <n v="78"/>
    <s v="Premium 5G 150Go"/>
    <m/>
    <n v="60"/>
    <n v="33.159999999999997"/>
    <n v="5"/>
    <n v="0"/>
    <n v="0"/>
    <n v="427"/>
  </r>
  <r>
    <s v="CLI-00964"/>
    <x v="19"/>
    <n v="13"/>
    <s v="Pro Monde"/>
    <m/>
    <n v="87"/>
    <n v="66.36"/>
    <n v="0"/>
    <n v="0.1"/>
    <n v="6.6360000000000001"/>
    <n v="428"/>
  </r>
  <r>
    <s v="CLI-01721"/>
    <x v="9"/>
    <n v="56"/>
    <s v="Bloqué 5Go"/>
    <m/>
    <n v="114"/>
    <n v="64.39"/>
    <n v="1"/>
    <n v="0"/>
    <n v="0"/>
    <n v="429"/>
  </r>
  <r>
    <s v="CLI-00335"/>
    <x v="13"/>
    <n v="24"/>
    <s v="Pro Monde"/>
    <m/>
    <n v="23"/>
    <n v="28.55"/>
    <n v="1"/>
    <n v="0.1"/>
    <n v="2.8550000000000004"/>
    <n v="430"/>
  </r>
  <r>
    <s v="CLI-01446"/>
    <x v="0"/>
    <n v="33"/>
    <s v="Bloqué 5Go"/>
    <m/>
    <n v="273"/>
    <n v="49.8"/>
    <n v="0"/>
    <n v="0.45"/>
    <n v="22.41"/>
    <n v="431"/>
  </r>
  <r>
    <s v="CLI-00957"/>
    <x v="18"/>
    <n v="63"/>
    <s v="Pro Monde"/>
    <m/>
    <n v="121"/>
    <n v="39.18"/>
    <n v="2"/>
    <n v="0.1"/>
    <n v="3.9180000000000001"/>
    <n v="432"/>
  </r>
  <r>
    <s v="CLI-01999"/>
    <x v="8"/>
    <n v="47"/>
    <s v="Pro Monde"/>
    <m/>
    <n v="149"/>
    <n v="28.35"/>
    <n v="1"/>
    <n v="0.1"/>
    <n v="2.8350000000000004"/>
    <n v="433"/>
  </r>
  <r>
    <s v="CLI-00238"/>
    <x v="9"/>
    <n v="43"/>
    <s v="Bloqué 5Go"/>
    <m/>
    <n v="20"/>
    <n v="66.680000000000007"/>
    <n v="5"/>
    <n v="0"/>
    <n v="0"/>
    <n v="434"/>
  </r>
  <r>
    <s v="CLI-01014"/>
    <x v="12"/>
    <n v="39"/>
    <s v="Illimité 50Go"/>
    <m/>
    <n v="327"/>
    <n v="87.24"/>
    <n v="4"/>
    <n v="0.45"/>
    <n v="39.257999999999996"/>
    <n v="435"/>
  </r>
  <r>
    <s v="CLI-00084"/>
    <x v="17"/>
    <n v="15"/>
    <s v="Premium 5G 150Go"/>
    <m/>
    <n v="75"/>
    <n v="45.59"/>
    <n v="0"/>
    <n v="0.45"/>
    <n v="20.515500000000003"/>
    <n v="436"/>
  </r>
  <r>
    <s v="CLI-00905"/>
    <x v="24"/>
    <n v="13"/>
    <s v="Illimité 50Go"/>
    <m/>
    <n v="482"/>
    <n v="50.15"/>
    <n v="0"/>
    <n v="0.45"/>
    <n v="22.567499999999999"/>
    <n v="437"/>
  </r>
  <r>
    <s v="CLI-00731"/>
    <x v="0"/>
    <n v="86"/>
    <s v="Premium 5G 150Go"/>
    <m/>
    <n v="452"/>
    <n v="75.680000000000007"/>
    <n v="0"/>
    <n v="0.45"/>
    <n v="34.056000000000004"/>
    <n v="438"/>
  </r>
  <r>
    <s v="CLI-01453"/>
    <x v="20"/>
    <n v="2"/>
    <s v="Bloqué 5Go"/>
    <m/>
    <n v="142"/>
    <n v="49.05"/>
    <n v="4"/>
    <n v="0"/>
    <n v="0"/>
    <n v="439"/>
  </r>
  <r>
    <s v="CLI-01149"/>
    <x v="10"/>
    <n v="88"/>
    <s v="Bloqué 5Go"/>
    <m/>
    <n v="474"/>
    <n v="23.35"/>
    <n v="5"/>
    <n v="0.45"/>
    <n v="10.5075"/>
    <n v="440"/>
  </r>
  <r>
    <s v="CLI-00994"/>
    <x v="11"/>
    <n v="71"/>
    <s v="Illimité 50Go"/>
    <m/>
    <n v="68"/>
    <n v="53.11"/>
    <n v="2"/>
    <n v="0"/>
    <n v="0"/>
    <n v="441"/>
  </r>
  <r>
    <s v="CLI-00938"/>
    <x v="2"/>
    <n v="99"/>
    <s v="Pro Monde"/>
    <m/>
    <n v="138"/>
    <n v="54.64"/>
    <n v="5"/>
    <n v="0.1"/>
    <n v="5.4640000000000004"/>
    <n v="442"/>
  </r>
  <r>
    <s v="CLI-01988"/>
    <x v="15"/>
    <n v="111"/>
    <s v="Pro Monde"/>
    <m/>
    <n v="447"/>
    <n v="51.35"/>
    <n v="0"/>
    <n v="0.1"/>
    <n v="5.1350000000000007"/>
    <n v="443"/>
  </r>
  <r>
    <s v="CLI-00231"/>
    <x v="15"/>
    <n v="17"/>
    <s v="Bloqué 5Go"/>
    <m/>
    <n v="404"/>
    <n v="83.4"/>
    <n v="1"/>
    <n v="0.45"/>
    <n v="37.53"/>
    <n v="444"/>
  </r>
  <r>
    <s v="CLI-01475"/>
    <x v="21"/>
    <n v="43"/>
    <s v="Illimité 50Go"/>
    <m/>
    <n v="26"/>
    <n v="25.85"/>
    <n v="1"/>
    <n v="0"/>
    <n v="0"/>
    <n v="445"/>
  </r>
  <r>
    <s v="CLI-00304"/>
    <x v="0"/>
    <n v="47"/>
    <s v="Pro Monde"/>
    <m/>
    <n v="328"/>
    <n v="61.27"/>
    <n v="3"/>
    <n v="0.1"/>
    <n v="6.1270000000000007"/>
    <n v="446"/>
  </r>
  <r>
    <s v="CLI-00254"/>
    <x v="6"/>
    <n v="95"/>
    <s v="Pro Monde"/>
    <m/>
    <n v="127"/>
    <n v="94.9"/>
    <n v="4"/>
    <n v="0.1"/>
    <n v="9.49"/>
    <n v="447"/>
  </r>
  <r>
    <s v="CLI-00716"/>
    <x v="17"/>
    <n v="104"/>
    <s v="Pro Monde"/>
    <m/>
    <n v="421"/>
    <n v="26.24"/>
    <n v="3"/>
    <n v="0.1"/>
    <n v="2.6240000000000001"/>
    <n v="448"/>
  </r>
  <r>
    <s v="CLI-00192"/>
    <x v="20"/>
    <n v="47"/>
    <s v="Pro Monde"/>
    <m/>
    <n v="107"/>
    <n v="35.380000000000003"/>
    <n v="1"/>
    <n v="0.1"/>
    <n v="3.5380000000000003"/>
    <n v="449"/>
  </r>
  <r>
    <s v="CLI-00418"/>
    <x v="0"/>
    <n v="96"/>
    <s v="Premium 5G 150Go"/>
    <m/>
    <n v="273"/>
    <n v="37.909999999999997"/>
    <n v="2"/>
    <n v="0.45"/>
    <n v="17.0595"/>
    <n v="450"/>
  </r>
  <r>
    <s v="CLI-00582"/>
    <x v="16"/>
    <n v="43"/>
    <s v="Premium 5G 150Go"/>
    <m/>
    <n v="193"/>
    <n v="35.81"/>
    <n v="0"/>
    <n v="0.45"/>
    <n v="16.114500000000003"/>
    <n v="451"/>
  </r>
  <r>
    <s v="CLI-01682"/>
    <x v="11"/>
    <n v="77"/>
    <s v="Illimité 50Go"/>
    <m/>
    <n v="375"/>
    <n v="24.03"/>
    <n v="1"/>
    <n v="0.45"/>
    <n v="10.813500000000001"/>
    <n v="452"/>
  </r>
  <r>
    <s v="CLI-00345"/>
    <x v="19"/>
    <n v="24"/>
    <s v="Bloqué 5Go"/>
    <m/>
    <n v="13"/>
    <n v="89.3"/>
    <n v="2"/>
    <n v="0"/>
    <n v="0"/>
    <n v="453"/>
  </r>
  <r>
    <s v="CLI-01536"/>
    <x v="2"/>
    <n v="87"/>
    <s v="Premium 5G 150Go"/>
    <m/>
    <n v="356"/>
    <n v="12.89"/>
    <n v="0"/>
    <n v="0.45"/>
    <n v="5.8005000000000004"/>
    <n v="454"/>
  </r>
  <r>
    <s v="CLI-01042"/>
    <x v="16"/>
    <n v="55"/>
    <s v="Illimité 50Go"/>
    <m/>
    <n v="494"/>
    <n v="77.599999999999994"/>
    <n v="4"/>
    <n v="0.45"/>
    <n v="34.92"/>
    <n v="455"/>
  </r>
  <r>
    <s v="CLI-01992"/>
    <x v="14"/>
    <n v="20"/>
    <s v="Illimité 50Go"/>
    <m/>
    <n v="217"/>
    <n v="55.3"/>
    <n v="4"/>
    <n v="0"/>
    <n v="0"/>
    <n v="456"/>
  </r>
  <r>
    <s v="CLI-01154"/>
    <x v="18"/>
    <n v="115"/>
    <s v="Pro Monde"/>
    <m/>
    <n v="190"/>
    <n v="10.98"/>
    <n v="0"/>
    <n v="0.1"/>
    <n v="1.0980000000000001"/>
    <n v="457"/>
  </r>
  <r>
    <s v="CLI-01359"/>
    <x v="17"/>
    <n v="86"/>
    <s v="Premium 5G 150Go"/>
    <m/>
    <n v="27"/>
    <n v="84.94"/>
    <n v="4"/>
    <n v="0"/>
    <n v="0"/>
    <n v="458"/>
  </r>
  <r>
    <s v="CLI-01200"/>
    <x v="14"/>
    <n v="88"/>
    <s v="Premium 5G 150Go"/>
    <m/>
    <n v="359"/>
    <n v="71.19"/>
    <n v="3"/>
    <n v="0.45"/>
    <n v="32.035499999999999"/>
    <n v="459"/>
  </r>
  <r>
    <s v="CLI-01658"/>
    <x v="16"/>
    <n v="39"/>
    <s v="Pro Monde"/>
    <m/>
    <n v="54"/>
    <n v="88.84"/>
    <n v="0"/>
    <n v="0.1"/>
    <n v="8.8840000000000003"/>
    <n v="460"/>
  </r>
  <r>
    <s v="CLI-01196"/>
    <x v="10"/>
    <n v="80"/>
    <s v="Pro Monde"/>
    <m/>
    <n v="339"/>
    <n v="59.87"/>
    <n v="0"/>
    <n v="0.1"/>
    <n v="5.9870000000000001"/>
    <n v="461"/>
  </r>
  <r>
    <s v="CLI-00009"/>
    <x v="14"/>
    <n v="105"/>
    <s v="Pro Monde"/>
    <m/>
    <n v="297"/>
    <n v="84.66"/>
    <n v="2"/>
    <n v="0.1"/>
    <n v="8.4659999999999993"/>
    <n v="462"/>
  </r>
  <r>
    <s v="CLI-01078"/>
    <x v="20"/>
    <n v="37"/>
    <s v="Pro Monde"/>
    <m/>
    <n v="37"/>
    <n v="92.72"/>
    <n v="0"/>
    <n v="0.1"/>
    <n v="9.2720000000000002"/>
    <n v="463"/>
  </r>
  <r>
    <s v="CLI-01741"/>
    <x v="0"/>
    <n v="45"/>
    <s v="Premium 5G 150Go"/>
    <m/>
    <n v="244"/>
    <n v="55.17"/>
    <n v="2"/>
    <n v="0.45"/>
    <n v="24.826500000000003"/>
    <n v="464"/>
  </r>
  <r>
    <s v="CLI-01549"/>
    <x v="13"/>
    <n v="113"/>
    <s v="Illimité 50Go"/>
    <m/>
    <n v="428"/>
    <n v="73.84"/>
    <n v="0"/>
    <n v="0.45"/>
    <n v="33.228000000000002"/>
    <n v="465"/>
  </r>
  <r>
    <s v="CLI-00853"/>
    <x v="18"/>
    <n v="14"/>
    <s v="Illimité 50Go"/>
    <m/>
    <n v="304"/>
    <n v="48.13"/>
    <n v="2"/>
    <n v="0.45"/>
    <n v="21.6585"/>
    <n v="466"/>
  </r>
  <r>
    <s v="CLI-00158"/>
    <x v="15"/>
    <n v="35"/>
    <s v="Pro Monde"/>
    <m/>
    <n v="445"/>
    <n v="24.11"/>
    <n v="2"/>
    <n v="0.1"/>
    <n v="2.411"/>
    <n v="467"/>
  </r>
  <r>
    <s v="CLI-01893"/>
    <x v="18"/>
    <n v="118"/>
    <s v="Pro Monde"/>
    <m/>
    <n v="80"/>
    <n v="97.58"/>
    <n v="3"/>
    <n v="0.1"/>
    <n v="9.7580000000000009"/>
    <n v="468"/>
  </r>
  <r>
    <s v="CLI-01021"/>
    <x v="15"/>
    <n v="64"/>
    <s v="Pro Monde"/>
    <m/>
    <n v="15"/>
    <n v="56.94"/>
    <n v="4"/>
    <n v="0.1"/>
    <n v="5.694"/>
    <n v="469"/>
  </r>
  <r>
    <s v="CLI-01846"/>
    <x v="0"/>
    <n v="85"/>
    <s v="Pro Monde"/>
    <m/>
    <n v="75"/>
    <n v="98.01"/>
    <n v="1"/>
    <n v="0.1"/>
    <n v="9.8010000000000019"/>
    <n v="470"/>
  </r>
  <r>
    <s v="CLI-00194"/>
    <x v="24"/>
    <n v="48"/>
    <s v="Illimité 50Go"/>
    <m/>
    <n v="187"/>
    <n v="21.26"/>
    <n v="2"/>
    <n v="0"/>
    <n v="0"/>
    <n v="471"/>
  </r>
  <r>
    <s v="CLI-00674"/>
    <x v="13"/>
    <n v="120"/>
    <s v="Pro Monde"/>
    <m/>
    <n v="72"/>
    <n v="29.07"/>
    <n v="3"/>
    <n v="0.1"/>
    <n v="2.907"/>
    <n v="472"/>
  </r>
  <r>
    <s v="CLI-00054"/>
    <x v="4"/>
    <n v="34"/>
    <s v="Bloqué 5Go"/>
    <m/>
    <n v="40"/>
    <n v="65.709999999999994"/>
    <n v="5"/>
    <n v="0"/>
    <n v="0"/>
    <n v="473"/>
  </r>
  <r>
    <s v="CLI-00583"/>
    <x v="2"/>
    <n v="104"/>
    <s v="Pro Monde"/>
    <m/>
    <n v="125"/>
    <n v="29.7"/>
    <n v="2"/>
    <n v="0.1"/>
    <n v="2.97"/>
    <n v="474"/>
  </r>
  <r>
    <s v="CLI-01396"/>
    <x v="10"/>
    <n v="117"/>
    <s v="Illimité 50Go"/>
    <m/>
    <n v="39"/>
    <n v="26.53"/>
    <n v="1"/>
    <n v="0"/>
    <n v="0"/>
    <n v="475"/>
  </r>
  <r>
    <s v="CLI-01394"/>
    <x v="15"/>
    <n v="92"/>
    <s v="Bloqué 5Go"/>
    <m/>
    <n v="6"/>
    <n v="77.14"/>
    <n v="5"/>
    <n v="0"/>
    <n v="0"/>
    <n v="476"/>
  </r>
  <r>
    <s v="CLI-01858"/>
    <x v="1"/>
    <n v="103"/>
    <s v="Illimité 50Go"/>
    <m/>
    <n v="291"/>
    <n v="60.34"/>
    <n v="5"/>
    <n v="0.45"/>
    <n v="27.153000000000002"/>
    <n v="477"/>
  </r>
  <r>
    <s v="CLI-00808"/>
    <x v="24"/>
    <n v="10"/>
    <s v="Premium 5G 150Go"/>
    <m/>
    <n v="425"/>
    <n v="85.75"/>
    <n v="0"/>
    <n v="0.45"/>
    <n v="38.587499999999999"/>
    <n v="478"/>
  </r>
  <r>
    <s v="CLI-00766"/>
    <x v="1"/>
    <n v="101"/>
    <s v="Bloqué 5Go"/>
    <m/>
    <n v="416"/>
    <n v="83.49"/>
    <n v="2"/>
    <n v="0.45"/>
    <n v="37.570499999999996"/>
    <n v="479"/>
  </r>
  <r>
    <s v="CLI-01210"/>
    <x v="11"/>
    <n v="1"/>
    <s v="Illimité 50Go"/>
    <m/>
    <n v="213"/>
    <n v="52.16"/>
    <n v="3"/>
    <n v="0"/>
    <n v="0"/>
    <n v="480"/>
  </r>
  <r>
    <s v="CLI-00218"/>
    <x v="14"/>
    <n v="111"/>
    <s v="Bloqué 5Go"/>
    <m/>
    <n v="76"/>
    <n v="38.19"/>
    <n v="5"/>
    <n v="0"/>
    <n v="0"/>
    <n v="481"/>
  </r>
  <r>
    <s v="CLI-01662"/>
    <x v="6"/>
    <n v="120"/>
    <s v="Premium 5G 150Go"/>
    <m/>
    <n v="391"/>
    <n v="67.77"/>
    <n v="4"/>
    <n v="0.45"/>
    <n v="30.496499999999997"/>
    <n v="482"/>
  </r>
  <r>
    <s v="CLI-00315"/>
    <x v="7"/>
    <n v="20"/>
    <s v="Pro Monde"/>
    <m/>
    <n v="93"/>
    <n v="84.45"/>
    <n v="0"/>
    <n v="0.1"/>
    <n v="8.4450000000000003"/>
    <n v="483"/>
  </r>
  <r>
    <s v="CLI-01990"/>
    <x v="14"/>
    <n v="100"/>
    <s v="Illimité 50Go"/>
    <m/>
    <n v="240"/>
    <n v="24.83"/>
    <n v="4"/>
    <n v="0.45"/>
    <n v="11.173499999999999"/>
    <n v="484"/>
  </r>
  <r>
    <s v="CLI-00167"/>
    <x v="15"/>
    <n v="84"/>
    <s v="Bloqué 5Go"/>
    <m/>
    <n v="380"/>
    <n v="82.3"/>
    <n v="1"/>
    <n v="0.45"/>
    <n v="37.034999999999997"/>
    <n v="485"/>
  </r>
  <r>
    <s v="CLI-00943"/>
    <x v="14"/>
    <n v="19"/>
    <s v="Bloqué 5Go"/>
    <m/>
    <n v="71"/>
    <n v="68.2"/>
    <n v="0"/>
    <n v="0"/>
    <n v="0"/>
    <n v="486"/>
  </r>
  <r>
    <s v="CLI-01450"/>
    <x v="10"/>
    <n v="41"/>
    <s v="Premium 5G 150Go"/>
    <m/>
    <n v="383"/>
    <n v="27.53"/>
    <n v="4"/>
    <n v="0.45"/>
    <n v="12.388500000000001"/>
    <n v="487"/>
  </r>
  <r>
    <s v="CLI-01351"/>
    <x v="4"/>
    <n v="19"/>
    <s v="Premium 5G 150Go"/>
    <m/>
    <n v="270"/>
    <n v="19.760000000000002"/>
    <n v="3"/>
    <n v="0.45"/>
    <n v="8.8920000000000012"/>
    <n v="488"/>
  </r>
  <r>
    <s v="CLI-00983"/>
    <x v="12"/>
    <n v="50"/>
    <s v="Illimité 50Go"/>
    <m/>
    <n v="357"/>
    <n v="17"/>
    <n v="3"/>
    <n v="0.45"/>
    <n v="7.65"/>
    <n v="489"/>
  </r>
  <r>
    <s v="CLI-01709"/>
    <x v="8"/>
    <n v="58"/>
    <s v="Premium 5G 150Go"/>
    <m/>
    <n v="485"/>
    <n v="64.290000000000006"/>
    <n v="4"/>
    <n v="0.45"/>
    <n v="28.930500000000002"/>
    <n v="490"/>
  </r>
  <r>
    <s v="CLI-01782"/>
    <x v="21"/>
    <n v="93"/>
    <s v="Pro Monde"/>
    <m/>
    <n v="153"/>
    <n v="86.19"/>
    <n v="0"/>
    <n v="0.1"/>
    <n v="8.6189999999999998"/>
    <n v="491"/>
  </r>
  <r>
    <s v="CLI-00552"/>
    <x v="14"/>
    <n v="102"/>
    <s v="Illimité 50Go"/>
    <m/>
    <n v="240"/>
    <n v="12.52"/>
    <n v="2"/>
    <n v="0.45"/>
    <n v="5.6340000000000003"/>
    <n v="492"/>
  </r>
  <r>
    <s v="CLI-01766"/>
    <x v="4"/>
    <n v="101"/>
    <s v="Pro Monde"/>
    <m/>
    <n v="210"/>
    <n v="35.4"/>
    <n v="1"/>
    <n v="0.1"/>
    <n v="3.54"/>
    <n v="493"/>
  </r>
  <r>
    <s v="CLI-01348"/>
    <x v="12"/>
    <n v="62"/>
    <s v="Illimité 50Go"/>
    <m/>
    <n v="369"/>
    <n v="58.74"/>
    <n v="1"/>
    <n v="0.45"/>
    <n v="26.433"/>
    <n v="494"/>
  </r>
  <r>
    <s v="CLI-00012"/>
    <x v="17"/>
    <n v="105"/>
    <s v="Illimité 50Go"/>
    <m/>
    <n v="172"/>
    <n v="15.88"/>
    <n v="5"/>
    <n v="0"/>
    <n v="0"/>
    <n v="495"/>
  </r>
  <r>
    <s v="CLI-01926"/>
    <x v="8"/>
    <n v="9"/>
    <s v="Illimité 50Go"/>
    <m/>
    <n v="227"/>
    <n v="63.74"/>
    <n v="3"/>
    <n v="0"/>
    <n v="0"/>
    <n v="496"/>
  </r>
  <r>
    <s v="CLI-00090"/>
    <x v="13"/>
    <n v="15"/>
    <s v="Bloqué 5Go"/>
    <m/>
    <n v="400"/>
    <n v="78.09"/>
    <n v="0"/>
    <n v="0.45"/>
    <n v="35.140500000000003"/>
    <n v="497"/>
  </r>
  <r>
    <s v="CLI-01344"/>
    <x v="7"/>
    <n v="74"/>
    <s v="Illimité 50Go"/>
    <m/>
    <n v="330"/>
    <n v="37.82"/>
    <n v="5"/>
    <n v="0.45"/>
    <n v="17.019000000000002"/>
    <n v="498"/>
  </r>
  <r>
    <s v="CLI-01275"/>
    <x v="0"/>
    <n v="55"/>
    <s v="Bloqué 5Go"/>
    <m/>
    <n v="355"/>
    <n v="59.65"/>
    <n v="0"/>
    <n v="0.45"/>
    <n v="26.842500000000001"/>
    <n v="499"/>
  </r>
  <r>
    <s v="CLI-00928"/>
    <x v="20"/>
    <n v="94"/>
    <s v="Illimité 50Go"/>
    <m/>
    <n v="6"/>
    <n v="67.459999999999994"/>
    <n v="5"/>
    <n v="0"/>
    <n v="0"/>
    <n v="500"/>
  </r>
  <r>
    <s v="CLI-00666"/>
    <x v="2"/>
    <n v="120"/>
    <s v="Bloqué 5Go"/>
    <m/>
    <n v="27"/>
    <n v="24.46"/>
    <n v="3"/>
    <n v="0"/>
    <n v="0"/>
    <n v="501"/>
  </r>
  <r>
    <s v="CLI-01499"/>
    <x v="13"/>
    <n v="38"/>
    <s v="Bloqué 5Go"/>
    <m/>
    <n v="108"/>
    <n v="72.7"/>
    <n v="3"/>
    <n v="0"/>
    <n v="0"/>
    <n v="502"/>
  </r>
  <r>
    <s v="CLI-01166"/>
    <x v="25"/>
    <n v="21"/>
    <s v="Illimité 50Go"/>
    <m/>
    <n v="444"/>
    <n v="41.92"/>
    <n v="3"/>
    <n v="0.45"/>
    <n v="18.864000000000001"/>
    <n v="503"/>
  </r>
  <r>
    <s v="CLI-00265"/>
    <x v="11"/>
    <n v="9"/>
    <s v="Bloqué 5Go"/>
    <m/>
    <n v="11"/>
    <n v="72.36"/>
    <n v="2"/>
    <n v="0"/>
    <n v="0"/>
    <n v="504"/>
  </r>
  <r>
    <s v="CLI-00433"/>
    <x v="7"/>
    <n v="36"/>
    <s v="Illimité 50Go"/>
    <m/>
    <n v="487"/>
    <n v="45.02"/>
    <n v="2"/>
    <n v="0.45"/>
    <n v="20.259"/>
    <n v="505"/>
  </r>
  <r>
    <s v="CLI-00100"/>
    <x v="20"/>
    <n v="74"/>
    <s v="Bloqué 5Go"/>
    <m/>
    <n v="388"/>
    <n v="10.89"/>
    <n v="4"/>
    <n v="0.45"/>
    <n v="4.9005000000000001"/>
    <n v="506"/>
  </r>
  <r>
    <s v="CLI-01319"/>
    <x v="20"/>
    <n v="47"/>
    <s v="Premium 5G 150Go"/>
    <m/>
    <n v="350"/>
    <n v="80.48"/>
    <n v="3"/>
    <n v="0.45"/>
    <n v="36.216000000000001"/>
    <n v="507"/>
  </r>
  <r>
    <s v="CLI-01598"/>
    <x v="3"/>
    <n v="46"/>
    <s v="Pro Monde"/>
    <m/>
    <n v="216"/>
    <n v="63.74"/>
    <n v="4"/>
    <n v="0.1"/>
    <n v="6.3740000000000006"/>
    <n v="508"/>
  </r>
  <r>
    <s v="CLI-00662"/>
    <x v="8"/>
    <n v="12"/>
    <s v="Illimité 50Go"/>
    <m/>
    <n v="138"/>
    <n v="17"/>
    <n v="2"/>
    <n v="0"/>
    <n v="0"/>
    <n v="509"/>
  </r>
  <r>
    <s v="CLI-01979"/>
    <x v="2"/>
    <n v="10"/>
    <s v="Pro Monde"/>
    <m/>
    <n v="129"/>
    <n v="70.12"/>
    <n v="0"/>
    <n v="0.1"/>
    <n v="7.0120000000000005"/>
    <n v="510"/>
  </r>
  <r>
    <s v="CLI-00145"/>
    <x v="20"/>
    <n v="23"/>
    <s v="Bloqué 5Go"/>
    <m/>
    <n v="325"/>
    <n v="65.489999999999995"/>
    <n v="1"/>
    <n v="0.45"/>
    <n v="29.470499999999998"/>
    <n v="511"/>
  </r>
  <r>
    <s v="CLI-01121"/>
    <x v="25"/>
    <n v="91"/>
    <s v="Illimité 50Go"/>
    <m/>
    <n v="90"/>
    <n v="39.14"/>
    <n v="3"/>
    <n v="0"/>
    <n v="0"/>
    <n v="512"/>
  </r>
  <r>
    <s v="CLI-01804"/>
    <x v="21"/>
    <n v="99"/>
    <s v="Pro Monde"/>
    <m/>
    <n v="42"/>
    <n v="98.77"/>
    <n v="3"/>
    <n v="0.1"/>
    <n v="9.8770000000000007"/>
    <n v="513"/>
  </r>
  <r>
    <s v="CLI-00782"/>
    <x v="23"/>
    <n v="59"/>
    <s v="Pro Monde"/>
    <m/>
    <n v="72"/>
    <n v="94.51"/>
    <n v="2"/>
    <n v="0.1"/>
    <n v="9.4510000000000005"/>
    <n v="514"/>
  </r>
  <r>
    <s v="CLI-00190"/>
    <x v="5"/>
    <n v="34"/>
    <s v="Bloqué 5Go"/>
    <m/>
    <n v="35"/>
    <n v="76.86"/>
    <n v="1"/>
    <n v="0"/>
    <n v="0"/>
    <n v="515"/>
  </r>
  <r>
    <s v="CLI-00817"/>
    <x v="13"/>
    <n v="61"/>
    <s v="Premium 5G 150Go"/>
    <m/>
    <n v="140"/>
    <n v="76.3"/>
    <n v="4"/>
    <n v="0"/>
    <n v="0"/>
    <n v="516"/>
  </r>
  <r>
    <s v="CLI-00523"/>
    <x v="21"/>
    <n v="33"/>
    <s v="Pro Monde"/>
    <m/>
    <n v="207"/>
    <n v="38.49"/>
    <n v="4"/>
    <n v="0.1"/>
    <n v="3.8490000000000002"/>
    <n v="517"/>
  </r>
  <r>
    <s v="CLI-00365"/>
    <x v="10"/>
    <n v="98"/>
    <s v="Pro Monde"/>
    <m/>
    <n v="41"/>
    <n v="23.55"/>
    <n v="1"/>
    <n v="0.1"/>
    <n v="2.355"/>
    <n v="518"/>
  </r>
  <r>
    <s v="CLI-00492"/>
    <x v="4"/>
    <n v="113"/>
    <s v="Pro Monde"/>
    <m/>
    <n v="152"/>
    <n v="51.28"/>
    <n v="4"/>
    <n v="0.1"/>
    <n v="5.1280000000000001"/>
    <n v="519"/>
  </r>
  <r>
    <s v="CLI-01485"/>
    <x v="8"/>
    <n v="57"/>
    <s v="Bloqué 5Go"/>
    <m/>
    <n v="447"/>
    <n v="23.27"/>
    <n v="3"/>
    <n v="0.45"/>
    <n v="10.471500000000001"/>
    <n v="520"/>
  </r>
  <r>
    <s v="CLI-01719"/>
    <x v="0"/>
    <n v="84"/>
    <s v="Bloqué 5Go"/>
    <m/>
    <n v="364"/>
    <n v="87.79"/>
    <n v="3"/>
    <n v="0.45"/>
    <n v="39.505500000000005"/>
    <n v="521"/>
  </r>
  <r>
    <s v="CLI-01739"/>
    <x v="17"/>
    <n v="119"/>
    <s v="Illimité 50Go"/>
    <m/>
    <n v="231"/>
    <n v="20.22"/>
    <n v="2"/>
    <n v="0"/>
    <n v="0"/>
    <n v="522"/>
  </r>
  <r>
    <s v="CLI-00427"/>
    <x v="11"/>
    <n v="18"/>
    <s v="Bloqué 5Go"/>
    <m/>
    <n v="446"/>
    <n v="97.3"/>
    <n v="5"/>
    <n v="0.45"/>
    <n v="43.784999999999997"/>
    <n v="523"/>
  </r>
  <r>
    <s v="CLI-00334"/>
    <x v="25"/>
    <n v="16"/>
    <s v="Pro Monde"/>
    <m/>
    <n v="214"/>
    <n v="46.57"/>
    <n v="5"/>
    <n v="0.1"/>
    <n v="4.657"/>
    <n v="524"/>
  </r>
  <r>
    <s v="CLI-01852"/>
    <x v="1"/>
    <n v="73"/>
    <s v="Pro Monde"/>
    <m/>
    <n v="268"/>
    <n v="56.86"/>
    <n v="5"/>
    <n v="0.1"/>
    <n v="5.6859999999999999"/>
    <n v="525"/>
  </r>
  <r>
    <s v="CLI-00825"/>
    <x v="24"/>
    <n v="63"/>
    <s v="Illimité 50Go"/>
    <m/>
    <n v="109"/>
    <n v="10.33"/>
    <n v="3"/>
    <n v="0"/>
    <n v="0"/>
    <n v="526"/>
  </r>
  <r>
    <s v="CLI-00584"/>
    <x v="15"/>
    <n v="6"/>
    <s v="Pro Monde"/>
    <m/>
    <n v="342"/>
    <n v="50.55"/>
    <n v="5"/>
    <n v="0.1"/>
    <n v="5.0549999999999997"/>
    <n v="527"/>
  </r>
  <r>
    <s v="CLI-01668"/>
    <x v="9"/>
    <n v="47"/>
    <s v="Premium 5G 150Go"/>
    <m/>
    <n v="457"/>
    <n v="84.93"/>
    <n v="2"/>
    <n v="0.45"/>
    <n v="38.218500000000006"/>
    <n v="528"/>
  </r>
  <r>
    <s v="CLI-01340"/>
    <x v="8"/>
    <n v="110"/>
    <s v="Bloqué 5Go"/>
    <m/>
    <n v="132"/>
    <n v="21.31"/>
    <n v="5"/>
    <n v="0"/>
    <n v="0"/>
    <n v="529"/>
  </r>
  <r>
    <s v="CLI-00316"/>
    <x v="8"/>
    <n v="37"/>
    <s v="Premium 5G 150Go"/>
    <m/>
    <n v="94"/>
    <n v="50.44"/>
    <n v="4"/>
    <n v="0.45"/>
    <n v="22.698"/>
    <n v="530"/>
  </r>
  <r>
    <s v="CLI-00247"/>
    <x v="12"/>
    <n v="52"/>
    <s v="Premium 5G 150Go"/>
    <m/>
    <n v="425"/>
    <n v="97.25"/>
    <n v="0"/>
    <n v="0.45"/>
    <n v="43.762500000000003"/>
    <n v="531"/>
  </r>
  <r>
    <s v="CLI-00612"/>
    <x v="13"/>
    <n v="53"/>
    <s v="Pro Monde"/>
    <m/>
    <n v="27"/>
    <n v="18.77"/>
    <n v="0"/>
    <n v="0.1"/>
    <n v="1.877"/>
    <n v="532"/>
  </r>
  <r>
    <s v="CLI-01006"/>
    <x v="22"/>
    <n v="110"/>
    <s v="Illimité 50Go"/>
    <m/>
    <n v="47"/>
    <n v="29.68"/>
    <n v="0"/>
    <n v="0"/>
    <n v="0"/>
    <n v="533"/>
  </r>
  <r>
    <s v="CLI-00886"/>
    <x v="2"/>
    <n v="80"/>
    <s v="Pro Monde"/>
    <m/>
    <n v="458"/>
    <n v="98.11"/>
    <n v="0"/>
    <n v="0.1"/>
    <n v="9.8109999999999999"/>
    <n v="534"/>
  </r>
  <r>
    <s v="CLI-00636"/>
    <x v="6"/>
    <n v="118"/>
    <s v="Bloqué 5Go"/>
    <m/>
    <n v="461"/>
    <n v="47.82"/>
    <n v="5"/>
    <n v="0.45"/>
    <n v="21.519000000000002"/>
    <n v="535"/>
  </r>
  <r>
    <s v="CLI-01403"/>
    <x v="14"/>
    <n v="88"/>
    <s v="Premium 5G 150Go"/>
    <m/>
    <n v="219"/>
    <n v="59.15"/>
    <n v="0"/>
    <n v="0"/>
    <n v="0"/>
    <n v="536"/>
  </r>
  <r>
    <s v="CLI-01236"/>
    <x v="5"/>
    <n v="17"/>
    <s v="Pro Monde"/>
    <m/>
    <n v="175"/>
    <n v="24.95"/>
    <n v="4"/>
    <n v="0.1"/>
    <n v="2.4950000000000001"/>
    <n v="537"/>
  </r>
  <r>
    <s v="CLI-00269"/>
    <x v="18"/>
    <n v="57"/>
    <s v="Bloqué 5Go"/>
    <m/>
    <n v="493"/>
    <n v="43.98"/>
    <n v="3"/>
    <n v="0.45"/>
    <n v="19.791"/>
    <n v="538"/>
  </r>
  <r>
    <s v="CLI-00736"/>
    <x v="13"/>
    <n v="47"/>
    <s v="Illimité 50Go"/>
    <m/>
    <n v="385"/>
    <n v="41.33"/>
    <n v="0"/>
    <n v="0.45"/>
    <n v="18.598500000000001"/>
    <n v="539"/>
  </r>
  <r>
    <s v="CLI-01363"/>
    <x v="25"/>
    <n v="66"/>
    <s v="Pro Monde"/>
    <m/>
    <n v="152"/>
    <n v="95.71"/>
    <n v="3"/>
    <n v="0.1"/>
    <n v="9.5709999999999997"/>
    <n v="540"/>
  </r>
  <r>
    <s v="CLI-00197"/>
    <x v="10"/>
    <n v="109"/>
    <s v="Illimité 50Go"/>
    <m/>
    <n v="84"/>
    <n v="97.46"/>
    <n v="5"/>
    <n v="0"/>
    <n v="0"/>
    <n v="541"/>
  </r>
  <r>
    <s v="CLI-01981"/>
    <x v="16"/>
    <n v="80"/>
    <s v="Illimité 50Go"/>
    <m/>
    <n v="101"/>
    <n v="61.92"/>
    <n v="4"/>
    <n v="0"/>
    <n v="0"/>
    <n v="542"/>
  </r>
  <r>
    <s v="CLI-01050"/>
    <x v="5"/>
    <n v="41"/>
    <s v="Premium 5G 150Go"/>
    <m/>
    <n v="178"/>
    <n v="11.29"/>
    <n v="4"/>
    <n v="0.45"/>
    <n v="5.0804999999999998"/>
    <n v="543"/>
  </r>
  <r>
    <s v="CLI-01783"/>
    <x v="5"/>
    <n v="48"/>
    <s v="Bloqué 5Go"/>
    <m/>
    <n v="482"/>
    <n v="83.24"/>
    <n v="0"/>
    <n v="0.45"/>
    <n v="37.457999999999998"/>
    <n v="544"/>
  </r>
  <r>
    <s v="CLI-01003"/>
    <x v="12"/>
    <n v="11"/>
    <s v="Pro Monde"/>
    <m/>
    <n v="214"/>
    <n v="11.46"/>
    <n v="5"/>
    <n v="0.1"/>
    <n v="1.1460000000000001"/>
    <n v="545"/>
  </r>
  <r>
    <s v="CLI-00913"/>
    <x v="6"/>
    <n v="88"/>
    <s v="Bloqué 5Go"/>
    <m/>
    <n v="246"/>
    <n v="90.7"/>
    <n v="3"/>
    <n v="0.45"/>
    <n v="40.815000000000005"/>
    <n v="546"/>
  </r>
  <r>
    <s v="CLI-00795"/>
    <x v="14"/>
    <n v="53"/>
    <s v="Premium 5G 150Go"/>
    <m/>
    <n v="243"/>
    <n v="55.19"/>
    <n v="4"/>
    <n v="0.45"/>
    <n v="24.8355"/>
    <n v="547"/>
  </r>
  <r>
    <s v="CLI-00976"/>
    <x v="23"/>
    <n v="65"/>
    <s v="Pro Monde"/>
    <m/>
    <n v="274"/>
    <n v="88.1"/>
    <n v="4"/>
    <n v="0.1"/>
    <n v="8.81"/>
    <n v="548"/>
  </r>
  <r>
    <s v="CLI-00550"/>
    <x v="21"/>
    <n v="58"/>
    <s v="Pro Monde"/>
    <m/>
    <n v="352"/>
    <n v="72.94"/>
    <n v="0"/>
    <n v="0.1"/>
    <n v="7.2940000000000005"/>
    <n v="549"/>
  </r>
  <r>
    <s v="CLI-01544"/>
    <x v="7"/>
    <n v="34"/>
    <s v="Illimité 50Go"/>
    <m/>
    <n v="401"/>
    <n v="68.400000000000006"/>
    <n v="5"/>
    <n v="0.45"/>
    <n v="30.780000000000005"/>
    <n v="550"/>
  </r>
  <r>
    <s v="CLI-01722"/>
    <x v="15"/>
    <n v="51"/>
    <s v="Illimité 50Go"/>
    <m/>
    <n v="152"/>
    <n v="34.630000000000003"/>
    <n v="2"/>
    <n v="0"/>
    <n v="0"/>
    <n v="551"/>
  </r>
  <r>
    <s v="CLI-01654"/>
    <x v="25"/>
    <n v="25"/>
    <s v="Bloqué 5Go"/>
    <m/>
    <n v="5"/>
    <n v="27.93"/>
    <n v="0"/>
    <n v="0"/>
    <n v="0"/>
    <n v="552"/>
  </r>
  <r>
    <s v="CLI-01847"/>
    <x v="23"/>
    <n v="79"/>
    <s v="Bloqué 5Go"/>
    <m/>
    <n v="462"/>
    <n v="18.28"/>
    <n v="0"/>
    <n v="0.45"/>
    <n v="8.2260000000000009"/>
    <n v="553"/>
  </r>
  <r>
    <s v="CLI-01816"/>
    <x v="16"/>
    <n v="83"/>
    <s v="Pro Monde"/>
    <m/>
    <n v="91"/>
    <n v="73.73"/>
    <n v="2"/>
    <n v="0.1"/>
    <n v="7.3730000000000011"/>
    <n v="554"/>
  </r>
  <r>
    <s v="CLI-00755"/>
    <x v="24"/>
    <n v="51"/>
    <s v="Bloqué 5Go"/>
    <m/>
    <n v="337"/>
    <n v="68.67"/>
    <n v="5"/>
    <n v="0.45"/>
    <n v="30.901500000000002"/>
    <n v="555"/>
  </r>
  <r>
    <s v="CLI-01258"/>
    <x v="14"/>
    <n v="107"/>
    <s v="Illimité 50Go"/>
    <m/>
    <n v="290"/>
    <n v="52.03"/>
    <n v="0"/>
    <n v="0.45"/>
    <n v="23.413500000000003"/>
    <n v="556"/>
  </r>
  <r>
    <s v="CLI-00382"/>
    <x v="9"/>
    <n v="7"/>
    <s v="Pro Monde"/>
    <m/>
    <n v="323"/>
    <n v="82.81"/>
    <n v="5"/>
    <n v="0.1"/>
    <n v="8.2810000000000006"/>
    <n v="557"/>
  </r>
  <r>
    <s v="CLI-00890"/>
    <x v="6"/>
    <n v="103"/>
    <s v="Premium 5G 150Go"/>
    <m/>
    <n v="310"/>
    <n v="49.25"/>
    <n v="2"/>
    <n v="0.45"/>
    <n v="22.162500000000001"/>
    <n v="558"/>
  </r>
  <r>
    <s v="CLI-01292"/>
    <x v="14"/>
    <n v="120"/>
    <s v="Illimité 50Go"/>
    <m/>
    <n v="437"/>
    <n v="95.17"/>
    <n v="1"/>
    <n v="0.45"/>
    <n v="42.826500000000003"/>
    <n v="559"/>
  </r>
  <r>
    <s v="CLI-00873"/>
    <x v="4"/>
    <n v="74"/>
    <s v="Illimité 50Go"/>
    <m/>
    <n v="16"/>
    <n v="93.01"/>
    <n v="3"/>
    <n v="0"/>
    <n v="0"/>
    <n v="560"/>
  </r>
  <r>
    <s v="CLI-00191"/>
    <x v="5"/>
    <n v="55"/>
    <s v="Illimité 50Go"/>
    <m/>
    <n v="60"/>
    <n v="32.51"/>
    <n v="4"/>
    <n v="0"/>
    <n v="0"/>
    <n v="561"/>
  </r>
  <r>
    <s v="CLI-00083"/>
    <x v="23"/>
    <n v="17"/>
    <s v="Premium 5G 150Go"/>
    <m/>
    <n v="499"/>
    <n v="27.81"/>
    <n v="2"/>
    <n v="0.45"/>
    <n v="12.5145"/>
    <n v="562"/>
  </r>
  <r>
    <s v="CLI-01052"/>
    <x v="0"/>
    <n v="82"/>
    <s v="Illimité 50Go"/>
    <m/>
    <n v="175"/>
    <n v="86.14"/>
    <n v="1"/>
    <n v="0"/>
    <n v="0"/>
    <n v="563"/>
  </r>
  <r>
    <s v="CLI-00700"/>
    <x v="2"/>
    <n v="50"/>
    <s v="Illimité 50Go"/>
    <m/>
    <n v="177"/>
    <n v="74.569999999999993"/>
    <n v="4"/>
    <n v="0"/>
    <n v="0"/>
    <n v="564"/>
  </r>
  <r>
    <s v="CLI-00950"/>
    <x v="11"/>
    <n v="94"/>
    <s v="Pro Monde"/>
    <m/>
    <n v="247"/>
    <n v="96.57"/>
    <n v="0"/>
    <n v="0.1"/>
    <n v="9.657"/>
    <n v="565"/>
  </r>
  <r>
    <s v="CLI-01386"/>
    <x v="5"/>
    <n v="23"/>
    <s v="Premium 5G 150Go"/>
    <m/>
    <n v="314"/>
    <n v="19.260000000000002"/>
    <n v="3"/>
    <n v="0.45"/>
    <n v="8.6670000000000016"/>
    <n v="566"/>
  </r>
  <r>
    <s v="CLI-01704"/>
    <x v="3"/>
    <n v="52"/>
    <s v="Bloqué 5Go"/>
    <m/>
    <n v="307"/>
    <n v="81.38"/>
    <n v="2"/>
    <n v="0.45"/>
    <n v="36.621000000000002"/>
    <n v="567"/>
  </r>
  <r>
    <s v="CLI-01327"/>
    <x v="24"/>
    <n v="116"/>
    <s v="Premium 5G 150Go"/>
    <m/>
    <n v="279"/>
    <n v="62.88"/>
    <n v="4"/>
    <n v="0.45"/>
    <n v="28.296000000000003"/>
    <n v="568"/>
  </r>
  <r>
    <s v="CLI-01406"/>
    <x v="18"/>
    <n v="41"/>
    <s v="Bloqué 5Go"/>
    <m/>
    <n v="2"/>
    <n v="24.91"/>
    <n v="1"/>
    <n v="0"/>
    <n v="0"/>
    <n v="569"/>
  </r>
  <r>
    <s v="CLI-00318"/>
    <x v="4"/>
    <n v="67"/>
    <s v="Illimité 50Go"/>
    <m/>
    <n v="81"/>
    <n v="28.52"/>
    <n v="4"/>
    <n v="0"/>
    <n v="0"/>
    <n v="570"/>
  </r>
  <r>
    <s v="CLI-01015"/>
    <x v="5"/>
    <n v="21"/>
    <s v="Bloqué 5Go"/>
    <m/>
    <n v="267"/>
    <n v="74.989999999999995"/>
    <n v="1"/>
    <n v="0.45"/>
    <n v="33.7455"/>
    <n v="571"/>
  </r>
  <r>
    <s v="CLI-01080"/>
    <x v="15"/>
    <n v="56"/>
    <s v="Bloqué 5Go"/>
    <m/>
    <n v="379"/>
    <n v="49.01"/>
    <n v="0"/>
    <n v="0.45"/>
    <n v="22.054500000000001"/>
    <n v="572"/>
  </r>
  <r>
    <s v="CLI-01290"/>
    <x v="20"/>
    <n v="30"/>
    <s v="Bloqué 5Go"/>
    <m/>
    <n v="130"/>
    <n v="50.15"/>
    <n v="4"/>
    <n v="0"/>
    <n v="0"/>
    <n v="573"/>
  </r>
  <r>
    <s v="CLI-01473"/>
    <x v="10"/>
    <n v="13"/>
    <s v="Pro Monde"/>
    <m/>
    <n v="474"/>
    <n v="63.67"/>
    <n v="2"/>
    <n v="0.1"/>
    <n v="6.3670000000000009"/>
    <n v="574"/>
  </r>
  <r>
    <s v="CLI-01075"/>
    <x v="19"/>
    <n v="91"/>
    <s v="Bloqué 5Go"/>
    <m/>
    <n v="62"/>
    <n v="34.450000000000003"/>
    <n v="5"/>
    <n v="0"/>
    <n v="0"/>
    <n v="575"/>
  </r>
  <r>
    <s v="CLI-01971"/>
    <x v="1"/>
    <n v="103"/>
    <s v="Bloqué 5Go"/>
    <m/>
    <n v="98"/>
    <n v="38.69"/>
    <n v="4"/>
    <n v="0"/>
    <n v="0"/>
    <n v="576"/>
  </r>
  <r>
    <s v="CLI-00596"/>
    <x v="19"/>
    <n v="17"/>
    <s v="Illimité 50Go"/>
    <m/>
    <n v="310"/>
    <n v="19.68"/>
    <n v="5"/>
    <n v="0.45"/>
    <n v="8.8559999999999999"/>
    <n v="577"/>
  </r>
  <r>
    <s v="CLI-01871"/>
    <x v="10"/>
    <n v="65"/>
    <s v="Premium 5G 150Go"/>
    <m/>
    <n v="15"/>
    <n v="44.47"/>
    <n v="0"/>
    <n v="0"/>
    <n v="0"/>
    <n v="578"/>
  </r>
  <r>
    <s v="CLI-00896"/>
    <x v="5"/>
    <n v="16"/>
    <s v="Premium 5G 150Go"/>
    <m/>
    <n v="274"/>
    <n v="27.97"/>
    <n v="4"/>
    <n v="0.45"/>
    <n v="12.586499999999999"/>
    <n v="579"/>
  </r>
  <r>
    <s v="CLI-00163"/>
    <x v="0"/>
    <n v="81"/>
    <s v="Illimité 50Go"/>
    <m/>
    <n v="11"/>
    <n v="41.76"/>
    <n v="5"/>
    <n v="0"/>
    <n v="0"/>
    <n v="580"/>
  </r>
  <r>
    <s v="CLI-00979"/>
    <x v="1"/>
    <n v="74"/>
    <s v="Bloqué 5Go"/>
    <m/>
    <n v="265"/>
    <n v="90.81"/>
    <n v="3"/>
    <n v="0.45"/>
    <n v="40.8645"/>
    <n v="581"/>
  </r>
  <r>
    <s v="CLI-00616"/>
    <x v="15"/>
    <n v="101"/>
    <s v="Bloqué 5Go"/>
    <m/>
    <n v="262"/>
    <n v="83.74"/>
    <n v="5"/>
    <n v="0.45"/>
    <n v="37.683"/>
    <n v="582"/>
  </r>
  <r>
    <s v="CLI-01578"/>
    <x v="18"/>
    <n v="51"/>
    <s v="Pro Monde"/>
    <m/>
    <n v="389"/>
    <n v="50.45"/>
    <n v="3"/>
    <n v="0.1"/>
    <n v="5.0450000000000008"/>
    <n v="583"/>
  </r>
  <r>
    <s v="CLI-01604"/>
    <x v="0"/>
    <n v="108"/>
    <s v="Premium 5G 150Go"/>
    <m/>
    <n v="78"/>
    <n v="90.05"/>
    <n v="2"/>
    <n v="0"/>
    <n v="0"/>
    <n v="584"/>
  </r>
  <r>
    <s v="CLI-01669"/>
    <x v="17"/>
    <n v="98"/>
    <s v="Illimité 50Go"/>
    <m/>
    <n v="110"/>
    <n v="96.23"/>
    <n v="2"/>
    <n v="0"/>
    <n v="0"/>
    <n v="585"/>
  </r>
  <r>
    <s v="CLI-01419"/>
    <x v="18"/>
    <n v="81"/>
    <s v="Pro Monde"/>
    <m/>
    <n v="443"/>
    <n v="32.78"/>
    <n v="1"/>
    <n v="0.1"/>
    <n v="3.2780000000000005"/>
    <n v="586"/>
  </r>
  <r>
    <s v="CLI-00510"/>
    <x v="18"/>
    <n v="118"/>
    <s v="Bloqué 5Go"/>
    <m/>
    <n v="186"/>
    <n v="46.88"/>
    <n v="1"/>
    <n v="0"/>
    <n v="0"/>
    <n v="587"/>
  </r>
  <r>
    <s v="CLI-01072"/>
    <x v="13"/>
    <n v="34"/>
    <s v="Pro Monde"/>
    <m/>
    <n v="58"/>
    <n v="64.349999999999994"/>
    <n v="0"/>
    <n v="0.1"/>
    <n v="6.4349999999999996"/>
    <n v="588"/>
  </r>
  <r>
    <s v="CLI-00876"/>
    <x v="5"/>
    <n v="108"/>
    <s v="Bloqué 5Go"/>
    <m/>
    <n v="460"/>
    <n v="88.95"/>
    <n v="3"/>
    <n v="0.45"/>
    <n v="40.027500000000003"/>
    <n v="589"/>
  </r>
  <r>
    <s v="CLI-00606"/>
    <x v="4"/>
    <n v="71"/>
    <s v="Pro Monde"/>
    <m/>
    <n v="111"/>
    <n v="95.53"/>
    <n v="3"/>
    <n v="0.1"/>
    <n v="9.5530000000000008"/>
    <n v="590"/>
  </r>
  <r>
    <s v="CLI-01165"/>
    <x v="20"/>
    <n v="21"/>
    <s v="Bloqué 5Go"/>
    <m/>
    <n v="15"/>
    <n v="57.74"/>
    <n v="0"/>
    <n v="0"/>
    <n v="0"/>
    <n v="591"/>
  </r>
  <r>
    <s v="CLI-00098"/>
    <x v="3"/>
    <n v="42"/>
    <s v="Pro Monde"/>
    <m/>
    <n v="167"/>
    <n v="45.85"/>
    <n v="2"/>
    <n v="0.1"/>
    <n v="4.585"/>
    <n v="592"/>
  </r>
  <r>
    <s v="CLI-01129"/>
    <x v="8"/>
    <n v="27"/>
    <s v="Bloqué 5Go"/>
    <m/>
    <n v="70"/>
    <n v="20.32"/>
    <n v="3"/>
    <n v="0"/>
    <n v="0"/>
    <n v="593"/>
  </r>
  <r>
    <s v="CLI-00157"/>
    <x v="21"/>
    <n v="12"/>
    <s v="Illimité 50Go"/>
    <m/>
    <n v="112"/>
    <n v="82.81"/>
    <n v="0"/>
    <n v="0"/>
    <n v="0"/>
    <n v="594"/>
  </r>
  <r>
    <s v="CLI-00093"/>
    <x v="21"/>
    <n v="12"/>
    <s v="Pro Monde"/>
    <m/>
    <n v="42"/>
    <n v="48.64"/>
    <n v="0"/>
    <n v="0.1"/>
    <n v="4.8640000000000008"/>
    <n v="595"/>
  </r>
  <r>
    <s v="CLI-01438"/>
    <x v="7"/>
    <n v="4"/>
    <s v="Pro Monde"/>
    <m/>
    <n v="372"/>
    <n v="26.73"/>
    <n v="3"/>
    <n v="0.1"/>
    <n v="2.673"/>
    <n v="596"/>
  </r>
  <r>
    <s v="CLI-00221"/>
    <x v="22"/>
    <n v="56"/>
    <s v="Premium 5G 150Go"/>
    <m/>
    <n v="354"/>
    <n v="32.08"/>
    <n v="1"/>
    <n v="0.45"/>
    <n v="14.436"/>
    <n v="597"/>
  </r>
  <r>
    <s v="CLI-01046"/>
    <x v="0"/>
    <n v="2"/>
    <s v="Pro Monde"/>
    <m/>
    <n v="481"/>
    <n v="29.37"/>
    <n v="4"/>
    <n v="0.1"/>
    <n v="2.9370000000000003"/>
    <n v="598"/>
  </r>
  <r>
    <s v="CLI-00871"/>
    <x v="15"/>
    <n v="81"/>
    <s v="Illimité 50Go"/>
    <m/>
    <n v="64"/>
    <n v="43.45"/>
    <n v="2"/>
    <n v="0"/>
    <n v="0"/>
    <n v="599"/>
  </r>
  <r>
    <s v="CLI-01820"/>
    <x v="16"/>
    <n v="99"/>
    <s v="Illimité 50Go"/>
    <m/>
    <n v="137"/>
    <n v="23.05"/>
    <n v="4"/>
    <n v="0"/>
    <n v="0"/>
    <n v="600"/>
  </r>
  <r>
    <s v="CLI-01530"/>
    <x v="10"/>
    <n v="18"/>
    <s v="Pro Monde"/>
    <m/>
    <n v="75"/>
    <n v="57.66"/>
    <n v="1"/>
    <n v="0.1"/>
    <n v="5.766"/>
    <n v="601"/>
  </r>
  <r>
    <s v="CLI-00952"/>
    <x v="18"/>
    <n v="14"/>
    <s v="Pro Monde"/>
    <m/>
    <n v="236"/>
    <n v="54.43"/>
    <n v="3"/>
    <n v="0.1"/>
    <n v="5.4430000000000005"/>
    <n v="602"/>
  </r>
  <r>
    <s v="CLI-01354"/>
    <x v="2"/>
    <n v="42"/>
    <s v="Bloqué 5Go"/>
    <m/>
    <n v="448"/>
    <n v="49.02"/>
    <n v="0"/>
    <n v="0.45"/>
    <n v="22.059000000000001"/>
    <n v="603"/>
  </r>
  <r>
    <s v="CLI-01410"/>
    <x v="5"/>
    <n v="111"/>
    <s v="Illimité 50Go"/>
    <m/>
    <n v="54"/>
    <n v="71.3"/>
    <n v="0"/>
    <n v="0"/>
    <n v="0"/>
    <n v="604"/>
  </r>
  <r>
    <s v="CLI-01868"/>
    <x v="22"/>
    <n v="89"/>
    <s v="Pro Monde"/>
    <m/>
    <n v="381"/>
    <n v="68.17"/>
    <n v="0"/>
    <n v="0.1"/>
    <n v="6.8170000000000002"/>
    <n v="605"/>
  </r>
  <r>
    <s v="CLI-00728"/>
    <x v="18"/>
    <n v="93"/>
    <s v="Pro Monde"/>
    <m/>
    <n v="56"/>
    <n v="96.31"/>
    <n v="4"/>
    <n v="0.1"/>
    <n v="9.6310000000000002"/>
    <n v="606"/>
  </r>
  <r>
    <s v="CLI-00522"/>
    <x v="23"/>
    <n v="56"/>
    <s v="Premium 5G 150Go"/>
    <m/>
    <n v="123"/>
    <n v="29.76"/>
    <n v="5"/>
    <n v="0.45"/>
    <n v="13.392000000000001"/>
    <n v="607"/>
  </r>
  <r>
    <s v="CLI-01542"/>
    <x v="10"/>
    <n v="29"/>
    <s v="Premium 5G 150Go"/>
    <m/>
    <n v="8"/>
    <n v="14.78"/>
    <n v="2"/>
    <n v="0.45"/>
    <n v="6.6509999999999998"/>
    <n v="608"/>
  </r>
  <r>
    <s v="CLI-00168"/>
    <x v="13"/>
    <n v="22"/>
    <s v="Pro Monde"/>
    <m/>
    <n v="457"/>
    <n v="13.21"/>
    <n v="1"/>
    <n v="0.1"/>
    <n v="1.3210000000000002"/>
    <n v="609"/>
  </r>
  <r>
    <s v="CLI-01619"/>
    <x v="24"/>
    <n v="12"/>
    <s v="Illimité 50Go"/>
    <m/>
    <n v="235"/>
    <n v="33.96"/>
    <n v="4"/>
    <n v="0"/>
    <n v="0"/>
    <n v="610"/>
  </r>
  <r>
    <s v="CLI-00034"/>
    <x v="17"/>
    <n v="25"/>
    <s v="Bloqué 5Go"/>
    <m/>
    <n v="95"/>
    <n v="15.93"/>
    <n v="4"/>
    <n v="0"/>
    <n v="0"/>
    <n v="611"/>
  </r>
  <r>
    <s v="CLI-00234"/>
    <x v="16"/>
    <n v="93"/>
    <s v="Premium 5G 150Go"/>
    <m/>
    <n v="136"/>
    <n v="19.09"/>
    <n v="1"/>
    <n v="0"/>
    <n v="0"/>
    <n v="612"/>
  </r>
  <r>
    <s v="CLI-01355"/>
    <x v="20"/>
    <n v="116"/>
    <s v="Premium 5G 150Go"/>
    <m/>
    <n v="14"/>
    <n v="30.38"/>
    <n v="1"/>
    <n v="0"/>
    <n v="0"/>
    <n v="613"/>
  </r>
  <r>
    <s v="CLI-01731"/>
    <x v="17"/>
    <n v="104"/>
    <s v="Bloqué 5Go"/>
    <m/>
    <n v="243"/>
    <n v="65.819999999999993"/>
    <n v="0"/>
    <n v="0.45"/>
    <n v="29.618999999999996"/>
    <n v="614"/>
  </r>
  <r>
    <s v="CLI-01622"/>
    <x v="21"/>
    <n v="48"/>
    <s v="Premium 5G 150Go"/>
    <m/>
    <n v="338"/>
    <n v="74.42"/>
    <n v="0"/>
    <n v="0.45"/>
    <n v="33.489000000000004"/>
    <n v="615"/>
  </r>
  <r>
    <s v="CLI-00374"/>
    <x v="2"/>
    <n v="105"/>
    <s v="Illimité 50Go"/>
    <m/>
    <n v="271"/>
    <n v="45.27"/>
    <n v="2"/>
    <n v="0.45"/>
    <n v="20.371500000000001"/>
    <n v="616"/>
  </r>
  <r>
    <s v="CLI-01861"/>
    <x v="18"/>
    <n v="116"/>
    <s v="Illimité 50Go"/>
    <m/>
    <n v="231"/>
    <n v="19.12"/>
    <n v="5"/>
    <n v="0"/>
    <n v="0"/>
    <n v="617"/>
  </r>
  <r>
    <s v="CLI-01432"/>
    <x v="12"/>
    <n v="69"/>
    <s v="Bloqué 5Go"/>
    <m/>
    <n v="180"/>
    <n v="76.05"/>
    <n v="2"/>
    <n v="0"/>
    <n v="0"/>
    <n v="618"/>
  </r>
  <r>
    <s v="CLI-00171"/>
    <x v="6"/>
    <n v="1"/>
    <s v="Bloqué 5Go"/>
    <m/>
    <n v="135"/>
    <n v="89.16"/>
    <n v="3"/>
    <n v="0"/>
    <n v="0"/>
    <n v="619"/>
  </r>
  <r>
    <s v="CLI-01535"/>
    <x v="14"/>
    <n v="120"/>
    <s v="Pro Monde"/>
    <m/>
    <n v="60"/>
    <n v="34.14"/>
    <n v="3"/>
    <n v="0.1"/>
    <n v="3.4140000000000001"/>
    <n v="620"/>
  </r>
  <r>
    <s v="CLI-01843"/>
    <x v="5"/>
    <n v="89"/>
    <s v="Bloqué 5Go"/>
    <m/>
    <n v="474"/>
    <n v="28.51"/>
    <n v="5"/>
    <n v="0.45"/>
    <n v="12.829500000000001"/>
    <n v="621"/>
  </r>
  <r>
    <s v="CLI-01780"/>
    <x v="0"/>
    <n v="112"/>
    <s v="Illimité 50Go"/>
    <m/>
    <n v="281"/>
    <n v="80.72"/>
    <n v="2"/>
    <n v="0.45"/>
    <n v="36.323999999999998"/>
    <n v="622"/>
  </r>
  <r>
    <s v="CLI-01203"/>
    <x v="3"/>
    <n v="7"/>
    <s v="Bloqué 5Go"/>
    <m/>
    <n v="43"/>
    <n v="41.29"/>
    <n v="4"/>
    <n v="0"/>
    <n v="0"/>
    <n v="623"/>
  </r>
  <r>
    <s v="CLI-00932"/>
    <x v="10"/>
    <n v="34"/>
    <s v="Illimité 50Go"/>
    <m/>
    <n v="181"/>
    <n v="35.92"/>
    <n v="2"/>
    <n v="0"/>
    <n v="0"/>
    <n v="624"/>
  </r>
  <r>
    <s v="CLI-01373"/>
    <x v="19"/>
    <n v="114"/>
    <s v="Pro Monde"/>
    <m/>
    <n v="220"/>
    <n v="63.67"/>
    <n v="5"/>
    <n v="0.1"/>
    <n v="6.3670000000000009"/>
    <n v="625"/>
  </r>
  <r>
    <s v="CLI-00922"/>
    <x v="21"/>
    <n v="101"/>
    <s v="Pro Monde"/>
    <m/>
    <n v="108"/>
    <n v="76.05"/>
    <n v="3"/>
    <n v="0.1"/>
    <n v="7.6050000000000004"/>
    <n v="626"/>
  </r>
  <r>
    <s v="CLI-01278"/>
    <x v="25"/>
    <n v="6"/>
    <s v="Illimité 50Go"/>
    <m/>
    <n v="77"/>
    <n v="18.48"/>
    <n v="2"/>
    <n v="0"/>
    <n v="0"/>
    <n v="627"/>
  </r>
  <r>
    <s v="CLI-00543"/>
    <x v="4"/>
    <n v="15"/>
    <s v="Pro Monde"/>
    <m/>
    <n v="203"/>
    <n v="55.29"/>
    <n v="2"/>
    <n v="0.1"/>
    <n v="5.5289999999999999"/>
    <n v="628"/>
  </r>
  <r>
    <s v="CLI-01728"/>
    <x v="24"/>
    <n v="7"/>
    <s v="Bloqué 5Go"/>
    <m/>
    <n v="257"/>
    <n v="73.040000000000006"/>
    <n v="3"/>
    <n v="0.45"/>
    <n v="32.868000000000002"/>
    <n v="629"/>
  </r>
  <r>
    <s v="CLI-00384"/>
    <x v="12"/>
    <n v="39"/>
    <s v="Premium 5G 150Go"/>
    <m/>
    <n v="220"/>
    <n v="52.91"/>
    <n v="0"/>
    <n v="0.45"/>
    <n v="23.8095"/>
    <n v="630"/>
  </r>
  <r>
    <s v="CLI-01496"/>
    <x v="16"/>
    <n v="10"/>
    <s v="Illimité 50Go"/>
    <m/>
    <n v="260"/>
    <n v="37.479999999999997"/>
    <n v="2"/>
    <n v="0.45"/>
    <n v="16.866"/>
    <n v="631"/>
  </r>
  <r>
    <s v="CLI-00380"/>
    <x v="25"/>
    <n v="34"/>
    <s v="Premium 5G 150Go"/>
    <m/>
    <n v="170"/>
    <n v="91.6"/>
    <n v="2"/>
    <n v="0.45"/>
    <n v="41.22"/>
    <n v="632"/>
  </r>
  <r>
    <s v="CLI-00161"/>
    <x v="21"/>
    <n v="43"/>
    <s v="Premium 5G 150Go"/>
    <m/>
    <n v="27"/>
    <n v="31.48"/>
    <n v="5"/>
    <n v="0.45"/>
    <n v="14.166"/>
    <n v="633"/>
  </r>
  <r>
    <s v="CLI-01238"/>
    <x v="6"/>
    <n v="89"/>
    <s v="Pro Monde"/>
    <m/>
    <n v="225"/>
    <n v="38.36"/>
    <n v="2"/>
    <n v="0.1"/>
    <n v="3.8360000000000003"/>
    <n v="634"/>
  </r>
  <r>
    <s v="CLI-00532"/>
    <x v="8"/>
    <n v="79"/>
    <s v="Illimité 50Go"/>
    <m/>
    <n v="139"/>
    <n v="16.25"/>
    <n v="4"/>
    <n v="0"/>
    <n v="0"/>
    <n v="635"/>
  </r>
  <r>
    <s v="CLI-01520"/>
    <x v="17"/>
    <n v="102"/>
    <s v="Bloqué 5Go"/>
    <m/>
    <n v="189"/>
    <n v="26.86"/>
    <n v="5"/>
    <n v="0"/>
    <n v="0"/>
    <n v="636"/>
  </r>
  <r>
    <s v="CLI-00889"/>
    <x v="24"/>
    <n v="104"/>
    <s v="Illimité 50Go"/>
    <m/>
    <n v="50"/>
    <n v="90.99"/>
    <n v="4"/>
    <n v="0"/>
    <n v="0"/>
    <n v="637"/>
  </r>
  <r>
    <s v="CLI-01095"/>
    <x v="10"/>
    <n v="49"/>
    <s v="Illimité 50Go"/>
    <m/>
    <n v="25"/>
    <n v="22.77"/>
    <n v="3"/>
    <n v="0"/>
    <n v="0"/>
    <n v="638"/>
  </r>
  <r>
    <s v="CLI-00037"/>
    <x v="11"/>
    <n v="35"/>
    <s v="Premium 5G 150Go"/>
    <m/>
    <n v="332"/>
    <n v="11.15"/>
    <n v="0"/>
    <n v="0.45"/>
    <n v="5.0175000000000001"/>
    <n v="639"/>
  </r>
  <r>
    <s v="CLI-01759"/>
    <x v="23"/>
    <n v="90"/>
    <s v="Pro Monde"/>
    <m/>
    <n v="195"/>
    <n v="52.71"/>
    <n v="2"/>
    <n v="0.1"/>
    <n v="5.2710000000000008"/>
    <n v="640"/>
  </r>
  <r>
    <s v="CLI-01629"/>
    <x v="6"/>
    <n v="22"/>
    <s v="Pro Monde"/>
    <m/>
    <n v="374"/>
    <n v="40.06"/>
    <n v="5"/>
    <n v="0.1"/>
    <n v="4.0060000000000002"/>
    <n v="641"/>
  </r>
  <r>
    <s v="CLI-00239"/>
    <x v="2"/>
    <n v="119"/>
    <s v="Illimité 50Go"/>
    <m/>
    <n v="475"/>
    <n v="25.98"/>
    <n v="4"/>
    <n v="0.45"/>
    <n v="11.691000000000001"/>
    <n v="642"/>
  </r>
  <r>
    <s v="CLI-00028"/>
    <x v="14"/>
    <n v="18"/>
    <s v="Pro Monde"/>
    <m/>
    <n v="216"/>
    <n v="33.74"/>
    <n v="5"/>
    <n v="0.1"/>
    <n v="3.3740000000000006"/>
    <n v="643"/>
  </r>
  <r>
    <s v="CLI-00352"/>
    <x v="4"/>
    <n v="75"/>
    <s v="Illimité 50Go"/>
    <m/>
    <n v="99"/>
    <n v="16.93"/>
    <n v="5"/>
    <n v="0"/>
    <n v="0"/>
    <n v="644"/>
  </r>
  <r>
    <s v="CLI-01503"/>
    <x v="8"/>
    <n v="59"/>
    <s v="Bloqué 5Go"/>
    <m/>
    <n v="150"/>
    <n v="71.13"/>
    <n v="0"/>
    <n v="0"/>
    <n v="0"/>
    <n v="645"/>
  </r>
  <r>
    <s v="CLI-00978"/>
    <x v="14"/>
    <n v="16"/>
    <s v="Premium 5G 150Go"/>
    <m/>
    <n v="96"/>
    <n v="86.78"/>
    <n v="1"/>
    <n v="0.45"/>
    <n v="39.051000000000002"/>
    <n v="646"/>
  </r>
  <r>
    <s v="CLI-01876"/>
    <x v="18"/>
    <n v="17"/>
    <s v="Pro Monde"/>
    <m/>
    <n v="206"/>
    <n v="63.46"/>
    <n v="3"/>
    <n v="0.1"/>
    <n v="6.3460000000000001"/>
    <n v="647"/>
  </r>
  <r>
    <s v="CLI-00830"/>
    <x v="15"/>
    <n v="41"/>
    <s v="Illimité 50Go"/>
    <m/>
    <n v="90"/>
    <n v="97.26"/>
    <n v="1"/>
    <n v="0"/>
    <n v="0"/>
    <n v="648"/>
  </r>
  <r>
    <s v="CLI-01507"/>
    <x v="17"/>
    <n v="111"/>
    <s v="Premium 5G 150Go"/>
    <m/>
    <n v="304"/>
    <n v="62.48"/>
    <n v="5"/>
    <n v="0.45"/>
    <n v="28.116"/>
    <n v="649"/>
  </r>
  <r>
    <s v="CLI-01969"/>
    <x v="18"/>
    <n v="19"/>
    <s v="Bloqué 5Go"/>
    <m/>
    <n v="141"/>
    <n v="53.95"/>
    <n v="1"/>
    <n v="0"/>
    <n v="0"/>
    <n v="650"/>
  </r>
  <r>
    <s v="CLI-00997"/>
    <x v="3"/>
    <n v="20"/>
    <s v="Bloqué 5Go"/>
    <m/>
    <n v="297"/>
    <n v="14.77"/>
    <n v="0"/>
    <n v="0.45"/>
    <n v="6.6464999999999996"/>
    <n v="651"/>
  </r>
  <r>
    <s v="CLI-00621"/>
    <x v="11"/>
    <n v="67"/>
    <s v="Premium 5G 150Go"/>
    <m/>
    <n v="262"/>
    <n v="28.46"/>
    <n v="3"/>
    <n v="0.45"/>
    <n v="12.807"/>
    <n v="652"/>
  </r>
  <r>
    <s v="CLI-01267"/>
    <x v="0"/>
    <n v="38"/>
    <s v="Illimité 50Go"/>
    <m/>
    <n v="191"/>
    <n v="22.97"/>
    <n v="3"/>
    <n v="0"/>
    <n v="0"/>
    <n v="653"/>
  </r>
  <r>
    <s v="CLI-01264"/>
    <x v="4"/>
    <n v="80"/>
    <s v="Bloqué 5Go"/>
    <m/>
    <n v="65"/>
    <n v="76.64"/>
    <n v="3"/>
    <n v="0"/>
    <n v="0"/>
    <n v="654"/>
  </r>
  <r>
    <s v="CLI-01600"/>
    <x v="9"/>
    <n v="72"/>
    <s v="Pro Monde"/>
    <m/>
    <n v="317"/>
    <n v="54.58"/>
    <n v="1"/>
    <n v="0.1"/>
    <n v="5.4580000000000002"/>
    <n v="655"/>
  </r>
  <r>
    <s v="CLI-01360"/>
    <x v="3"/>
    <n v="86"/>
    <s v="Premium 5G 150Go"/>
    <m/>
    <n v="278"/>
    <n v="30.12"/>
    <n v="0"/>
    <n v="0.45"/>
    <n v="13.554"/>
    <n v="656"/>
  </r>
  <r>
    <s v="CLI-01630"/>
    <x v="12"/>
    <n v="21"/>
    <s v="Illimité 50Go"/>
    <m/>
    <n v="460"/>
    <n v="70.81"/>
    <n v="2"/>
    <n v="0.45"/>
    <n v="31.864500000000003"/>
    <n v="657"/>
  </r>
  <r>
    <s v="CLI-00180"/>
    <x v="9"/>
    <n v="39"/>
    <s v="Pro Monde"/>
    <m/>
    <n v="289"/>
    <n v="86.7"/>
    <n v="3"/>
    <n v="0.1"/>
    <n v="8.67"/>
    <n v="658"/>
  </r>
  <r>
    <s v="CLI-00257"/>
    <x v="24"/>
    <n v="63"/>
    <s v="Pro Monde"/>
    <m/>
    <n v="449"/>
    <n v="37.08"/>
    <n v="0"/>
    <n v="0.1"/>
    <n v="3.7080000000000002"/>
    <n v="659"/>
  </r>
  <r>
    <s v="CLI-00277"/>
    <x v="2"/>
    <n v="37"/>
    <s v="Pro Monde"/>
    <m/>
    <n v="150"/>
    <n v="37.979999999999997"/>
    <n v="4"/>
    <n v="0.1"/>
    <n v="3.798"/>
    <n v="660"/>
  </r>
  <r>
    <s v="CLI-01714"/>
    <x v="14"/>
    <n v="9"/>
    <s v="Bloqué 5Go"/>
    <m/>
    <n v="27"/>
    <n v="99.02"/>
    <n v="3"/>
    <n v="0"/>
    <n v="0"/>
    <n v="661"/>
  </r>
  <r>
    <s v="CLI-01701"/>
    <x v="19"/>
    <n v="103"/>
    <s v="Premium 5G 150Go"/>
    <m/>
    <n v="386"/>
    <n v="10.58"/>
    <n v="0"/>
    <n v="0.45"/>
    <n v="4.7610000000000001"/>
    <n v="662"/>
  </r>
  <r>
    <s v="CLI-01949"/>
    <x v="2"/>
    <n v="38"/>
    <s v="Premium 5G 150Go"/>
    <m/>
    <n v="432"/>
    <n v="53.65"/>
    <n v="4"/>
    <n v="0.45"/>
    <n v="24.142499999999998"/>
    <n v="663"/>
  </r>
  <r>
    <s v="CLI-00033"/>
    <x v="1"/>
    <n v="2"/>
    <s v="Premium 5G 150Go"/>
    <m/>
    <n v="201"/>
    <n v="71.900000000000006"/>
    <n v="2"/>
    <n v="0.45"/>
    <n v="32.355000000000004"/>
    <n v="664"/>
  </r>
  <r>
    <s v="CLI-00386"/>
    <x v="16"/>
    <n v="59"/>
    <s v="Illimité 50Go"/>
    <m/>
    <n v="64"/>
    <n v="20.32"/>
    <n v="0"/>
    <n v="0"/>
    <n v="0"/>
    <n v="665"/>
  </r>
  <r>
    <s v="CLI-00055"/>
    <x v="23"/>
    <n v="6"/>
    <s v="Pro Monde"/>
    <m/>
    <n v="206"/>
    <n v="10"/>
    <n v="5"/>
    <n v="0.1"/>
    <n v="1"/>
    <n v="666"/>
  </r>
  <r>
    <s v="CLI-00429"/>
    <x v="20"/>
    <n v="28"/>
    <s v="Premium 5G 150Go"/>
    <m/>
    <n v="343"/>
    <n v="64.34"/>
    <n v="5"/>
    <n v="0.45"/>
    <n v="28.953000000000003"/>
    <n v="667"/>
  </r>
  <r>
    <s v="CLI-00986"/>
    <x v="7"/>
    <n v="37"/>
    <s v="Illimité 50Go"/>
    <m/>
    <n v="3"/>
    <n v="20.89"/>
    <n v="5"/>
    <n v="0"/>
    <n v="0"/>
    <n v="668"/>
  </r>
  <r>
    <s v="CLI-01329"/>
    <x v="19"/>
    <n v="106"/>
    <s v="Illimité 50Go"/>
    <m/>
    <n v="236"/>
    <n v="18.72"/>
    <n v="4"/>
    <n v="0"/>
    <n v="0"/>
    <n v="669"/>
  </r>
  <r>
    <s v="CLI-00298"/>
    <x v="1"/>
    <n v="76"/>
    <s v="Premium 5G 150Go"/>
    <m/>
    <n v="413"/>
    <n v="28.39"/>
    <n v="3"/>
    <n v="0.45"/>
    <n v="12.775500000000001"/>
    <n v="670"/>
  </r>
  <r>
    <s v="CLI-00496"/>
    <x v="4"/>
    <n v="16"/>
    <s v="Illimité 50Go"/>
    <m/>
    <n v="390"/>
    <n v="52.64"/>
    <n v="0"/>
    <n v="0.45"/>
    <n v="23.688000000000002"/>
    <n v="671"/>
  </r>
  <r>
    <s v="CLI-01591"/>
    <x v="21"/>
    <n v="7"/>
    <s v="Pro Monde"/>
    <m/>
    <n v="447"/>
    <n v="84.95"/>
    <n v="2"/>
    <n v="0.1"/>
    <n v="8.495000000000001"/>
    <n v="672"/>
  </r>
  <r>
    <s v="CLI-01283"/>
    <x v="24"/>
    <n v="63"/>
    <s v="Illimité 50Go"/>
    <m/>
    <n v="265"/>
    <n v="49.94"/>
    <n v="1"/>
    <n v="0.45"/>
    <n v="22.472999999999999"/>
    <n v="673"/>
  </r>
  <r>
    <s v="CLI-01104"/>
    <x v="22"/>
    <n v="40"/>
    <s v="Premium 5G 150Go"/>
    <m/>
    <n v="235"/>
    <n v="15.01"/>
    <n v="3"/>
    <n v="0.45"/>
    <n v="6.7545000000000002"/>
    <n v="674"/>
  </r>
  <r>
    <s v="CLI-01339"/>
    <x v="0"/>
    <n v="1"/>
    <s v="Premium 5G 150Go"/>
    <m/>
    <n v="429"/>
    <n v="20.96"/>
    <n v="5"/>
    <n v="0.45"/>
    <n v="9.4320000000000004"/>
    <n v="675"/>
  </r>
  <r>
    <s v="CLI-00177"/>
    <x v="19"/>
    <n v="56"/>
    <s v="Bloqué 5Go"/>
    <m/>
    <n v="27"/>
    <n v="46.41"/>
    <n v="3"/>
    <n v="0"/>
    <n v="0"/>
    <n v="676"/>
  </r>
  <r>
    <s v="CLI-01848"/>
    <x v="10"/>
    <n v="46"/>
    <s v="Premium 5G 150Go"/>
    <m/>
    <n v="43"/>
    <n v="98.44"/>
    <n v="2"/>
    <n v="0.45"/>
    <n v="44.298000000000002"/>
    <n v="677"/>
  </r>
  <r>
    <s v="CLI-01436"/>
    <x v="9"/>
    <n v="85"/>
    <s v="Pro Monde"/>
    <m/>
    <n v="28"/>
    <n v="83.82"/>
    <n v="0"/>
    <n v="0.1"/>
    <n v="8.3819999999999997"/>
    <n v="678"/>
  </r>
  <r>
    <s v="CLI-01555"/>
    <x v="17"/>
    <n v="107"/>
    <s v="Illimité 50Go"/>
    <m/>
    <n v="138"/>
    <n v="85.75"/>
    <n v="1"/>
    <n v="0"/>
    <n v="0"/>
    <n v="679"/>
  </r>
  <r>
    <s v="CLI-00971"/>
    <x v="22"/>
    <n v="1"/>
    <s v="Pro Monde"/>
    <m/>
    <n v="424"/>
    <n v="59.2"/>
    <n v="2"/>
    <n v="0.1"/>
    <n v="5.9200000000000008"/>
    <n v="680"/>
  </r>
  <r>
    <s v="CLI-01998"/>
    <x v="20"/>
    <n v="7"/>
    <s v="Pro Monde"/>
    <m/>
    <n v="332"/>
    <n v="83.95"/>
    <n v="4"/>
    <n v="0.1"/>
    <n v="8.3950000000000014"/>
    <n v="681"/>
  </r>
  <r>
    <s v="CLI-00045"/>
    <x v="11"/>
    <n v="33"/>
    <s v="Bloqué 5Go"/>
    <m/>
    <n v="54"/>
    <n v="71.319999999999993"/>
    <n v="4"/>
    <n v="0"/>
    <n v="0"/>
    <n v="682"/>
  </r>
  <r>
    <s v="CLI-01543"/>
    <x v="21"/>
    <n v="18"/>
    <s v="Illimité 50Go"/>
    <m/>
    <n v="170"/>
    <n v="87.34"/>
    <n v="1"/>
    <n v="0"/>
    <n v="0"/>
    <n v="683"/>
  </r>
  <r>
    <s v="CLI-00341"/>
    <x v="8"/>
    <n v="45"/>
    <s v="Pro Monde"/>
    <m/>
    <n v="304"/>
    <n v="65.540000000000006"/>
    <n v="2"/>
    <n v="0.1"/>
    <n v="6.5540000000000012"/>
    <n v="684"/>
  </r>
  <r>
    <s v="CLI-00313"/>
    <x v="14"/>
    <n v="113"/>
    <s v="Premium 5G 150Go"/>
    <m/>
    <n v="49"/>
    <n v="48.91"/>
    <n v="5"/>
    <n v="0"/>
    <n v="0"/>
    <n v="685"/>
  </r>
  <r>
    <s v="CLI-00912"/>
    <x v="0"/>
    <n v="37"/>
    <s v="Premium 5G 150Go"/>
    <m/>
    <n v="420"/>
    <n v="67.260000000000005"/>
    <n v="4"/>
    <n v="0.45"/>
    <n v="30.267000000000003"/>
    <n v="686"/>
  </r>
  <r>
    <s v="CLI-01595"/>
    <x v="5"/>
    <n v="101"/>
    <s v="Pro Monde"/>
    <m/>
    <n v="148"/>
    <n v="26.63"/>
    <n v="3"/>
    <n v="0.1"/>
    <n v="2.6630000000000003"/>
    <n v="687"/>
  </r>
  <r>
    <s v="CLI-00966"/>
    <x v="23"/>
    <n v="110"/>
    <s v="Premium 5G 150Go"/>
    <m/>
    <n v="289"/>
    <n v="83.67"/>
    <n v="4"/>
    <n v="0.45"/>
    <n v="37.651499999999999"/>
    <n v="688"/>
  </r>
  <r>
    <s v="CLI-01975"/>
    <x v="22"/>
    <n v="65"/>
    <s v="Pro Monde"/>
    <m/>
    <n v="246"/>
    <n v="69.17"/>
    <n v="0"/>
    <n v="0.1"/>
    <n v="6.9170000000000007"/>
    <n v="689"/>
  </r>
  <r>
    <s v="CLI-00921"/>
    <x v="5"/>
    <n v="86"/>
    <s v="Pro Monde"/>
    <m/>
    <n v="353"/>
    <n v="25.37"/>
    <n v="1"/>
    <n v="0.1"/>
    <n v="2.5370000000000004"/>
    <n v="690"/>
  </r>
  <r>
    <s v="CLI-01199"/>
    <x v="5"/>
    <n v="99"/>
    <s v="Pro Monde"/>
    <m/>
    <n v="169"/>
    <n v="76.75"/>
    <n v="5"/>
    <n v="0.1"/>
    <n v="7.6750000000000007"/>
    <n v="691"/>
  </r>
  <r>
    <s v="CLI-00497"/>
    <x v="4"/>
    <n v="72"/>
    <s v="Pro Monde"/>
    <m/>
    <n v="442"/>
    <n v="59.2"/>
    <n v="1"/>
    <n v="0.1"/>
    <n v="5.9200000000000008"/>
    <n v="692"/>
  </r>
  <r>
    <s v="CLI-00413"/>
    <x v="10"/>
    <n v="20"/>
    <s v="Pro Monde"/>
    <m/>
    <n v="31"/>
    <n v="52.85"/>
    <n v="2"/>
    <n v="0.1"/>
    <n v="5.2850000000000001"/>
    <n v="693"/>
  </r>
  <r>
    <s v="CLI-00604"/>
    <x v="14"/>
    <n v="12"/>
    <s v="Bloqué 5Go"/>
    <m/>
    <n v="62"/>
    <n v="36.1"/>
    <n v="5"/>
    <n v="0"/>
    <n v="0"/>
    <n v="694"/>
  </r>
  <r>
    <s v="CLI-01167"/>
    <x v="18"/>
    <n v="92"/>
    <s v="Bloqué 5Go"/>
    <m/>
    <n v="379"/>
    <n v="70.08"/>
    <n v="5"/>
    <n v="0.45"/>
    <n v="31.536000000000001"/>
    <n v="695"/>
  </r>
  <r>
    <s v="CLI-00803"/>
    <x v="6"/>
    <n v="35"/>
    <s v="Pro Monde"/>
    <m/>
    <n v="299"/>
    <n v="96.32"/>
    <n v="4"/>
    <n v="0.1"/>
    <n v="9.6319999999999997"/>
    <n v="696"/>
  </r>
  <r>
    <s v="CLI-00105"/>
    <x v="1"/>
    <n v="19"/>
    <s v="Bloqué 5Go"/>
    <m/>
    <n v="345"/>
    <n v="54.37"/>
    <n v="2"/>
    <n v="0.45"/>
    <n v="24.4665"/>
    <n v="697"/>
  </r>
  <r>
    <s v="CLI-00684"/>
    <x v="13"/>
    <n v="94"/>
    <s v="Illimité 50Go"/>
    <m/>
    <n v="261"/>
    <n v="70.09"/>
    <n v="3"/>
    <n v="0.45"/>
    <n v="31.540500000000002"/>
    <n v="698"/>
  </r>
  <r>
    <s v="CLI-01851"/>
    <x v="23"/>
    <n v="26"/>
    <s v="Premium 5G 150Go"/>
    <m/>
    <n v="378"/>
    <n v="45.21"/>
    <n v="5"/>
    <n v="0.45"/>
    <n v="20.3445"/>
    <n v="699"/>
  </r>
  <r>
    <s v="CLI-00211"/>
    <x v="1"/>
    <n v="56"/>
    <s v="Illimité 50Go"/>
    <m/>
    <n v="367"/>
    <n v="72.790000000000006"/>
    <n v="1"/>
    <n v="0.45"/>
    <n v="32.755500000000005"/>
    <n v="700"/>
  </r>
  <r>
    <s v="CLI-01442"/>
    <x v="10"/>
    <n v="97"/>
    <s v="Bloqué 5Go"/>
    <m/>
    <n v="173"/>
    <n v="19.37"/>
    <n v="5"/>
    <n v="0"/>
    <n v="0"/>
    <n v="701"/>
  </r>
  <r>
    <s v="CLI-00885"/>
    <x v="24"/>
    <n v="54"/>
    <s v="Illimité 50Go"/>
    <m/>
    <n v="215"/>
    <n v="54.69"/>
    <n v="0"/>
    <n v="0"/>
    <n v="0"/>
    <n v="702"/>
  </r>
  <r>
    <s v="CLI-00852"/>
    <x v="12"/>
    <n v="119"/>
    <s v="Bloqué 5Go"/>
    <m/>
    <n v="133"/>
    <n v="30.27"/>
    <n v="5"/>
    <n v="0"/>
    <n v="0"/>
    <n v="703"/>
  </r>
  <r>
    <s v="CLI-01016"/>
    <x v="2"/>
    <n v="9"/>
    <s v="Illimité 50Go"/>
    <m/>
    <n v="102"/>
    <n v="41.52"/>
    <n v="0"/>
    <n v="0"/>
    <n v="0"/>
    <n v="704"/>
  </r>
  <r>
    <s v="CLI-01186"/>
    <x v="6"/>
    <n v="8"/>
    <s v="Bloqué 5Go"/>
    <m/>
    <n v="171"/>
    <n v="52.98"/>
    <n v="0"/>
    <n v="0"/>
    <n v="0"/>
    <n v="705"/>
  </r>
  <r>
    <s v="CLI-01221"/>
    <x v="24"/>
    <n v="79"/>
    <s v="Premium 5G 150Go"/>
    <m/>
    <n v="454"/>
    <n v="80.34"/>
    <n v="2"/>
    <n v="0.45"/>
    <n v="36.153000000000006"/>
    <n v="706"/>
  </r>
  <r>
    <s v="CLI-01136"/>
    <x v="6"/>
    <n v="33"/>
    <s v="Pro Monde"/>
    <m/>
    <n v="391"/>
    <n v="88.88"/>
    <n v="4"/>
    <n v="0.1"/>
    <n v="8.8879999999999999"/>
    <n v="707"/>
  </r>
  <r>
    <s v="CLI-01797"/>
    <x v="8"/>
    <n v="15"/>
    <s v="Bloqué 5Go"/>
    <m/>
    <n v="30"/>
    <n v="30.5"/>
    <n v="1"/>
    <n v="0"/>
    <n v="0"/>
    <n v="708"/>
  </r>
  <r>
    <s v="CLI-01995"/>
    <x v="1"/>
    <n v="5"/>
    <s v="Premium 5G 150Go"/>
    <m/>
    <n v="71"/>
    <n v="93.81"/>
    <n v="3"/>
    <n v="0.45"/>
    <n v="42.214500000000001"/>
    <n v="709"/>
  </r>
  <r>
    <s v="CLI-00999"/>
    <x v="7"/>
    <n v="109"/>
    <s v="Illimité 50Go"/>
    <m/>
    <n v="104"/>
    <n v="12.37"/>
    <n v="5"/>
    <n v="0"/>
    <n v="0"/>
    <n v="710"/>
  </r>
  <r>
    <s v="CLI-00819"/>
    <x v="22"/>
    <n v="96"/>
    <s v="Pro Monde"/>
    <m/>
    <n v="280"/>
    <n v="80.36"/>
    <n v="5"/>
    <n v="0.1"/>
    <n v="8.0359999999999996"/>
    <n v="711"/>
  </r>
  <r>
    <s v="CLI-01977"/>
    <x v="11"/>
    <n v="10"/>
    <s v="Illimité 50Go"/>
    <m/>
    <n v="418"/>
    <n v="27.66"/>
    <n v="2"/>
    <n v="0.45"/>
    <n v="12.447000000000001"/>
    <n v="712"/>
  </r>
  <r>
    <s v="CLI-01765"/>
    <x v="20"/>
    <n v="57"/>
    <s v="Illimité 50Go"/>
    <m/>
    <n v="375"/>
    <n v="64.73"/>
    <n v="1"/>
    <n v="0.45"/>
    <n v="29.128500000000003"/>
    <n v="713"/>
  </r>
  <r>
    <s v="CLI-01211"/>
    <x v="25"/>
    <n v="98"/>
    <s v="Pro Monde"/>
    <m/>
    <n v="168"/>
    <n v="44.14"/>
    <n v="3"/>
    <n v="0.1"/>
    <n v="4.4140000000000006"/>
    <n v="714"/>
  </r>
  <r>
    <s v="CLI-01253"/>
    <x v="1"/>
    <n v="48"/>
    <s v="Premium 5G 150Go"/>
    <m/>
    <n v="473"/>
    <n v="71.52"/>
    <n v="5"/>
    <n v="0.45"/>
    <n v="32.183999999999997"/>
    <n v="715"/>
  </r>
  <r>
    <s v="CLI-01000"/>
    <x v="20"/>
    <n v="78"/>
    <s v="Premium 5G 150Go"/>
    <m/>
    <n v="387"/>
    <n v="11.63"/>
    <n v="2"/>
    <n v="0.45"/>
    <n v="5.2335000000000003"/>
    <n v="716"/>
  </r>
  <r>
    <s v="CLI-00475"/>
    <x v="19"/>
    <n v="81"/>
    <s v="Illimité 50Go"/>
    <m/>
    <n v="339"/>
    <n v="53.4"/>
    <n v="2"/>
    <n v="0.45"/>
    <n v="24.03"/>
    <n v="717"/>
  </r>
  <r>
    <s v="CLI-00125"/>
    <x v="13"/>
    <n v="108"/>
    <s v="Bloqué 5Go"/>
    <m/>
    <n v="467"/>
    <n v="44.84"/>
    <n v="4"/>
    <n v="0.45"/>
    <n v="20.178000000000001"/>
    <n v="718"/>
  </r>
  <r>
    <s v="CLI-01082"/>
    <x v="11"/>
    <n v="4"/>
    <s v="Pro Monde"/>
    <m/>
    <n v="449"/>
    <n v="43.95"/>
    <n v="2"/>
    <n v="0.1"/>
    <n v="4.3950000000000005"/>
    <n v="719"/>
  </r>
  <r>
    <s v="CLI-00039"/>
    <x v="21"/>
    <n v="119"/>
    <s v="Pro Monde"/>
    <m/>
    <n v="31"/>
    <n v="21.27"/>
    <n v="5"/>
    <n v="0.1"/>
    <n v="2.1270000000000002"/>
    <n v="720"/>
  </r>
  <r>
    <s v="CLI-01832"/>
    <x v="22"/>
    <n v="23"/>
    <s v="Pro Monde"/>
    <m/>
    <n v="120"/>
    <n v="73.12"/>
    <n v="1"/>
    <n v="0.1"/>
    <n v="7.3120000000000012"/>
    <n v="721"/>
  </r>
  <r>
    <s v="CLI-01181"/>
    <x v="22"/>
    <n v="42"/>
    <s v="Bloqué 5Go"/>
    <m/>
    <n v="252"/>
    <n v="59.46"/>
    <n v="4"/>
    <n v="0.45"/>
    <n v="26.757000000000001"/>
    <n v="722"/>
  </r>
  <r>
    <s v="CLI-01589"/>
    <x v="4"/>
    <n v="14"/>
    <s v="Bloqué 5Go"/>
    <m/>
    <n v="37"/>
    <n v="20.399999999999999"/>
    <n v="2"/>
    <n v="0"/>
    <n v="0"/>
    <n v="723"/>
  </r>
  <r>
    <s v="CLI-01134"/>
    <x v="22"/>
    <n v="90"/>
    <s v="Illimité 50Go"/>
    <m/>
    <n v="412"/>
    <n v="20.62"/>
    <n v="2"/>
    <n v="0.45"/>
    <n v="9.2789999999999999"/>
    <n v="724"/>
  </r>
  <r>
    <s v="CLI-01966"/>
    <x v="8"/>
    <n v="58"/>
    <s v="Premium 5G 150Go"/>
    <m/>
    <n v="485"/>
    <n v="65.41"/>
    <n v="5"/>
    <n v="0.45"/>
    <n v="29.4345"/>
    <n v="725"/>
  </r>
  <r>
    <s v="CLI-00549"/>
    <x v="24"/>
    <n v="49"/>
    <s v="Bloqué 5Go"/>
    <m/>
    <n v="288"/>
    <n v="91.32"/>
    <n v="4"/>
    <n v="0.45"/>
    <n v="41.094000000000001"/>
    <n v="726"/>
  </r>
  <r>
    <s v="CLI-00855"/>
    <x v="12"/>
    <n v="18"/>
    <s v="Bloqué 5Go"/>
    <m/>
    <n v="463"/>
    <n v="41.66"/>
    <n v="4"/>
    <n v="0.45"/>
    <n v="18.747"/>
    <n v="727"/>
  </r>
  <r>
    <s v="CLI-00970"/>
    <x v="17"/>
    <n v="82"/>
    <s v="Pro Monde"/>
    <m/>
    <n v="312"/>
    <n v="40.880000000000003"/>
    <n v="0"/>
    <n v="0.1"/>
    <n v="4.0880000000000001"/>
    <n v="728"/>
  </r>
  <r>
    <s v="CLI-01890"/>
    <x v="18"/>
    <n v="74"/>
    <s v="Illimité 50Go"/>
    <m/>
    <n v="359"/>
    <n v="92.63"/>
    <n v="0"/>
    <n v="0.45"/>
    <n v="41.683500000000002"/>
    <n v="729"/>
  </r>
  <r>
    <s v="CLI-01566"/>
    <x v="3"/>
    <n v="72"/>
    <s v="Bloqué 5Go"/>
    <m/>
    <n v="427"/>
    <n v="31.44"/>
    <n v="2"/>
    <n v="0.45"/>
    <n v="14.148000000000001"/>
    <n v="730"/>
  </r>
  <r>
    <s v="CLI-00711"/>
    <x v="7"/>
    <n v="26"/>
    <s v="Premium 5G 150Go"/>
    <m/>
    <n v="391"/>
    <n v="18.28"/>
    <n v="3"/>
    <n v="0.45"/>
    <n v="8.2260000000000009"/>
    <n v="731"/>
  </r>
  <r>
    <s v="CLI-00919"/>
    <x v="15"/>
    <n v="26"/>
    <s v="Bloqué 5Go"/>
    <m/>
    <n v="413"/>
    <n v="10.9"/>
    <n v="5"/>
    <n v="0.45"/>
    <n v="4.9050000000000002"/>
    <n v="732"/>
  </r>
  <r>
    <s v="CLI-01568"/>
    <x v="14"/>
    <n v="33"/>
    <s v="Illimité 50Go"/>
    <m/>
    <n v="18"/>
    <n v="47.18"/>
    <n v="4"/>
    <n v="0"/>
    <n v="0"/>
    <n v="733"/>
  </r>
  <r>
    <s v="CLI-01479"/>
    <x v="1"/>
    <n v="63"/>
    <s v="Premium 5G 150Go"/>
    <m/>
    <n v="177"/>
    <n v="77.73"/>
    <n v="3"/>
    <n v="0"/>
    <n v="0"/>
    <n v="734"/>
  </r>
  <r>
    <s v="CLI-00331"/>
    <x v="14"/>
    <n v="57"/>
    <s v="Premium 5G 150Go"/>
    <m/>
    <n v="36"/>
    <n v="82.7"/>
    <n v="2"/>
    <n v="0.45"/>
    <n v="37.215000000000003"/>
    <n v="735"/>
  </r>
  <r>
    <s v="CLI-01697"/>
    <x v="6"/>
    <n v="87"/>
    <s v="Pro Monde"/>
    <m/>
    <n v="486"/>
    <n v="58.26"/>
    <n v="0"/>
    <n v="0.1"/>
    <n v="5.8260000000000005"/>
    <n v="736"/>
  </r>
  <r>
    <s v="CLI-00394"/>
    <x v="1"/>
    <n v="37"/>
    <s v="Premium 5G 150Go"/>
    <m/>
    <n v="213"/>
    <n v="14.12"/>
    <n v="1"/>
    <n v="0.45"/>
    <n v="6.3540000000000001"/>
    <n v="737"/>
  </r>
  <r>
    <s v="CLI-00962"/>
    <x v="6"/>
    <n v="29"/>
    <s v="Bloqué 5Go"/>
    <m/>
    <n v="306"/>
    <n v="82.16"/>
    <n v="1"/>
    <n v="0.45"/>
    <n v="36.972000000000001"/>
    <n v="738"/>
  </r>
  <r>
    <s v="CLI-00705"/>
    <x v="21"/>
    <n v="26"/>
    <s v="Illimité 50Go"/>
    <m/>
    <n v="378"/>
    <n v="88.59"/>
    <n v="4"/>
    <n v="0.45"/>
    <n v="39.865500000000004"/>
    <n v="739"/>
  </r>
  <r>
    <s v="CLI-00898"/>
    <x v="25"/>
    <n v="95"/>
    <s v="Premium 5G 150Go"/>
    <m/>
    <n v="313"/>
    <n v="32.49"/>
    <n v="1"/>
    <n v="0.45"/>
    <n v="14.620500000000002"/>
    <n v="740"/>
  </r>
  <r>
    <s v="CLI-00476"/>
    <x v="15"/>
    <n v="21"/>
    <s v="Bloqué 5Go"/>
    <m/>
    <n v="475"/>
    <n v="15.12"/>
    <n v="2"/>
    <n v="0.45"/>
    <n v="6.8039999999999994"/>
    <n v="741"/>
  </r>
  <r>
    <s v="CLI-01040"/>
    <x v="25"/>
    <n v="56"/>
    <s v="Illimité 50Go"/>
    <m/>
    <n v="41"/>
    <n v="15.1"/>
    <n v="5"/>
    <n v="0"/>
    <n v="0"/>
    <n v="742"/>
  </r>
  <r>
    <s v="CLI-00450"/>
    <x v="5"/>
    <n v="105"/>
    <s v="Premium 5G 150Go"/>
    <m/>
    <n v="454"/>
    <n v="49.47"/>
    <n v="4"/>
    <n v="0.45"/>
    <n v="22.261500000000002"/>
    <n v="743"/>
  </r>
  <r>
    <s v="CLI-01204"/>
    <x v="3"/>
    <n v="68"/>
    <s v="Pro Monde"/>
    <m/>
    <n v="282"/>
    <n v="35.43"/>
    <n v="1"/>
    <n v="0.1"/>
    <n v="3.5430000000000001"/>
    <n v="744"/>
  </r>
  <r>
    <s v="CLI-01830"/>
    <x v="5"/>
    <n v="104"/>
    <s v="Bloqué 5Go"/>
    <m/>
    <n v="245"/>
    <n v="38.270000000000003"/>
    <n v="0"/>
    <n v="0.45"/>
    <n v="17.221500000000002"/>
    <n v="745"/>
  </r>
  <r>
    <s v="CLI-01488"/>
    <x v="15"/>
    <n v="102"/>
    <s v="Bloqué 5Go"/>
    <m/>
    <n v="484"/>
    <n v="64.22"/>
    <n v="2"/>
    <n v="0.45"/>
    <n v="28.899000000000001"/>
    <n v="746"/>
  </r>
  <r>
    <s v="CLI-00960"/>
    <x v="14"/>
    <n v="25"/>
    <s v="Pro Monde"/>
    <m/>
    <n v="66"/>
    <n v="90.14"/>
    <n v="5"/>
    <n v="0.1"/>
    <n v="9.0140000000000011"/>
    <n v="747"/>
  </r>
  <r>
    <s v="CLI-01463"/>
    <x v="7"/>
    <n v="12"/>
    <s v="Premium 5G 150Go"/>
    <m/>
    <n v="138"/>
    <n v="99.83"/>
    <n v="1"/>
    <n v="0.45"/>
    <n v="44.923499999999997"/>
    <n v="748"/>
  </r>
  <r>
    <s v="CLI-00601"/>
    <x v="3"/>
    <n v="75"/>
    <s v="Bloqué 5Go"/>
    <m/>
    <n v="370"/>
    <n v="21.67"/>
    <n v="0"/>
    <n v="0.45"/>
    <n v="9.7515000000000018"/>
    <n v="749"/>
  </r>
  <r>
    <s v="CLI-00800"/>
    <x v="24"/>
    <n v="4"/>
    <s v="Bloqué 5Go"/>
    <m/>
    <n v="21"/>
    <n v="45.8"/>
    <n v="1"/>
    <n v="0"/>
    <n v="0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83374-1E45-46A4-93B6-097AE7F1CB9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5:B111" firstHeaderRow="1" firstDataRow="1" firstDataCol="1"/>
  <pivotFields count="9">
    <pivotField numFmtId="22" showAll="0"/>
    <pivotField showAll="0"/>
    <pivotField dataField="1" showAll="0"/>
    <pivotField showAll="0"/>
    <pivotField axis="axisRow" showAll="0">
      <items count="28">
        <item x="20"/>
        <item x="14"/>
        <item x="7"/>
        <item x="26"/>
        <item x="22"/>
        <item x="18"/>
        <item x="11"/>
        <item x="3"/>
        <item x="23"/>
        <item x="21"/>
        <item x="2"/>
        <item x="4"/>
        <item x="12"/>
        <item x="5"/>
        <item x="16"/>
        <item x="24"/>
        <item x="25"/>
        <item x="19"/>
        <item x="1"/>
        <item x="9"/>
        <item x="6"/>
        <item x="17"/>
        <item x="13"/>
        <item x="8"/>
        <item x="0"/>
        <item x="10"/>
        <item x="15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2">
    <field x="4"/>
    <field x="7"/>
  </rowFields>
  <rowItems count="10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 v="3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Duree_Panne_Min" fld="2" baseField="0" baseItem="0"/>
  </dataFields>
  <formats count="2">
    <format dxfId="13">
      <pivotArea field="4" type="button" dataOnly="0" labelOnly="1" outline="0" axis="axisRow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327EB-F366-43D5-910B-69C8035CC81E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5:G32" firstHeaderRow="1" firstDataRow="1" firstDataCol="1"/>
  <pivotFields count="11">
    <pivotField showAll="0"/>
    <pivotField axis="axisRow" showAll="0">
      <items count="27">
        <item x="6"/>
        <item x="16"/>
        <item x="5"/>
        <item x="3"/>
        <item x="23"/>
        <item x="0"/>
        <item x="7"/>
        <item x="9"/>
        <item x="15"/>
        <item x="18"/>
        <item x="17"/>
        <item x="12"/>
        <item x="14"/>
        <item x="19"/>
        <item x="25"/>
        <item x="13"/>
        <item x="21"/>
        <item x="2"/>
        <item x="24"/>
        <item x="22"/>
        <item x="10"/>
        <item x="4"/>
        <item x="8"/>
        <item x="11"/>
        <item x="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Moyenne de Id" fld="10" subtotal="average" baseField="1" baseItem="0"/>
  </dataFields>
  <formats count="2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0B68C5F2-82AC-4C2A-A5E1-2F3F662F0664}" autoFormatId="16" applyNumberFormats="0" applyBorderFormats="0" applyFontFormats="0" applyPatternFormats="0" applyAlignmentFormats="0" applyWidthHeightFormats="0">
  <queryTableRefresh nextId="14" unboundColumnsRight="5">
    <queryTableFields count="9"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F782A0D-1A8B-4057-8BE2-CA5A60B96F59}" autoFormatId="16" applyNumberFormats="0" applyBorderFormats="0" applyFontFormats="0" applyPatternFormats="0" applyAlignmentFormats="0" applyWidthHeightFormats="0">
  <queryTableRefresh nextId="13" unboundColumnsRight="3">
    <queryTableFields count="11"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11" dataBound="0" tableColumnId="10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1"/>
      <queryTableField id="10" dataBound="0" tableColumnId="9"/>
      <queryTableField id="12" dataBound="0" tableColumnId="11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17F41B71-EA96-4EF9-83C5-F4DE6D9AB3BA}" autoFormatId="16" applyNumberFormats="0" applyBorderFormats="0" applyFontFormats="0" applyPatternFormats="0" applyAlignmentFormats="0" applyWidthHeightFormats="0">
  <queryTableRefresh nextId="8">
    <queryTableFields count="6"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5E2C1-252E-4FC6-93D3-396D82C7FCF9}" name="CKadeaTelcoLogs_Reseau" displayName="CKadeaTelcoLogs_Reseau" ref="A1:I1075" tableType="queryTable" totalsRowShown="0" headerRowDxfId="11">
  <autoFilter ref="A1:I1075" xr:uid="{A0E5E2C1-252E-4FC6-93D3-396D82C7FCF9}"/>
  <tableColumns count="9">
    <tableColumn id="2" xr3:uid="{E7F530EB-A3F7-433E-AB8E-02844365A929}" uniqueName="2" name="Date_Heure_Panne" queryTableFieldId="2" dataDxfId="10"/>
    <tableColumn id="3" xr3:uid="{56B6E061-A2F6-4A2D-8D37-26B5E36DD2EE}" uniqueName="3" name="Cell_ID" queryTableFieldId="3" dataDxfId="9"/>
    <tableColumn id="4" xr3:uid="{F5F9078A-B275-4565-81E3-732947737C9B}" uniqueName="4" name="Duree_Panne_Min" queryTableFieldId="4"/>
    <tableColumn id="5" xr3:uid="{7A221284-2206-4BB6-823F-A150A4FA9380}" uniqueName="5" name="Statut_Resolution" queryTableFieldId="5"/>
    <tableColumn id="6" xr3:uid="{46493AD2-243A-483E-820E-8933E0F06E52}" uniqueName="6" name="Province_RDC" queryTableFieldId="6" dataDxfId="8">
      <calculatedColumnFormula>_xlfn.XLOOKUP(CKadeaTelcoLogs_Reseau[[#This Row],[Cell_ID]],'CKadeaTelcoRegistre_Maintenance'!A:A,'CKadeaTelcoRegistre_Maintenance'!B:B,"Non repertorié")</calculatedColumnFormula>
    </tableColumn>
    <tableColumn id="7" xr3:uid="{7DB8BECB-BB0D-4B13-B63E-3F07E8431F41}" uniqueName="7" name="Latitude" queryTableFieldId="7" dataDxfId="7">
      <calculatedColumnFormula>_xlfn.XLOOKUP(CKadeaTelcoLogs_Reseau[[#This Row],[Cell_ID]],'CKadeaTelcoRegistre_Maintenance'!A:A,'CKadeaTelcoRegistre_Maintenance'!C:C,"Non repertorié")</calculatedColumnFormula>
    </tableColumn>
    <tableColumn id="8" xr3:uid="{D4A8C82F-E3A7-48E0-B7AD-6BD2D499E960}" uniqueName="8" name="Longitude" queryTableFieldId="8" dataDxfId="6">
      <calculatedColumnFormula>_xlfn.XLOOKUP(CKadeaTelcoLogs_Reseau[[#This Row],[Cell_ID]],'CKadeaTelcoRegistre_Maintenance'!A:A,'CKadeaTelcoRegistre_Maintenance'!D:D,"Non repertorié")</calculatedColumnFormula>
    </tableColumn>
    <tableColumn id="9" xr3:uid="{E8B15735-7F98-4191-8CC6-6882BD0DAD8C}" uniqueName="9" name="Technologie" queryTableFieldId="9" dataDxfId="5">
      <calculatedColumnFormula>_xlfn.XLOOKUP(CKadeaTelcoLogs_Reseau[[#This Row],[Cell_ID]],'CKadeaTelcoRegistre_Maintenance'!A:A,'CKadeaTelcoRegistre_Maintenance'!E:E,"Non repertorié")</calculatedColumnFormula>
    </tableColumn>
    <tableColumn id="10" xr3:uid="{689551AE-7B11-49F5-8CE5-F8437EE12BFD}" uniqueName="10" name="Equipementier" queryTableFieldId="10" dataDxfId="4">
      <calculatedColumnFormula>_xlfn.XLOOKUP(CKadeaTelcoLogs_Reseau[[#This Row],[Cell_ID]],'CKadeaTelcoRegistre_Maintenance'!A:A,'CKadeaTelcoRegistre_Maintenance'!F:F,"Non repertorié")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F1CB2E-544D-42B6-B200-6E18CCED2B89}" name="CKadeaTelcoClients_Churn" displayName="CKadeaTelcoClients_Churn" ref="A1:K751" tableType="queryTable" totalsRowShown="0" headerRowDxfId="22">
  <autoFilter ref="A1:K751" xr:uid="{CDF1CB2E-544D-42B6-B200-6E18CCED2B89}"/>
  <tableColumns count="11">
    <tableColumn id="2" xr3:uid="{886C05DD-035D-4681-9081-8265575BD6F4}" uniqueName="2" name="ID_Client" queryTableFieldId="2" dataDxfId="21"/>
    <tableColumn id="3" xr3:uid="{5A154B13-90BB-458E-89A2-D28C14819D0B}" uniqueName="3" name="Province_Client" queryTableFieldId="3" dataDxfId="20"/>
    <tableColumn id="4" xr3:uid="{C0B72FBD-BEC4-4024-A28D-4CC4498467AA}" uniqueName="4" name="Anciennete_Mois" queryTableFieldId="4"/>
    <tableColumn id="5" xr3:uid="{AB789EAD-0958-46CD-8E0E-9D5407D56B26}" uniqueName="5" name="Type_Forfait" queryTableFieldId="5" dataDxfId="19"/>
    <tableColumn id="10" xr3:uid="{BD0A84DD-3DE0-4B06-A510-A528478E181E}" uniqueName="10" name="Type_Client" queryTableFieldId="11" dataDxfId="18">
      <calculatedColumnFormula>IF(CKadeaTelcoClients_Churn[[#This Row],[Type_Forfait]]="pro monde","B2B","B2C")</calculatedColumnFormula>
    </tableColumn>
    <tableColumn id="6" xr3:uid="{BA496DBD-739D-4261-BB3C-3C79D11FE856}" uniqueName="6" name="Duree_Cumulee_Panne_Min" queryTableFieldId="6"/>
    <tableColumn id="7" xr3:uid="{A1EB1063-3F30-4557-A7E0-9C4B65C199D0}" uniqueName="7" name="Facture_Mensuelle" queryTableFieldId="7"/>
    <tableColumn id="8" xr3:uid="{A9620439-1250-4033-BE8D-5F01A2E2EA98}" uniqueName="8" name="Plaintes_Service_Client" queryTableFieldId="8"/>
    <tableColumn id="1" xr3:uid="{8A555C23-D3FA-43B4-A7F0-CFEF78BC6F58}" uniqueName="1" name="Remise" queryTableFieldId="9" dataDxfId="17" dataCellStyle="Pourcentage">
      <calculatedColumnFormula>IF(AND(F2&gt;720,C2&gt;60),70%,
IF(CKadeaTelcoClients_Churn[[#This Row],[Type_Client]]="B2B",10%,
IF(OR(AND(F2&gt;=240,F2&lt;=720),AND(C2&lt;60,D2="Premium 5G 150Go")),45%,0%)))</calculatedColumnFormula>
    </tableColumn>
    <tableColumn id="9" xr3:uid="{DDB1485A-B1E8-44FF-A20A-328B54877B4A}" uniqueName="9" name="Montant perdu" queryTableFieldId="10" dataDxfId="16">
      <calculatedColumnFormula>CKadeaTelcoClients_Churn[[#This Row],[Remise]]*CKadeaTelcoClients_Churn[[#This Row],[Facture_Mensuelle]]</calculatedColumnFormula>
    </tableColumn>
    <tableColumn id="11" xr3:uid="{65E30260-BFA2-465C-BA91-934491EF6F64}" uniqueName="11" name="ID" queryTableFieldId="1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C4FC5-337D-4A54-9B46-37BDC8D6D36C}" name="CKadeaTelcoRegistre_Maintenance" displayName="CKadeaTelcoRegistre_Maintenance" ref="A1:F499" tableType="queryTable" totalsRowShown="0">
  <autoFilter ref="A1:F499" xr:uid="{73FC4FC5-337D-4A54-9B46-37BDC8D6D36C}"/>
  <tableColumns count="6">
    <tableColumn id="2" xr3:uid="{F1E6860E-540A-4C24-BEC1-569BB94D9B8F}" uniqueName="2" name="ID_Antenne" queryTableFieldId="2" dataDxfId="3"/>
    <tableColumn id="3" xr3:uid="{DC1AAF7B-5A9F-494F-8229-1B8BDF17131C}" uniqueName="3" name="Province_RDC" queryTableFieldId="3" dataDxfId="2"/>
    <tableColumn id="4" xr3:uid="{00CE4D2E-EDF5-46C1-AE1C-8FB414FEB42F}" uniqueName="4" name="Latitude" queryTableFieldId="4"/>
    <tableColumn id="5" xr3:uid="{59176095-7808-4EBC-9B3D-C5963047C22A}" uniqueName="5" name="Longitude" queryTableFieldId="5"/>
    <tableColumn id="6" xr3:uid="{FBF21496-3C9A-4C8D-B87C-E8706581D8B9}" uniqueName="6" name="Technologie" queryTableFieldId="6" dataDxfId="1"/>
    <tableColumn id="7" xr3:uid="{6C25D016-7D56-4F79-880A-8E84698AFA04}" uniqueName="7" name="Equipementier" queryTableFieldId="7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B2E1-0B23-415D-9133-71ECD910EAE1}">
  <dimension ref="A1:H111"/>
  <sheetViews>
    <sheetView workbookViewId="0">
      <selection activeCell="E3" sqref="E3:H4"/>
    </sheetView>
  </sheetViews>
  <sheetFormatPr baseColWidth="10" defaultRowHeight="14.5" x14ac:dyDescent="0.35"/>
  <cols>
    <col min="1" max="1" width="19.54296875" bestFit="1" customWidth="1"/>
    <col min="2" max="2" width="25.1796875" bestFit="1" customWidth="1"/>
    <col min="6" max="6" width="19.54296875" bestFit="1" customWidth="1"/>
    <col min="7" max="7" width="12.81640625" bestFit="1" customWidth="1"/>
  </cols>
  <sheetData>
    <row r="1" spans="1:8" ht="14.5" customHeight="1" x14ac:dyDescent="0.35"/>
    <row r="3" spans="1:8" x14ac:dyDescent="0.35">
      <c r="A3" s="15" t="s">
        <v>1655</v>
      </c>
      <c r="B3" s="16"/>
      <c r="C3" s="16"/>
      <c r="E3" s="14" t="s">
        <v>1654</v>
      </c>
      <c r="F3" s="14"/>
      <c r="G3" s="14"/>
      <c r="H3" s="14"/>
    </row>
    <row r="4" spans="1:8" ht="15" thickBot="1" x14ac:dyDescent="0.4">
      <c r="A4" s="16"/>
      <c r="B4" s="16"/>
      <c r="C4" s="16"/>
      <c r="E4" s="14"/>
      <c r="F4" s="14"/>
      <c r="G4" s="14"/>
      <c r="H4" s="14"/>
    </row>
    <row r="5" spans="1:8" ht="15" thickBot="1" x14ac:dyDescent="0.4">
      <c r="A5" s="12" t="s">
        <v>1645</v>
      </c>
      <c r="B5" s="13" t="s">
        <v>1648</v>
      </c>
      <c r="F5" s="12" t="s">
        <v>1645</v>
      </c>
      <c r="G5" s="13" t="s">
        <v>1652</v>
      </c>
    </row>
    <row r="6" spans="1:8" x14ac:dyDescent="0.35">
      <c r="A6" s="6" t="s">
        <v>707</v>
      </c>
      <c r="B6">
        <v>1497</v>
      </c>
      <c r="F6" s="6" t="s">
        <v>707</v>
      </c>
      <c r="G6">
        <v>340.21212121212119</v>
      </c>
    </row>
    <row r="7" spans="1:8" x14ac:dyDescent="0.35">
      <c r="A7" s="7" t="s">
        <v>683</v>
      </c>
      <c r="B7">
        <v>610</v>
      </c>
      <c r="F7" s="6" t="s">
        <v>704</v>
      </c>
      <c r="G7">
        <v>347.875</v>
      </c>
    </row>
    <row r="8" spans="1:8" x14ac:dyDescent="0.35">
      <c r="A8" s="7" t="s">
        <v>680</v>
      </c>
      <c r="B8">
        <v>373</v>
      </c>
      <c r="F8" s="6" t="s">
        <v>722</v>
      </c>
      <c r="G8">
        <v>364.86842105263156</v>
      </c>
    </row>
    <row r="9" spans="1:8" x14ac:dyDescent="0.35">
      <c r="A9" s="7" t="s">
        <v>676</v>
      </c>
      <c r="B9">
        <v>514</v>
      </c>
      <c r="F9" s="6" t="s">
        <v>719</v>
      </c>
      <c r="G9">
        <v>347.09090909090907</v>
      </c>
    </row>
    <row r="10" spans="1:8" x14ac:dyDescent="0.35">
      <c r="A10" s="6" t="s">
        <v>704</v>
      </c>
      <c r="B10">
        <v>1187</v>
      </c>
      <c r="F10" s="6" t="s">
        <v>675</v>
      </c>
      <c r="G10">
        <v>462.33333333333331</v>
      </c>
    </row>
    <row r="11" spans="1:8" x14ac:dyDescent="0.35">
      <c r="A11" s="7" t="s">
        <v>683</v>
      </c>
      <c r="B11">
        <v>295</v>
      </c>
      <c r="F11" s="6" t="s">
        <v>711</v>
      </c>
      <c r="G11">
        <v>363.45945945945948</v>
      </c>
    </row>
    <row r="12" spans="1:8" x14ac:dyDescent="0.35">
      <c r="A12" s="7" t="s">
        <v>680</v>
      </c>
      <c r="B12">
        <v>118</v>
      </c>
      <c r="F12" s="6" t="s">
        <v>703</v>
      </c>
      <c r="G12">
        <v>321.03703703703701</v>
      </c>
    </row>
    <row r="13" spans="1:8" x14ac:dyDescent="0.35">
      <c r="A13" s="7" t="s">
        <v>676</v>
      </c>
      <c r="B13">
        <v>774</v>
      </c>
      <c r="F13" s="6" t="s">
        <v>694</v>
      </c>
      <c r="G13">
        <v>295.07407407407408</v>
      </c>
    </row>
    <row r="14" spans="1:8" x14ac:dyDescent="0.35">
      <c r="A14" s="6" t="s">
        <v>722</v>
      </c>
      <c r="B14">
        <v>2051</v>
      </c>
      <c r="F14" s="6" t="s">
        <v>706</v>
      </c>
      <c r="G14">
        <v>395.5</v>
      </c>
    </row>
    <row r="15" spans="1:8" x14ac:dyDescent="0.35">
      <c r="A15" s="7" t="s">
        <v>683</v>
      </c>
      <c r="B15">
        <v>580</v>
      </c>
      <c r="F15" s="6" t="s">
        <v>690</v>
      </c>
      <c r="G15">
        <v>432.69230769230768</v>
      </c>
    </row>
    <row r="16" spans="1:8" x14ac:dyDescent="0.35">
      <c r="A16" s="7" t="s">
        <v>680</v>
      </c>
      <c r="B16">
        <v>696</v>
      </c>
      <c r="F16" s="6" t="s">
        <v>725</v>
      </c>
      <c r="G16">
        <v>373.95652173913044</v>
      </c>
    </row>
    <row r="17" spans="1:7" x14ac:dyDescent="0.35">
      <c r="A17" s="7" t="s">
        <v>676</v>
      </c>
      <c r="B17">
        <v>775</v>
      </c>
      <c r="F17" s="6" t="s">
        <v>726</v>
      </c>
      <c r="G17">
        <v>353.06666666666666</v>
      </c>
    </row>
    <row r="18" spans="1:7" x14ac:dyDescent="0.35">
      <c r="A18" s="6" t="s">
        <v>719</v>
      </c>
      <c r="B18">
        <v>1307</v>
      </c>
      <c r="F18" s="6" t="s">
        <v>679</v>
      </c>
      <c r="G18">
        <v>409.92307692307691</v>
      </c>
    </row>
    <row r="19" spans="1:7" x14ac:dyDescent="0.35">
      <c r="A19" s="7" t="s">
        <v>683</v>
      </c>
      <c r="B19">
        <v>258</v>
      </c>
      <c r="F19" s="6" t="s">
        <v>702</v>
      </c>
      <c r="G19">
        <v>377.5</v>
      </c>
    </row>
    <row r="20" spans="1:7" x14ac:dyDescent="0.35">
      <c r="A20" s="7" t="s">
        <v>680</v>
      </c>
      <c r="B20">
        <v>962</v>
      </c>
      <c r="F20" s="6" t="s">
        <v>714</v>
      </c>
      <c r="G20">
        <v>420.65</v>
      </c>
    </row>
    <row r="21" spans="1:7" x14ac:dyDescent="0.35">
      <c r="A21" s="7" t="s">
        <v>676</v>
      </c>
      <c r="B21">
        <v>87</v>
      </c>
      <c r="F21" s="6" t="s">
        <v>716</v>
      </c>
      <c r="G21">
        <v>332.030303030303</v>
      </c>
    </row>
    <row r="22" spans="1:7" x14ac:dyDescent="0.35">
      <c r="A22" s="6" t="s">
        <v>675</v>
      </c>
      <c r="B22">
        <v>1570</v>
      </c>
      <c r="F22" s="6" t="s">
        <v>688</v>
      </c>
      <c r="G22">
        <v>441.65384615384613</v>
      </c>
    </row>
    <row r="23" spans="1:7" x14ac:dyDescent="0.35">
      <c r="A23" s="7" t="s">
        <v>683</v>
      </c>
      <c r="B23">
        <v>330</v>
      </c>
      <c r="F23" s="6" t="s">
        <v>738</v>
      </c>
      <c r="G23">
        <v>413.16666666666669</v>
      </c>
    </row>
    <row r="24" spans="1:7" x14ac:dyDescent="0.35">
      <c r="A24" s="7" t="s">
        <v>680</v>
      </c>
      <c r="B24">
        <v>505</v>
      </c>
      <c r="F24" s="6" t="s">
        <v>696</v>
      </c>
      <c r="G24">
        <v>418.97058823529414</v>
      </c>
    </row>
    <row r="25" spans="1:7" x14ac:dyDescent="0.35">
      <c r="A25" s="7" t="s">
        <v>676</v>
      </c>
      <c r="B25">
        <v>735</v>
      </c>
      <c r="F25" s="6" t="s">
        <v>699</v>
      </c>
      <c r="G25">
        <v>368.39285714285717</v>
      </c>
    </row>
    <row r="26" spans="1:7" x14ac:dyDescent="0.35">
      <c r="A26" s="6" t="s">
        <v>711</v>
      </c>
      <c r="B26">
        <v>1130</v>
      </c>
      <c r="F26" s="6" t="s">
        <v>737</v>
      </c>
      <c r="G26">
        <v>351.0625</v>
      </c>
    </row>
    <row r="27" spans="1:7" x14ac:dyDescent="0.35">
      <c r="A27" s="7" t="s">
        <v>683</v>
      </c>
      <c r="B27">
        <v>500</v>
      </c>
      <c r="F27" s="6" t="s">
        <v>700</v>
      </c>
      <c r="G27">
        <v>367.5</v>
      </c>
    </row>
    <row r="28" spans="1:7" x14ac:dyDescent="0.35">
      <c r="A28" s="7" t="s">
        <v>680</v>
      </c>
      <c r="B28">
        <v>204</v>
      </c>
      <c r="F28" s="6" t="s">
        <v>701</v>
      </c>
      <c r="G28">
        <v>353.34375</v>
      </c>
    </row>
    <row r="29" spans="1:7" x14ac:dyDescent="0.35">
      <c r="A29" s="7" t="s">
        <v>676</v>
      </c>
      <c r="B29">
        <v>426</v>
      </c>
      <c r="F29" s="6" t="s">
        <v>682</v>
      </c>
      <c r="G29">
        <v>369.13333333333333</v>
      </c>
    </row>
    <row r="30" spans="1:7" x14ac:dyDescent="0.35">
      <c r="A30" s="6" t="s">
        <v>703</v>
      </c>
      <c r="B30">
        <v>1014</v>
      </c>
      <c r="F30" s="6" t="s">
        <v>685</v>
      </c>
      <c r="G30">
        <v>398.26923076923077</v>
      </c>
    </row>
    <row r="31" spans="1:7" x14ac:dyDescent="0.35">
      <c r="A31" s="7" t="s">
        <v>683</v>
      </c>
      <c r="B31">
        <v>116</v>
      </c>
      <c r="F31" s="6" t="s">
        <v>693</v>
      </c>
      <c r="G31">
        <v>408.2962962962963</v>
      </c>
    </row>
    <row r="32" spans="1:7" x14ac:dyDescent="0.35">
      <c r="A32" s="7" t="s">
        <v>680</v>
      </c>
      <c r="B32">
        <v>308</v>
      </c>
      <c r="F32" s="6" t="s">
        <v>1647</v>
      </c>
      <c r="G32">
        <v>375.5</v>
      </c>
    </row>
    <row r="33" spans="1:2" x14ac:dyDescent="0.35">
      <c r="A33" s="7" t="s">
        <v>676</v>
      </c>
      <c r="B33">
        <v>590</v>
      </c>
    </row>
    <row r="34" spans="1:2" x14ac:dyDescent="0.35">
      <c r="A34" s="6" t="s">
        <v>694</v>
      </c>
      <c r="B34">
        <v>1163</v>
      </c>
    </row>
    <row r="35" spans="1:2" x14ac:dyDescent="0.35">
      <c r="A35" s="7" t="s">
        <v>683</v>
      </c>
      <c r="B35">
        <v>440</v>
      </c>
    </row>
    <row r="36" spans="1:2" x14ac:dyDescent="0.35">
      <c r="A36" s="7" t="s">
        <v>680</v>
      </c>
      <c r="B36">
        <v>488</v>
      </c>
    </row>
    <row r="37" spans="1:2" x14ac:dyDescent="0.35">
      <c r="A37" s="7" t="s">
        <v>676</v>
      </c>
      <c r="B37">
        <v>235</v>
      </c>
    </row>
    <row r="38" spans="1:2" x14ac:dyDescent="0.35">
      <c r="A38" s="6" t="s">
        <v>706</v>
      </c>
      <c r="B38">
        <v>569</v>
      </c>
    </row>
    <row r="39" spans="1:2" x14ac:dyDescent="0.35">
      <c r="A39" s="7" t="s">
        <v>683</v>
      </c>
      <c r="B39">
        <v>152</v>
      </c>
    </row>
    <row r="40" spans="1:2" x14ac:dyDescent="0.35">
      <c r="A40" s="7" t="s">
        <v>680</v>
      </c>
      <c r="B40">
        <v>119</v>
      </c>
    </row>
    <row r="41" spans="1:2" x14ac:dyDescent="0.35">
      <c r="A41" s="7" t="s">
        <v>676</v>
      </c>
      <c r="B41">
        <v>298</v>
      </c>
    </row>
    <row r="42" spans="1:2" x14ac:dyDescent="0.35">
      <c r="A42" s="6" t="s">
        <v>690</v>
      </c>
      <c r="B42">
        <v>1305</v>
      </c>
    </row>
    <row r="43" spans="1:2" x14ac:dyDescent="0.35">
      <c r="A43" s="7" t="s">
        <v>683</v>
      </c>
      <c r="B43">
        <v>676</v>
      </c>
    </row>
    <row r="44" spans="1:2" x14ac:dyDescent="0.35">
      <c r="A44" s="7" t="s">
        <v>680</v>
      </c>
      <c r="B44">
        <v>174</v>
      </c>
    </row>
    <row r="45" spans="1:2" x14ac:dyDescent="0.35">
      <c r="A45" s="7" t="s">
        <v>676</v>
      </c>
      <c r="B45">
        <v>455</v>
      </c>
    </row>
    <row r="46" spans="1:2" x14ac:dyDescent="0.35">
      <c r="A46" s="6" t="s">
        <v>725</v>
      </c>
      <c r="B46">
        <v>2098</v>
      </c>
    </row>
    <row r="47" spans="1:2" x14ac:dyDescent="0.35">
      <c r="A47" s="7" t="s">
        <v>683</v>
      </c>
      <c r="B47">
        <v>331</v>
      </c>
    </row>
    <row r="48" spans="1:2" x14ac:dyDescent="0.35">
      <c r="A48" s="7" t="s">
        <v>680</v>
      </c>
      <c r="B48">
        <v>457</v>
      </c>
    </row>
    <row r="49" spans="1:2" x14ac:dyDescent="0.35">
      <c r="A49" s="7" t="s">
        <v>676</v>
      </c>
      <c r="B49">
        <v>1310</v>
      </c>
    </row>
    <row r="50" spans="1:2" x14ac:dyDescent="0.35">
      <c r="A50" s="6" t="s">
        <v>726</v>
      </c>
      <c r="B50">
        <v>952</v>
      </c>
    </row>
    <row r="51" spans="1:2" x14ac:dyDescent="0.35">
      <c r="A51" s="7" t="s">
        <v>683</v>
      </c>
      <c r="B51">
        <v>139</v>
      </c>
    </row>
    <row r="52" spans="1:2" x14ac:dyDescent="0.35">
      <c r="A52" s="7" t="s">
        <v>680</v>
      </c>
      <c r="B52">
        <v>453</v>
      </c>
    </row>
    <row r="53" spans="1:2" x14ac:dyDescent="0.35">
      <c r="A53" s="7" t="s">
        <v>676</v>
      </c>
      <c r="B53">
        <v>360</v>
      </c>
    </row>
    <row r="54" spans="1:2" x14ac:dyDescent="0.35">
      <c r="A54" s="6" t="s">
        <v>679</v>
      </c>
      <c r="B54">
        <v>1286</v>
      </c>
    </row>
    <row r="55" spans="1:2" x14ac:dyDescent="0.35">
      <c r="A55" s="7" t="s">
        <v>683</v>
      </c>
      <c r="B55">
        <v>551</v>
      </c>
    </row>
    <row r="56" spans="1:2" x14ac:dyDescent="0.35">
      <c r="A56" s="7" t="s">
        <v>680</v>
      </c>
      <c r="B56">
        <v>625</v>
      </c>
    </row>
    <row r="57" spans="1:2" x14ac:dyDescent="0.35">
      <c r="A57" s="7" t="s">
        <v>676</v>
      </c>
      <c r="B57">
        <v>110</v>
      </c>
    </row>
    <row r="58" spans="1:2" x14ac:dyDescent="0.35">
      <c r="A58" s="6" t="s">
        <v>702</v>
      </c>
      <c r="B58">
        <v>1261</v>
      </c>
    </row>
    <row r="59" spans="1:2" x14ac:dyDescent="0.35">
      <c r="A59" s="7" t="s">
        <v>683</v>
      </c>
      <c r="B59">
        <v>661</v>
      </c>
    </row>
    <row r="60" spans="1:2" x14ac:dyDescent="0.35">
      <c r="A60" s="7" t="s">
        <v>680</v>
      </c>
      <c r="B60">
        <v>334</v>
      </c>
    </row>
    <row r="61" spans="1:2" x14ac:dyDescent="0.35">
      <c r="A61" s="7" t="s">
        <v>676</v>
      </c>
      <c r="B61">
        <v>266</v>
      </c>
    </row>
    <row r="62" spans="1:2" x14ac:dyDescent="0.35">
      <c r="A62" s="6" t="s">
        <v>714</v>
      </c>
      <c r="B62">
        <v>1340</v>
      </c>
    </row>
    <row r="63" spans="1:2" x14ac:dyDescent="0.35">
      <c r="A63" s="7" t="s">
        <v>683</v>
      </c>
      <c r="B63">
        <v>354</v>
      </c>
    </row>
    <row r="64" spans="1:2" x14ac:dyDescent="0.35">
      <c r="A64" s="7" t="s">
        <v>680</v>
      </c>
      <c r="B64">
        <v>722</v>
      </c>
    </row>
    <row r="65" spans="1:2" x14ac:dyDescent="0.35">
      <c r="A65" s="7" t="s">
        <v>676</v>
      </c>
      <c r="B65">
        <v>264</v>
      </c>
    </row>
    <row r="66" spans="1:2" x14ac:dyDescent="0.35">
      <c r="A66" s="6" t="s">
        <v>716</v>
      </c>
      <c r="B66">
        <v>582</v>
      </c>
    </row>
    <row r="67" spans="1:2" x14ac:dyDescent="0.35">
      <c r="A67" s="7" t="s">
        <v>683</v>
      </c>
      <c r="B67">
        <v>139</v>
      </c>
    </row>
    <row r="68" spans="1:2" x14ac:dyDescent="0.35">
      <c r="A68" s="7" t="s">
        <v>680</v>
      </c>
      <c r="B68">
        <v>354</v>
      </c>
    </row>
    <row r="69" spans="1:2" x14ac:dyDescent="0.35">
      <c r="A69" s="7" t="s">
        <v>676</v>
      </c>
      <c r="B69">
        <v>89</v>
      </c>
    </row>
    <row r="70" spans="1:2" x14ac:dyDescent="0.35">
      <c r="A70" s="6" t="s">
        <v>688</v>
      </c>
      <c r="B70">
        <v>1095</v>
      </c>
    </row>
    <row r="71" spans="1:2" x14ac:dyDescent="0.35">
      <c r="A71" s="7" t="s">
        <v>680</v>
      </c>
      <c r="B71">
        <v>740</v>
      </c>
    </row>
    <row r="72" spans="1:2" x14ac:dyDescent="0.35">
      <c r="A72" s="7" t="s">
        <v>676</v>
      </c>
      <c r="B72">
        <v>355</v>
      </c>
    </row>
    <row r="73" spans="1:2" x14ac:dyDescent="0.35">
      <c r="A73" s="6" t="s">
        <v>738</v>
      </c>
      <c r="B73">
        <v>1074</v>
      </c>
    </row>
    <row r="74" spans="1:2" x14ac:dyDescent="0.35">
      <c r="A74" s="7" t="s">
        <v>683</v>
      </c>
      <c r="B74">
        <v>170</v>
      </c>
    </row>
    <row r="75" spans="1:2" x14ac:dyDescent="0.35">
      <c r="A75" s="7" t="s">
        <v>680</v>
      </c>
      <c r="B75">
        <v>313</v>
      </c>
    </row>
    <row r="76" spans="1:2" x14ac:dyDescent="0.35">
      <c r="A76" s="7" t="s">
        <v>676</v>
      </c>
      <c r="B76">
        <v>591</v>
      </c>
    </row>
    <row r="77" spans="1:2" x14ac:dyDescent="0.35">
      <c r="A77" s="6" t="s">
        <v>1646</v>
      </c>
      <c r="B77">
        <v>33384</v>
      </c>
    </row>
    <row r="78" spans="1:2" x14ac:dyDescent="0.35">
      <c r="A78" s="7" t="s">
        <v>1646</v>
      </c>
      <c r="B78">
        <v>33384</v>
      </c>
    </row>
    <row r="79" spans="1:2" x14ac:dyDescent="0.35">
      <c r="A79" s="6" t="s">
        <v>696</v>
      </c>
      <c r="B79">
        <v>2435</v>
      </c>
    </row>
    <row r="80" spans="1:2" x14ac:dyDescent="0.35">
      <c r="A80" s="7" t="s">
        <v>683</v>
      </c>
      <c r="B80">
        <v>887</v>
      </c>
    </row>
    <row r="81" spans="1:2" x14ac:dyDescent="0.35">
      <c r="A81" s="7" t="s">
        <v>680</v>
      </c>
      <c r="B81">
        <v>564</v>
      </c>
    </row>
    <row r="82" spans="1:2" x14ac:dyDescent="0.35">
      <c r="A82" s="7" t="s">
        <v>676</v>
      </c>
      <c r="B82">
        <v>984</v>
      </c>
    </row>
    <row r="83" spans="1:2" x14ac:dyDescent="0.35">
      <c r="A83" s="6" t="s">
        <v>699</v>
      </c>
      <c r="B83">
        <v>1551</v>
      </c>
    </row>
    <row r="84" spans="1:2" x14ac:dyDescent="0.35">
      <c r="A84" s="7" t="s">
        <v>683</v>
      </c>
      <c r="B84">
        <v>275</v>
      </c>
    </row>
    <row r="85" spans="1:2" x14ac:dyDescent="0.35">
      <c r="A85" s="7" t="s">
        <v>680</v>
      </c>
      <c r="B85">
        <v>772</v>
      </c>
    </row>
    <row r="86" spans="1:2" x14ac:dyDescent="0.35">
      <c r="A86" s="7" t="s">
        <v>676</v>
      </c>
      <c r="B86">
        <v>504</v>
      </c>
    </row>
    <row r="87" spans="1:2" x14ac:dyDescent="0.35">
      <c r="A87" s="6" t="s">
        <v>737</v>
      </c>
      <c r="B87">
        <v>764</v>
      </c>
    </row>
    <row r="88" spans="1:2" x14ac:dyDescent="0.35">
      <c r="A88" s="7" t="s">
        <v>683</v>
      </c>
      <c r="B88">
        <v>185</v>
      </c>
    </row>
    <row r="89" spans="1:2" x14ac:dyDescent="0.35">
      <c r="A89" s="7" t="s">
        <v>680</v>
      </c>
      <c r="B89">
        <v>380</v>
      </c>
    </row>
    <row r="90" spans="1:2" x14ac:dyDescent="0.35">
      <c r="A90" s="7" t="s">
        <v>676</v>
      </c>
      <c r="B90">
        <v>199</v>
      </c>
    </row>
    <row r="91" spans="1:2" x14ac:dyDescent="0.35">
      <c r="A91" s="6" t="s">
        <v>700</v>
      </c>
      <c r="B91">
        <v>2255</v>
      </c>
    </row>
    <row r="92" spans="1:2" x14ac:dyDescent="0.35">
      <c r="A92" s="7" t="s">
        <v>683</v>
      </c>
      <c r="B92">
        <v>1449</v>
      </c>
    </row>
    <row r="93" spans="1:2" x14ac:dyDescent="0.35">
      <c r="A93" s="7" t="s">
        <v>680</v>
      </c>
      <c r="B93">
        <v>205</v>
      </c>
    </row>
    <row r="94" spans="1:2" x14ac:dyDescent="0.35">
      <c r="A94" s="7" t="s">
        <v>676</v>
      </c>
      <c r="B94">
        <v>601</v>
      </c>
    </row>
    <row r="95" spans="1:2" x14ac:dyDescent="0.35">
      <c r="A95" s="6" t="s">
        <v>701</v>
      </c>
      <c r="B95">
        <v>1397</v>
      </c>
    </row>
    <row r="96" spans="1:2" x14ac:dyDescent="0.35">
      <c r="A96" s="7" t="s">
        <v>683</v>
      </c>
      <c r="B96">
        <v>428</v>
      </c>
    </row>
    <row r="97" spans="1:2" x14ac:dyDescent="0.35">
      <c r="A97" s="7" t="s">
        <v>680</v>
      </c>
      <c r="B97">
        <v>357</v>
      </c>
    </row>
    <row r="98" spans="1:2" x14ac:dyDescent="0.35">
      <c r="A98" s="7" t="s">
        <v>676</v>
      </c>
      <c r="B98">
        <v>612</v>
      </c>
    </row>
    <row r="99" spans="1:2" x14ac:dyDescent="0.35">
      <c r="A99" s="6" t="s">
        <v>682</v>
      </c>
      <c r="B99">
        <v>1657</v>
      </c>
    </row>
    <row r="100" spans="1:2" x14ac:dyDescent="0.35">
      <c r="A100" s="7" t="s">
        <v>683</v>
      </c>
      <c r="B100">
        <v>341</v>
      </c>
    </row>
    <row r="101" spans="1:2" x14ac:dyDescent="0.35">
      <c r="A101" s="7" t="s">
        <v>680</v>
      </c>
      <c r="B101">
        <v>608</v>
      </c>
    </row>
    <row r="102" spans="1:2" x14ac:dyDescent="0.35">
      <c r="A102" s="7" t="s">
        <v>676</v>
      </c>
      <c r="B102">
        <v>708</v>
      </c>
    </row>
    <row r="103" spans="1:2" x14ac:dyDescent="0.35">
      <c r="A103" s="6" t="s">
        <v>685</v>
      </c>
      <c r="B103">
        <v>1330</v>
      </c>
    </row>
    <row r="104" spans="1:2" x14ac:dyDescent="0.35">
      <c r="A104" s="7" t="s">
        <v>683</v>
      </c>
      <c r="B104">
        <v>535</v>
      </c>
    </row>
    <row r="105" spans="1:2" x14ac:dyDescent="0.35">
      <c r="A105" s="7" t="s">
        <v>680</v>
      </c>
      <c r="B105">
        <v>320</v>
      </c>
    </row>
    <row r="106" spans="1:2" x14ac:dyDescent="0.35">
      <c r="A106" s="7" t="s">
        <v>676</v>
      </c>
      <c r="B106">
        <v>475</v>
      </c>
    </row>
    <row r="107" spans="1:2" x14ac:dyDescent="0.35">
      <c r="A107" s="6" t="s">
        <v>693</v>
      </c>
      <c r="B107">
        <v>1111</v>
      </c>
    </row>
    <row r="108" spans="1:2" x14ac:dyDescent="0.35">
      <c r="A108" s="7" t="s">
        <v>683</v>
      </c>
      <c r="B108">
        <v>220</v>
      </c>
    </row>
    <row r="109" spans="1:2" x14ac:dyDescent="0.35">
      <c r="A109" s="7" t="s">
        <v>680</v>
      </c>
      <c r="B109">
        <v>314</v>
      </c>
    </row>
    <row r="110" spans="1:2" x14ac:dyDescent="0.35">
      <c r="A110" s="7" t="s">
        <v>676</v>
      </c>
      <c r="B110">
        <v>577</v>
      </c>
    </row>
    <row r="111" spans="1:2" x14ac:dyDescent="0.35">
      <c r="A111" s="6" t="s">
        <v>1647</v>
      </c>
      <c r="B111">
        <v>68365</v>
      </c>
    </row>
  </sheetData>
  <mergeCells count="2">
    <mergeCell ref="E3:H4"/>
    <mergeCell ref="A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25CF-A129-4D5D-9D50-A480A30B62D7}">
  <dimension ref="A1:I1077"/>
  <sheetViews>
    <sheetView topLeftCell="B1" workbookViewId="0">
      <selection activeCell="F2" sqref="F2"/>
    </sheetView>
  </sheetViews>
  <sheetFormatPr baseColWidth="10" defaultRowHeight="20.5" customHeight="1" x14ac:dyDescent="0.35"/>
  <cols>
    <col min="1" max="1" width="19" bestFit="1" customWidth="1"/>
    <col min="2" max="2" width="9.08984375" style="5" bestFit="1" customWidth="1"/>
    <col min="3" max="3" width="18.1796875" bestFit="1" customWidth="1"/>
    <col min="4" max="4" width="18" bestFit="1" customWidth="1"/>
    <col min="5" max="5" width="14.90625" bestFit="1" customWidth="1"/>
    <col min="6" max="7" width="12.453125" bestFit="1" customWidth="1"/>
    <col min="8" max="8" width="13.1796875" bestFit="1" customWidth="1"/>
    <col min="9" max="9" width="15.453125" bestFit="1" customWidth="1"/>
  </cols>
  <sheetData>
    <row r="1" spans="1:9" ht="20.5" customHeight="1" x14ac:dyDescent="0.35">
      <c r="A1" s="2" t="s">
        <v>0</v>
      </c>
      <c r="B1" s="4" t="s">
        <v>1</v>
      </c>
      <c r="C1" s="2" t="s">
        <v>2</v>
      </c>
      <c r="D1" s="2" t="s">
        <v>3</v>
      </c>
      <c r="E1" s="3" t="s">
        <v>670</v>
      </c>
      <c r="F1" s="3" t="s">
        <v>671</v>
      </c>
      <c r="G1" s="3" t="s">
        <v>672</v>
      </c>
      <c r="H1" s="3" t="s">
        <v>673</v>
      </c>
      <c r="I1" s="3" t="s">
        <v>674</v>
      </c>
    </row>
    <row r="2" spans="1:9" ht="20.5" customHeight="1" x14ac:dyDescent="0.35">
      <c r="A2" s="1">
        <v>45203.032638888886</v>
      </c>
      <c r="B2" s="5" t="s">
        <v>4</v>
      </c>
      <c r="C2">
        <v>73</v>
      </c>
      <c r="D2" t="s">
        <v>5</v>
      </c>
      <c r="E2" t="str">
        <f>_xlfn.XLOOKUP(CKadeaTelcoLogs_Reseau[[#This Row],[Cell_ID]],'CKadeaTelcoRegistre_Maintenance'!A:A,'CKadeaTelcoRegistre_Maintenance'!B:B,"Non repertorié")</f>
        <v>Tanganyika</v>
      </c>
      <c r="F2">
        <f>_xlfn.XLOOKUP(CKadeaTelcoLogs_Reseau[[#This Row],[Cell_ID]],'CKadeaTelcoRegistre_Maintenance'!A:A,'CKadeaTelcoRegistre_Maintenance'!C:C,"Non repertorié")</f>
        <v>-11.144149000000001</v>
      </c>
      <c r="G2">
        <f>_xlfn.XLOOKUP(CKadeaTelcoLogs_Reseau[[#This Row],[Cell_ID]],'CKadeaTelcoRegistre_Maintenance'!A:A,'CKadeaTelcoRegistre_Maintenance'!D:D,"Non repertorié")</f>
        <v>27.244658999999999</v>
      </c>
      <c r="H2" t="str">
        <f>_xlfn.XLOOKUP(CKadeaTelcoLogs_Reseau[[#This Row],[Cell_ID]],'CKadeaTelcoRegistre_Maintenance'!A:A,'CKadeaTelcoRegistre_Maintenance'!E:E,"Non repertorié")</f>
        <v>4G</v>
      </c>
      <c r="I2" t="str">
        <f>_xlfn.XLOOKUP(CKadeaTelcoLogs_Reseau[[#This Row],[Cell_ID]],'CKadeaTelcoRegistre_Maintenance'!A:A,'CKadeaTelcoRegistre_Maintenance'!F:F,"Non repertorié")</f>
        <v>Nokia</v>
      </c>
    </row>
    <row r="3" spans="1:9" ht="20.5" customHeight="1" x14ac:dyDescent="0.35">
      <c r="A3" s="1">
        <v>45208.301388888889</v>
      </c>
      <c r="B3" s="5" t="s">
        <v>6</v>
      </c>
      <c r="C3">
        <v>38</v>
      </c>
      <c r="D3" t="s">
        <v>5</v>
      </c>
      <c r="E3" t="str">
        <f>_xlfn.XLOOKUP(CKadeaTelcoLogs_Reseau[[#This Row],[Cell_ID]],'CKadeaTelcoRegistre_Maintenance'!A:A,'CKadeaTelcoRegistre_Maintenance'!B:B,"Non repertorié")</f>
        <v>Non repertorié</v>
      </c>
      <c r="F3" t="str">
        <f>_xlfn.XLOOKUP(CKadeaTelcoLogs_Reseau[[#This Row],[Cell_ID]],'CKadeaTelcoRegistre_Maintenance'!A:A,'CKadeaTelcoRegistre_Maintenance'!C:C,"Non repertorié")</f>
        <v>Non repertorié</v>
      </c>
      <c r="G3" t="str">
        <f>_xlfn.XLOOKUP(CKadeaTelcoLogs_Reseau[[#This Row],[Cell_ID]],'CKadeaTelcoRegistre_Maintenance'!A:A,'CKadeaTelcoRegistre_Maintenance'!D:D,"Non repertorié")</f>
        <v>Non repertorié</v>
      </c>
      <c r="H3" t="str">
        <f>_xlfn.XLOOKUP(CKadeaTelcoLogs_Reseau[[#This Row],[Cell_ID]],'CKadeaTelcoRegistre_Maintenance'!A:A,'CKadeaTelcoRegistre_Maintenance'!E:E,"Non repertorié")</f>
        <v>Non repertorié</v>
      </c>
      <c r="I3" t="str">
        <f>_xlfn.XLOOKUP(CKadeaTelcoLogs_Reseau[[#This Row],[Cell_ID]],'CKadeaTelcoRegistre_Maintenance'!A:A,'CKadeaTelcoRegistre_Maintenance'!F:F,"Non repertorié")</f>
        <v>Non repertorié</v>
      </c>
    </row>
    <row r="4" spans="1:9" ht="20.5" customHeight="1" x14ac:dyDescent="0.35">
      <c r="A4" s="1">
        <v>45204.962500000001</v>
      </c>
      <c r="B4" s="5" t="s">
        <v>7</v>
      </c>
      <c r="C4">
        <v>100</v>
      </c>
      <c r="D4" t="s">
        <v>8</v>
      </c>
      <c r="E4" t="str">
        <f>_xlfn.XLOOKUP(CKadeaTelcoLogs_Reseau[[#This Row],[Cell_ID]],'CKadeaTelcoRegistre_Maintenance'!A:A,'CKadeaTelcoRegistre_Maintenance'!B:B,"Non repertorié")</f>
        <v>Non repertorié</v>
      </c>
      <c r="F4" t="str">
        <f>_xlfn.XLOOKUP(CKadeaTelcoLogs_Reseau[[#This Row],[Cell_ID]],'CKadeaTelcoRegistre_Maintenance'!A:A,'CKadeaTelcoRegistre_Maintenance'!C:C,"Non repertorié")</f>
        <v>Non repertorié</v>
      </c>
      <c r="G4" t="str">
        <f>_xlfn.XLOOKUP(CKadeaTelcoLogs_Reseau[[#This Row],[Cell_ID]],'CKadeaTelcoRegistre_Maintenance'!A:A,'CKadeaTelcoRegistre_Maintenance'!D:D,"Non repertorié")</f>
        <v>Non repertorié</v>
      </c>
      <c r="H4" t="str">
        <f>_xlfn.XLOOKUP(CKadeaTelcoLogs_Reseau[[#This Row],[Cell_ID]],'CKadeaTelcoRegistre_Maintenance'!A:A,'CKadeaTelcoRegistre_Maintenance'!E:E,"Non repertorié")</f>
        <v>Non repertorié</v>
      </c>
      <c r="I4" t="str">
        <f>_xlfn.XLOOKUP(CKadeaTelcoLogs_Reseau[[#This Row],[Cell_ID]],'CKadeaTelcoRegistre_Maintenance'!A:A,'CKadeaTelcoRegistre_Maintenance'!F:F,"Non repertorié")</f>
        <v>Non repertorié</v>
      </c>
    </row>
    <row r="5" spans="1:9" ht="20.5" customHeight="1" x14ac:dyDescent="0.35">
      <c r="A5" s="1">
        <v>45221.997916666667</v>
      </c>
      <c r="B5" s="5" t="s">
        <v>9</v>
      </c>
      <c r="C5">
        <v>79</v>
      </c>
      <c r="D5" t="s">
        <v>10</v>
      </c>
      <c r="E5" t="str">
        <f>_xlfn.XLOOKUP(CKadeaTelcoLogs_Reseau[[#This Row],[Cell_ID]],'CKadeaTelcoRegistre_Maintenance'!A:A,'CKadeaTelcoRegistre_Maintenance'!B:B,"Non repertorié")</f>
        <v>Non repertorié</v>
      </c>
      <c r="F5" t="str">
        <f>_xlfn.XLOOKUP(CKadeaTelcoLogs_Reseau[[#This Row],[Cell_ID]],'CKadeaTelcoRegistre_Maintenance'!A:A,'CKadeaTelcoRegistre_Maintenance'!C:C,"Non repertorié")</f>
        <v>Non repertorié</v>
      </c>
      <c r="G5" t="str">
        <f>_xlfn.XLOOKUP(CKadeaTelcoLogs_Reseau[[#This Row],[Cell_ID]],'CKadeaTelcoRegistre_Maintenance'!A:A,'CKadeaTelcoRegistre_Maintenance'!D:D,"Non repertorié")</f>
        <v>Non repertorié</v>
      </c>
      <c r="H5" t="str">
        <f>_xlfn.XLOOKUP(CKadeaTelcoLogs_Reseau[[#This Row],[Cell_ID]],'CKadeaTelcoRegistre_Maintenance'!A:A,'CKadeaTelcoRegistre_Maintenance'!E:E,"Non repertorié")</f>
        <v>Non repertorié</v>
      </c>
      <c r="I5" t="str">
        <f>_xlfn.XLOOKUP(CKadeaTelcoLogs_Reseau[[#This Row],[Cell_ID]],'CKadeaTelcoRegistre_Maintenance'!A:A,'CKadeaTelcoRegistre_Maintenance'!F:F,"Non repertorié")</f>
        <v>Non repertorié</v>
      </c>
    </row>
    <row r="6" spans="1:9" ht="20.5" customHeight="1" x14ac:dyDescent="0.35">
      <c r="A6" s="1">
        <v>45217.109027777777</v>
      </c>
      <c r="B6" s="5" t="s">
        <v>11</v>
      </c>
      <c r="C6">
        <v>59</v>
      </c>
      <c r="D6" t="s">
        <v>5</v>
      </c>
      <c r="E6" t="str">
        <f>_xlfn.XLOOKUP(CKadeaTelcoLogs_Reseau[[#This Row],[Cell_ID]],'CKadeaTelcoRegistre_Maintenance'!A:A,'CKadeaTelcoRegistre_Maintenance'!B:B,"Non repertorié")</f>
        <v>Non repertorié</v>
      </c>
      <c r="F6" t="str">
        <f>_xlfn.XLOOKUP(CKadeaTelcoLogs_Reseau[[#This Row],[Cell_ID]],'CKadeaTelcoRegistre_Maintenance'!A:A,'CKadeaTelcoRegistre_Maintenance'!C:C,"Non repertorié")</f>
        <v>Non repertorié</v>
      </c>
      <c r="G6" t="str">
        <f>_xlfn.XLOOKUP(CKadeaTelcoLogs_Reseau[[#This Row],[Cell_ID]],'CKadeaTelcoRegistre_Maintenance'!A:A,'CKadeaTelcoRegistre_Maintenance'!D:D,"Non repertorié")</f>
        <v>Non repertorié</v>
      </c>
      <c r="H6" t="str">
        <f>_xlfn.XLOOKUP(CKadeaTelcoLogs_Reseau[[#This Row],[Cell_ID]],'CKadeaTelcoRegistre_Maintenance'!A:A,'CKadeaTelcoRegistre_Maintenance'!E:E,"Non repertorié")</f>
        <v>Non repertorié</v>
      </c>
      <c r="I6" t="str">
        <f>_xlfn.XLOOKUP(CKadeaTelcoLogs_Reseau[[#This Row],[Cell_ID]],'CKadeaTelcoRegistre_Maintenance'!A:A,'CKadeaTelcoRegistre_Maintenance'!F:F,"Non repertorié")</f>
        <v>Non repertorié</v>
      </c>
    </row>
    <row r="7" spans="1:9" ht="20.5" customHeight="1" x14ac:dyDescent="0.35">
      <c r="A7" s="1">
        <v>45213.042361111111</v>
      </c>
      <c r="B7" s="5" t="s">
        <v>12</v>
      </c>
      <c r="C7">
        <v>119</v>
      </c>
      <c r="D7" t="s">
        <v>8</v>
      </c>
      <c r="E7" t="str">
        <f>_xlfn.XLOOKUP(CKadeaTelcoLogs_Reseau[[#This Row],[Cell_ID]],'CKadeaTelcoRegistre_Maintenance'!A:A,'CKadeaTelcoRegistre_Maintenance'!B:B,"Non repertorié")</f>
        <v>Kongo-Central</v>
      </c>
      <c r="F7">
        <f>_xlfn.XLOOKUP(CKadeaTelcoLogs_Reseau[[#This Row],[Cell_ID]],'CKadeaTelcoRegistre_Maintenance'!A:A,'CKadeaTelcoRegistre_Maintenance'!C:C,"Non repertorié")</f>
        <v>-2.8211520000000001</v>
      </c>
      <c r="G7">
        <f>_xlfn.XLOOKUP(CKadeaTelcoLogs_Reseau[[#This Row],[Cell_ID]],'CKadeaTelcoRegistre_Maintenance'!A:A,'CKadeaTelcoRegistre_Maintenance'!D:D,"Non repertorié")</f>
        <v>20.651419000000001</v>
      </c>
      <c r="H7" t="str">
        <f>_xlfn.XLOOKUP(CKadeaTelcoLogs_Reseau[[#This Row],[Cell_ID]],'CKadeaTelcoRegistre_Maintenance'!A:A,'CKadeaTelcoRegistre_Maintenance'!E:E,"Non repertorié")</f>
        <v>5G</v>
      </c>
      <c r="I7" t="str">
        <f>_xlfn.XLOOKUP(CKadeaTelcoLogs_Reseau[[#This Row],[Cell_ID]],'CKadeaTelcoRegistre_Maintenance'!A:A,'CKadeaTelcoRegistre_Maintenance'!F:F,"Non repertorié")</f>
        <v>Ericsson</v>
      </c>
    </row>
    <row r="8" spans="1:9" ht="20.5" customHeight="1" x14ac:dyDescent="0.35">
      <c r="A8" s="1">
        <v>45202.259722222225</v>
      </c>
      <c r="B8" s="5" t="s">
        <v>13</v>
      </c>
      <c r="C8">
        <v>79</v>
      </c>
      <c r="D8" t="s">
        <v>5</v>
      </c>
      <c r="E8" t="str">
        <f>_xlfn.XLOOKUP(CKadeaTelcoLogs_Reseau[[#This Row],[Cell_ID]],'CKadeaTelcoRegistre_Maintenance'!A:A,'CKadeaTelcoRegistre_Maintenance'!B:B,"Non repertorié")</f>
        <v>Kasai-Central</v>
      </c>
      <c r="F8">
        <f>_xlfn.XLOOKUP(CKadeaTelcoLogs_Reseau[[#This Row],[Cell_ID]],'CKadeaTelcoRegistre_Maintenance'!A:A,'CKadeaTelcoRegistre_Maintenance'!C:C,"Non repertorié")</f>
        <v>-1.648264</v>
      </c>
      <c r="G8">
        <f>_xlfn.XLOOKUP(CKadeaTelcoLogs_Reseau[[#This Row],[Cell_ID]],'CKadeaTelcoRegistre_Maintenance'!A:A,'CKadeaTelcoRegistre_Maintenance'!D:D,"Non repertorié")</f>
        <v>28.866143999999998</v>
      </c>
      <c r="H8" t="str">
        <f>_xlfn.XLOOKUP(CKadeaTelcoLogs_Reseau[[#This Row],[Cell_ID]],'CKadeaTelcoRegistre_Maintenance'!A:A,'CKadeaTelcoRegistre_Maintenance'!E:E,"Non repertorié")</f>
        <v>5G</v>
      </c>
      <c r="I8" t="str">
        <f>_xlfn.XLOOKUP(CKadeaTelcoLogs_Reseau[[#This Row],[Cell_ID]],'CKadeaTelcoRegistre_Maintenance'!A:A,'CKadeaTelcoRegistre_Maintenance'!F:F,"Non repertorié")</f>
        <v>Ericsson</v>
      </c>
    </row>
    <row r="9" spans="1:9" ht="20.5" customHeight="1" x14ac:dyDescent="0.35">
      <c r="A9" s="1">
        <v>45216.792361111111</v>
      </c>
      <c r="B9" s="5" t="s">
        <v>14</v>
      </c>
      <c r="C9">
        <v>56</v>
      </c>
      <c r="D9" t="s">
        <v>5</v>
      </c>
      <c r="E9" t="str">
        <f>_xlfn.XLOOKUP(CKadeaTelcoLogs_Reseau[[#This Row],[Cell_ID]],'CKadeaTelcoRegistre_Maintenance'!A:A,'CKadeaTelcoRegistre_Maintenance'!B:B,"Non repertorié")</f>
        <v>Non repertorié</v>
      </c>
      <c r="F9" t="str">
        <f>_xlfn.XLOOKUP(CKadeaTelcoLogs_Reseau[[#This Row],[Cell_ID]],'CKadeaTelcoRegistre_Maintenance'!A:A,'CKadeaTelcoRegistre_Maintenance'!C:C,"Non repertorié")</f>
        <v>Non repertorié</v>
      </c>
      <c r="G9" t="str">
        <f>_xlfn.XLOOKUP(CKadeaTelcoLogs_Reseau[[#This Row],[Cell_ID]],'CKadeaTelcoRegistre_Maintenance'!A:A,'CKadeaTelcoRegistre_Maintenance'!D:D,"Non repertorié")</f>
        <v>Non repertorié</v>
      </c>
      <c r="H9" t="str">
        <f>_xlfn.XLOOKUP(CKadeaTelcoLogs_Reseau[[#This Row],[Cell_ID]],'CKadeaTelcoRegistre_Maintenance'!A:A,'CKadeaTelcoRegistre_Maintenance'!E:E,"Non repertorié")</f>
        <v>Non repertorié</v>
      </c>
      <c r="I9" t="str">
        <f>_xlfn.XLOOKUP(CKadeaTelcoLogs_Reseau[[#This Row],[Cell_ID]],'CKadeaTelcoRegistre_Maintenance'!A:A,'CKadeaTelcoRegistre_Maintenance'!F:F,"Non repertorié")</f>
        <v>Non repertorié</v>
      </c>
    </row>
    <row r="10" spans="1:9" ht="20.5" customHeight="1" x14ac:dyDescent="0.35">
      <c r="A10" s="1">
        <v>45217.28125</v>
      </c>
      <c r="B10" s="5" t="s">
        <v>15</v>
      </c>
      <c r="C10">
        <v>51</v>
      </c>
      <c r="D10" t="s">
        <v>8</v>
      </c>
      <c r="E10" t="str">
        <f>_xlfn.XLOOKUP(CKadeaTelcoLogs_Reseau[[#This Row],[Cell_ID]],'CKadeaTelcoRegistre_Maintenance'!A:A,'CKadeaTelcoRegistre_Maintenance'!B:B,"Non repertorié")</f>
        <v>Non repertorié</v>
      </c>
      <c r="F10" t="str">
        <f>_xlfn.XLOOKUP(CKadeaTelcoLogs_Reseau[[#This Row],[Cell_ID]],'CKadeaTelcoRegistre_Maintenance'!A:A,'CKadeaTelcoRegistre_Maintenance'!C:C,"Non repertorié")</f>
        <v>Non repertorié</v>
      </c>
      <c r="G10" t="str">
        <f>_xlfn.XLOOKUP(CKadeaTelcoLogs_Reseau[[#This Row],[Cell_ID]],'CKadeaTelcoRegistre_Maintenance'!A:A,'CKadeaTelcoRegistre_Maintenance'!D:D,"Non repertorié")</f>
        <v>Non repertorié</v>
      </c>
      <c r="H10" t="str">
        <f>_xlfn.XLOOKUP(CKadeaTelcoLogs_Reseau[[#This Row],[Cell_ID]],'CKadeaTelcoRegistre_Maintenance'!A:A,'CKadeaTelcoRegistre_Maintenance'!E:E,"Non repertorié")</f>
        <v>Non repertorié</v>
      </c>
      <c r="I10" t="str">
        <f>_xlfn.XLOOKUP(CKadeaTelcoLogs_Reseau[[#This Row],[Cell_ID]],'CKadeaTelcoRegistre_Maintenance'!A:A,'CKadeaTelcoRegistre_Maintenance'!F:F,"Non repertorié")</f>
        <v>Non repertorié</v>
      </c>
    </row>
    <row r="11" spans="1:9" ht="20.5" customHeight="1" x14ac:dyDescent="0.35">
      <c r="A11" s="1">
        <v>45220.94027777778</v>
      </c>
      <c r="B11" s="5" t="s">
        <v>16</v>
      </c>
      <c r="C11">
        <v>33</v>
      </c>
      <c r="D11" t="s">
        <v>10</v>
      </c>
      <c r="E11" t="str">
        <f>_xlfn.XLOOKUP(CKadeaTelcoLogs_Reseau[[#This Row],[Cell_ID]],'CKadeaTelcoRegistre_Maintenance'!A:A,'CKadeaTelcoRegistre_Maintenance'!B:B,"Non repertorié")</f>
        <v>Non repertorié</v>
      </c>
      <c r="F11" t="str">
        <f>_xlfn.XLOOKUP(CKadeaTelcoLogs_Reseau[[#This Row],[Cell_ID]],'CKadeaTelcoRegistre_Maintenance'!A:A,'CKadeaTelcoRegistre_Maintenance'!C:C,"Non repertorié")</f>
        <v>Non repertorié</v>
      </c>
      <c r="G11" t="str">
        <f>_xlfn.XLOOKUP(CKadeaTelcoLogs_Reseau[[#This Row],[Cell_ID]],'CKadeaTelcoRegistre_Maintenance'!A:A,'CKadeaTelcoRegistre_Maintenance'!D:D,"Non repertorié")</f>
        <v>Non repertorié</v>
      </c>
      <c r="H11" t="str">
        <f>_xlfn.XLOOKUP(CKadeaTelcoLogs_Reseau[[#This Row],[Cell_ID]],'CKadeaTelcoRegistre_Maintenance'!A:A,'CKadeaTelcoRegistre_Maintenance'!E:E,"Non repertorié")</f>
        <v>Non repertorié</v>
      </c>
      <c r="I11" t="str">
        <f>_xlfn.XLOOKUP(CKadeaTelcoLogs_Reseau[[#This Row],[Cell_ID]],'CKadeaTelcoRegistre_Maintenance'!A:A,'CKadeaTelcoRegistre_Maintenance'!F:F,"Non repertorié")</f>
        <v>Non repertorié</v>
      </c>
    </row>
    <row r="12" spans="1:9" ht="20.5" customHeight="1" x14ac:dyDescent="0.35">
      <c r="A12" s="1">
        <v>45213.311111111114</v>
      </c>
      <c r="B12" s="5" t="s">
        <v>17</v>
      </c>
      <c r="C12">
        <v>22</v>
      </c>
      <c r="D12" t="s">
        <v>8</v>
      </c>
      <c r="E12" t="str">
        <f>_xlfn.XLOOKUP(CKadeaTelcoLogs_Reseau[[#This Row],[Cell_ID]],'CKadeaTelcoRegistre_Maintenance'!A:A,'CKadeaTelcoRegistre_Maintenance'!B:B,"Non repertorié")</f>
        <v>Kwango</v>
      </c>
      <c r="F12">
        <f>_xlfn.XLOOKUP(CKadeaTelcoLogs_Reseau[[#This Row],[Cell_ID]],'CKadeaTelcoRegistre_Maintenance'!A:A,'CKadeaTelcoRegistre_Maintenance'!C:C,"Non repertorié")</f>
        <v>4.8319039999999998</v>
      </c>
      <c r="G12">
        <f>_xlfn.XLOOKUP(CKadeaTelcoLogs_Reseau[[#This Row],[Cell_ID]],'CKadeaTelcoRegistre_Maintenance'!A:A,'CKadeaTelcoRegistre_Maintenance'!D:D,"Non repertorié")</f>
        <v>20.733468999999999</v>
      </c>
      <c r="H12" t="str">
        <f>_xlfn.XLOOKUP(CKadeaTelcoLogs_Reseau[[#This Row],[Cell_ID]],'CKadeaTelcoRegistre_Maintenance'!A:A,'CKadeaTelcoRegistre_Maintenance'!E:E,"Non repertorié")</f>
        <v>5G</v>
      </c>
      <c r="I12" t="str">
        <f>_xlfn.XLOOKUP(CKadeaTelcoLogs_Reseau[[#This Row],[Cell_ID]],'CKadeaTelcoRegistre_Maintenance'!A:A,'CKadeaTelcoRegistre_Maintenance'!F:F,"Non repertorié")</f>
        <v>Ericsson</v>
      </c>
    </row>
    <row r="13" spans="1:9" ht="20.5" customHeight="1" x14ac:dyDescent="0.35">
      <c r="A13" s="1">
        <v>45218.368750000001</v>
      </c>
      <c r="B13" s="5" t="s">
        <v>18</v>
      </c>
      <c r="C13">
        <v>70</v>
      </c>
      <c r="D13" t="s">
        <v>5</v>
      </c>
      <c r="E13" t="str">
        <f>_xlfn.XLOOKUP(CKadeaTelcoLogs_Reseau[[#This Row],[Cell_ID]],'CKadeaTelcoRegistre_Maintenance'!A:A,'CKadeaTelcoRegistre_Maintenance'!B:B,"Non repertorié")</f>
        <v>Lomami</v>
      </c>
      <c r="F13">
        <f>_xlfn.XLOOKUP(CKadeaTelcoLogs_Reseau[[#This Row],[Cell_ID]],'CKadeaTelcoRegistre_Maintenance'!A:A,'CKadeaTelcoRegistre_Maintenance'!C:C,"Non repertorié")</f>
        <v>-8.4227860000000003</v>
      </c>
      <c r="G13">
        <f>_xlfn.XLOOKUP(CKadeaTelcoLogs_Reseau[[#This Row],[Cell_ID]],'CKadeaTelcoRegistre_Maintenance'!A:A,'CKadeaTelcoRegistre_Maintenance'!D:D,"Non repertorié")</f>
        <v>16.781293000000002</v>
      </c>
      <c r="H13" t="str">
        <f>_xlfn.XLOOKUP(CKadeaTelcoLogs_Reseau[[#This Row],[Cell_ID]],'CKadeaTelcoRegistre_Maintenance'!A:A,'CKadeaTelcoRegistre_Maintenance'!E:E,"Non repertorié")</f>
        <v>4G</v>
      </c>
      <c r="I13" t="str">
        <f>_xlfn.XLOOKUP(CKadeaTelcoLogs_Reseau[[#This Row],[Cell_ID]],'CKadeaTelcoRegistre_Maintenance'!A:A,'CKadeaTelcoRegistre_Maintenance'!F:F,"Non repertorié")</f>
        <v>Huawei</v>
      </c>
    </row>
    <row r="14" spans="1:9" ht="20.5" customHeight="1" x14ac:dyDescent="0.35">
      <c r="A14" s="1">
        <v>45227.033333333333</v>
      </c>
      <c r="B14" s="5" t="s">
        <v>19</v>
      </c>
      <c r="C14">
        <v>68</v>
      </c>
      <c r="D14" t="s">
        <v>10</v>
      </c>
      <c r="E14" t="str">
        <f>_xlfn.XLOOKUP(CKadeaTelcoLogs_Reseau[[#This Row],[Cell_ID]],'CKadeaTelcoRegistre_Maintenance'!A:A,'CKadeaTelcoRegistre_Maintenance'!B:B,"Non repertorié")</f>
        <v>Nord-Ubangi</v>
      </c>
      <c r="F14">
        <f>_xlfn.XLOOKUP(CKadeaTelcoLogs_Reseau[[#This Row],[Cell_ID]],'CKadeaTelcoRegistre_Maintenance'!A:A,'CKadeaTelcoRegistre_Maintenance'!C:C,"Non repertorié")</f>
        <v>-10.375266999999999</v>
      </c>
      <c r="G14">
        <f>_xlfn.XLOOKUP(CKadeaTelcoLogs_Reseau[[#This Row],[Cell_ID]],'CKadeaTelcoRegistre_Maintenance'!A:A,'CKadeaTelcoRegistre_Maintenance'!D:D,"Non repertorié")</f>
        <v>17.993663000000002</v>
      </c>
      <c r="H14" t="str">
        <f>_xlfn.XLOOKUP(CKadeaTelcoLogs_Reseau[[#This Row],[Cell_ID]],'CKadeaTelcoRegistre_Maintenance'!A:A,'CKadeaTelcoRegistre_Maintenance'!E:E,"Non repertorié")</f>
        <v>5G</v>
      </c>
      <c r="I14" t="str">
        <f>_xlfn.XLOOKUP(CKadeaTelcoLogs_Reseau[[#This Row],[Cell_ID]],'CKadeaTelcoRegistre_Maintenance'!A:A,'CKadeaTelcoRegistre_Maintenance'!F:F,"Non repertorié")</f>
        <v>ZTE</v>
      </c>
    </row>
    <row r="15" spans="1:9" ht="20.5" customHeight="1" x14ac:dyDescent="0.35">
      <c r="A15" s="1">
        <v>45225.238888888889</v>
      </c>
      <c r="B15" s="5" t="s">
        <v>20</v>
      </c>
      <c r="C15">
        <v>16</v>
      </c>
      <c r="D15" t="s">
        <v>8</v>
      </c>
      <c r="E15" t="str">
        <f>_xlfn.XLOOKUP(CKadeaTelcoLogs_Reseau[[#This Row],[Cell_ID]],'CKadeaTelcoRegistre_Maintenance'!A:A,'CKadeaTelcoRegistre_Maintenance'!B:B,"Non repertorié")</f>
        <v>Non repertorié</v>
      </c>
      <c r="F15" t="str">
        <f>_xlfn.XLOOKUP(CKadeaTelcoLogs_Reseau[[#This Row],[Cell_ID]],'CKadeaTelcoRegistre_Maintenance'!A:A,'CKadeaTelcoRegistre_Maintenance'!C:C,"Non repertorié")</f>
        <v>Non repertorié</v>
      </c>
      <c r="G15" t="str">
        <f>_xlfn.XLOOKUP(CKadeaTelcoLogs_Reseau[[#This Row],[Cell_ID]],'CKadeaTelcoRegistre_Maintenance'!A:A,'CKadeaTelcoRegistre_Maintenance'!D:D,"Non repertorié")</f>
        <v>Non repertorié</v>
      </c>
      <c r="H15" t="str">
        <f>_xlfn.XLOOKUP(CKadeaTelcoLogs_Reseau[[#This Row],[Cell_ID]],'CKadeaTelcoRegistre_Maintenance'!A:A,'CKadeaTelcoRegistre_Maintenance'!E:E,"Non repertorié")</f>
        <v>Non repertorié</v>
      </c>
      <c r="I15" t="str">
        <f>_xlfn.XLOOKUP(CKadeaTelcoLogs_Reseau[[#This Row],[Cell_ID]],'CKadeaTelcoRegistre_Maintenance'!A:A,'CKadeaTelcoRegistre_Maintenance'!F:F,"Non repertorié")</f>
        <v>Non repertorié</v>
      </c>
    </row>
    <row r="16" spans="1:9" ht="20.5" customHeight="1" x14ac:dyDescent="0.35">
      <c r="A16" s="1">
        <v>45213.428472222222</v>
      </c>
      <c r="B16" s="5" t="s">
        <v>21</v>
      </c>
      <c r="C16">
        <v>101</v>
      </c>
      <c r="D16" t="s">
        <v>8</v>
      </c>
      <c r="E16" t="str">
        <f>_xlfn.XLOOKUP(CKadeaTelcoLogs_Reseau[[#This Row],[Cell_ID]],'CKadeaTelcoRegistre_Maintenance'!A:A,'CKadeaTelcoRegistre_Maintenance'!B:B,"Non repertorié")</f>
        <v>Non repertorié</v>
      </c>
      <c r="F16" t="str">
        <f>_xlfn.XLOOKUP(CKadeaTelcoLogs_Reseau[[#This Row],[Cell_ID]],'CKadeaTelcoRegistre_Maintenance'!A:A,'CKadeaTelcoRegistre_Maintenance'!C:C,"Non repertorié")</f>
        <v>Non repertorié</v>
      </c>
      <c r="G16" t="str">
        <f>_xlfn.XLOOKUP(CKadeaTelcoLogs_Reseau[[#This Row],[Cell_ID]],'CKadeaTelcoRegistre_Maintenance'!A:A,'CKadeaTelcoRegistre_Maintenance'!D:D,"Non repertorié")</f>
        <v>Non repertorié</v>
      </c>
      <c r="H16" t="str">
        <f>_xlfn.XLOOKUP(CKadeaTelcoLogs_Reseau[[#This Row],[Cell_ID]],'CKadeaTelcoRegistre_Maintenance'!A:A,'CKadeaTelcoRegistre_Maintenance'!E:E,"Non repertorié")</f>
        <v>Non repertorié</v>
      </c>
      <c r="I16" t="str">
        <f>_xlfn.XLOOKUP(CKadeaTelcoLogs_Reseau[[#This Row],[Cell_ID]],'CKadeaTelcoRegistre_Maintenance'!A:A,'CKadeaTelcoRegistre_Maintenance'!F:F,"Non repertorié")</f>
        <v>Non repertorié</v>
      </c>
    </row>
    <row r="17" spans="1:9" ht="20.5" customHeight="1" x14ac:dyDescent="0.35">
      <c r="A17" s="1">
        <v>45204.283333333333</v>
      </c>
      <c r="B17" s="5" t="s">
        <v>22</v>
      </c>
      <c r="C17">
        <v>11</v>
      </c>
      <c r="D17" t="s">
        <v>10</v>
      </c>
      <c r="E17" t="str">
        <f>_xlfn.XLOOKUP(CKadeaTelcoLogs_Reseau[[#This Row],[Cell_ID]],'CKadeaTelcoRegistre_Maintenance'!A:A,'CKadeaTelcoRegistre_Maintenance'!B:B,"Non repertorié")</f>
        <v>Lomami</v>
      </c>
      <c r="F17">
        <f>_xlfn.XLOOKUP(CKadeaTelcoLogs_Reseau[[#This Row],[Cell_ID]],'CKadeaTelcoRegistre_Maintenance'!A:A,'CKadeaTelcoRegistre_Maintenance'!C:C,"Non repertorié")</f>
        <v>-2.2371569999999998</v>
      </c>
      <c r="G17">
        <f>_xlfn.XLOOKUP(CKadeaTelcoLogs_Reseau[[#This Row],[Cell_ID]],'CKadeaTelcoRegistre_Maintenance'!A:A,'CKadeaTelcoRegistre_Maintenance'!D:D,"Non repertorié")</f>
        <v>25.926188</v>
      </c>
      <c r="H17" t="str">
        <f>_xlfn.XLOOKUP(CKadeaTelcoLogs_Reseau[[#This Row],[Cell_ID]],'CKadeaTelcoRegistre_Maintenance'!A:A,'CKadeaTelcoRegistre_Maintenance'!E:E,"Non repertorié")</f>
        <v>3G</v>
      </c>
      <c r="I17" t="str">
        <f>_xlfn.XLOOKUP(CKadeaTelcoLogs_Reseau[[#This Row],[Cell_ID]],'CKadeaTelcoRegistre_Maintenance'!A:A,'CKadeaTelcoRegistre_Maintenance'!F:F,"Non repertorié")</f>
        <v>Nokia</v>
      </c>
    </row>
    <row r="18" spans="1:9" ht="20.5" customHeight="1" x14ac:dyDescent="0.35">
      <c r="A18" s="1">
        <v>45210.128472222219</v>
      </c>
      <c r="B18" s="5" t="s">
        <v>23</v>
      </c>
      <c r="C18">
        <v>115</v>
      </c>
      <c r="D18" t="s">
        <v>5</v>
      </c>
      <c r="E18" t="str">
        <f>_xlfn.XLOOKUP(CKadeaTelcoLogs_Reseau[[#This Row],[Cell_ID]],'CKadeaTelcoRegistre_Maintenance'!A:A,'CKadeaTelcoRegistre_Maintenance'!B:B,"Non repertorié")</f>
        <v>Non repertorié</v>
      </c>
      <c r="F18" t="str">
        <f>_xlfn.XLOOKUP(CKadeaTelcoLogs_Reseau[[#This Row],[Cell_ID]],'CKadeaTelcoRegistre_Maintenance'!A:A,'CKadeaTelcoRegistre_Maintenance'!C:C,"Non repertorié")</f>
        <v>Non repertorié</v>
      </c>
      <c r="G18" t="str">
        <f>_xlfn.XLOOKUP(CKadeaTelcoLogs_Reseau[[#This Row],[Cell_ID]],'CKadeaTelcoRegistre_Maintenance'!A:A,'CKadeaTelcoRegistre_Maintenance'!D:D,"Non repertorié")</f>
        <v>Non repertorié</v>
      </c>
      <c r="H18" t="str">
        <f>_xlfn.XLOOKUP(CKadeaTelcoLogs_Reseau[[#This Row],[Cell_ID]],'CKadeaTelcoRegistre_Maintenance'!A:A,'CKadeaTelcoRegistre_Maintenance'!E:E,"Non repertorié")</f>
        <v>Non repertorié</v>
      </c>
      <c r="I18" t="str">
        <f>_xlfn.XLOOKUP(CKadeaTelcoLogs_Reseau[[#This Row],[Cell_ID]],'CKadeaTelcoRegistre_Maintenance'!A:A,'CKadeaTelcoRegistre_Maintenance'!F:F,"Non repertorié")</f>
        <v>Non repertorié</v>
      </c>
    </row>
    <row r="19" spans="1:9" ht="20.5" customHeight="1" x14ac:dyDescent="0.35">
      <c r="A19" s="1">
        <v>45212.140277777777</v>
      </c>
      <c r="B19" s="5" t="s">
        <v>24</v>
      </c>
      <c r="C19">
        <v>19</v>
      </c>
      <c r="D19" t="s">
        <v>8</v>
      </c>
      <c r="E19" t="str">
        <f>_xlfn.XLOOKUP(CKadeaTelcoLogs_Reseau[[#This Row],[Cell_ID]],'CKadeaTelcoRegistre_Maintenance'!A:A,'CKadeaTelcoRegistre_Maintenance'!B:B,"Non repertorié")</f>
        <v>Tanganyika</v>
      </c>
      <c r="F19">
        <f>_xlfn.XLOOKUP(CKadeaTelcoLogs_Reseau[[#This Row],[Cell_ID]],'CKadeaTelcoRegistre_Maintenance'!A:A,'CKadeaTelcoRegistre_Maintenance'!C:C,"Non repertorié")</f>
        <v>-9.4708620000000003</v>
      </c>
      <c r="G19">
        <f>_xlfn.XLOOKUP(CKadeaTelcoLogs_Reseau[[#This Row],[Cell_ID]],'CKadeaTelcoRegistre_Maintenance'!A:A,'CKadeaTelcoRegistre_Maintenance'!D:D,"Non repertorié")</f>
        <v>29.234387999999999</v>
      </c>
      <c r="H19" t="str">
        <f>_xlfn.XLOOKUP(CKadeaTelcoLogs_Reseau[[#This Row],[Cell_ID]],'CKadeaTelcoRegistre_Maintenance'!A:A,'CKadeaTelcoRegistre_Maintenance'!E:E,"Non repertorié")</f>
        <v>3G</v>
      </c>
      <c r="I19" t="str">
        <f>_xlfn.XLOOKUP(CKadeaTelcoLogs_Reseau[[#This Row],[Cell_ID]],'CKadeaTelcoRegistre_Maintenance'!A:A,'CKadeaTelcoRegistre_Maintenance'!F:F,"Non repertorié")</f>
        <v>ZTE</v>
      </c>
    </row>
    <row r="20" spans="1:9" ht="20.5" customHeight="1" x14ac:dyDescent="0.35">
      <c r="A20" s="1">
        <v>45227.484722222223</v>
      </c>
      <c r="B20" s="5" t="s">
        <v>25</v>
      </c>
      <c r="C20">
        <v>24</v>
      </c>
      <c r="D20" t="s">
        <v>8</v>
      </c>
      <c r="E20" t="str">
        <f>_xlfn.XLOOKUP(CKadeaTelcoLogs_Reseau[[#This Row],[Cell_ID]],'CKadeaTelcoRegistre_Maintenance'!A:A,'CKadeaTelcoRegistre_Maintenance'!B:B,"Non repertorié")</f>
        <v>Non repertorié</v>
      </c>
      <c r="F20" t="str">
        <f>_xlfn.XLOOKUP(CKadeaTelcoLogs_Reseau[[#This Row],[Cell_ID]],'CKadeaTelcoRegistre_Maintenance'!A:A,'CKadeaTelcoRegistre_Maintenance'!C:C,"Non repertorié")</f>
        <v>Non repertorié</v>
      </c>
      <c r="G20" t="str">
        <f>_xlfn.XLOOKUP(CKadeaTelcoLogs_Reseau[[#This Row],[Cell_ID]],'CKadeaTelcoRegistre_Maintenance'!A:A,'CKadeaTelcoRegistre_Maintenance'!D:D,"Non repertorié")</f>
        <v>Non repertorié</v>
      </c>
      <c r="H20" t="str">
        <f>_xlfn.XLOOKUP(CKadeaTelcoLogs_Reseau[[#This Row],[Cell_ID]],'CKadeaTelcoRegistre_Maintenance'!A:A,'CKadeaTelcoRegistre_Maintenance'!E:E,"Non repertorié")</f>
        <v>Non repertorié</v>
      </c>
      <c r="I20" t="str">
        <f>_xlfn.XLOOKUP(CKadeaTelcoLogs_Reseau[[#This Row],[Cell_ID]],'CKadeaTelcoRegistre_Maintenance'!A:A,'CKadeaTelcoRegistre_Maintenance'!F:F,"Non repertorié")</f>
        <v>Non repertorié</v>
      </c>
    </row>
    <row r="21" spans="1:9" ht="20.5" customHeight="1" x14ac:dyDescent="0.35">
      <c r="A21" s="1">
        <v>45208.073611111111</v>
      </c>
      <c r="B21" s="5" t="s">
        <v>18</v>
      </c>
      <c r="C21">
        <v>85</v>
      </c>
      <c r="D21" t="s">
        <v>8</v>
      </c>
      <c r="E21" t="str">
        <f>_xlfn.XLOOKUP(CKadeaTelcoLogs_Reseau[[#This Row],[Cell_ID]],'CKadeaTelcoRegistre_Maintenance'!A:A,'CKadeaTelcoRegistre_Maintenance'!B:B,"Non repertorié")</f>
        <v>Lomami</v>
      </c>
      <c r="F21">
        <f>_xlfn.XLOOKUP(CKadeaTelcoLogs_Reseau[[#This Row],[Cell_ID]],'CKadeaTelcoRegistre_Maintenance'!A:A,'CKadeaTelcoRegistre_Maintenance'!C:C,"Non repertorié")</f>
        <v>-8.4227860000000003</v>
      </c>
      <c r="G21">
        <f>_xlfn.XLOOKUP(CKadeaTelcoLogs_Reseau[[#This Row],[Cell_ID]],'CKadeaTelcoRegistre_Maintenance'!A:A,'CKadeaTelcoRegistre_Maintenance'!D:D,"Non repertorié")</f>
        <v>16.781293000000002</v>
      </c>
      <c r="H21" t="str">
        <f>_xlfn.XLOOKUP(CKadeaTelcoLogs_Reseau[[#This Row],[Cell_ID]],'CKadeaTelcoRegistre_Maintenance'!A:A,'CKadeaTelcoRegistre_Maintenance'!E:E,"Non repertorié")</f>
        <v>4G</v>
      </c>
      <c r="I21" t="str">
        <f>_xlfn.XLOOKUP(CKadeaTelcoLogs_Reseau[[#This Row],[Cell_ID]],'CKadeaTelcoRegistre_Maintenance'!A:A,'CKadeaTelcoRegistre_Maintenance'!F:F,"Non repertorié")</f>
        <v>Huawei</v>
      </c>
    </row>
    <row r="22" spans="1:9" ht="20.5" customHeight="1" x14ac:dyDescent="0.35">
      <c r="A22" s="1">
        <v>45214.713194444441</v>
      </c>
      <c r="B22" s="5" t="s">
        <v>26</v>
      </c>
      <c r="C22">
        <v>25</v>
      </c>
      <c r="D22" t="s">
        <v>5</v>
      </c>
      <c r="E22" t="str">
        <f>_xlfn.XLOOKUP(CKadeaTelcoLogs_Reseau[[#This Row],[Cell_ID]],'CKadeaTelcoRegistre_Maintenance'!A:A,'CKadeaTelcoRegistre_Maintenance'!B:B,"Non repertorié")</f>
        <v>Haut-Katanga</v>
      </c>
      <c r="F22">
        <f>_xlfn.XLOOKUP(CKadeaTelcoLogs_Reseau[[#This Row],[Cell_ID]],'CKadeaTelcoRegistre_Maintenance'!A:A,'CKadeaTelcoRegistre_Maintenance'!C:C,"Non repertorié")</f>
        <v>0.172153</v>
      </c>
      <c r="G22">
        <f>_xlfn.XLOOKUP(CKadeaTelcoLogs_Reseau[[#This Row],[Cell_ID]],'CKadeaTelcoRegistre_Maintenance'!A:A,'CKadeaTelcoRegistre_Maintenance'!D:D,"Non repertorié")</f>
        <v>21.091376</v>
      </c>
      <c r="H22" t="str">
        <f>_xlfn.XLOOKUP(CKadeaTelcoLogs_Reseau[[#This Row],[Cell_ID]],'CKadeaTelcoRegistre_Maintenance'!A:A,'CKadeaTelcoRegistre_Maintenance'!E:E,"Non repertorié")</f>
        <v>3G</v>
      </c>
      <c r="I22" t="str">
        <f>_xlfn.XLOOKUP(CKadeaTelcoLogs_Reseau[[#This Row],[Cell_ID]],'CKadeaTelcoRegistre_Maintenance'!A:A,'CKadeaTelcoRegistre_Maintenance'!F:F,"Non repertorié")</f>
        <v>Ericsson</v>
      </c>
    </row>
    <row r="23" spans="1:9" ht="20.5" customHeight="1" x14ac:dyDescent="0.35">
      <c r="A23" s="1">
        <v>45229.503472222219</v>
      </c>
      <c r="B23" s="5" t="s">
        <v>27</v>
      </c>
      <c r="C23">
        <v>106</v>
      </c>
      <c r="D23" t="s">
        <v>8</v>
      </c>
      <c r="E23" t="str">
        <f>_xlfn.XLOOKUP(CKadeaTelcoLogs_Reseau[[#This Row],[Cell_ID]],'CKadeaTelcoRegistre_Maintenance'!A:A,'CKadeaTelcoRegistre_Maintenance'!B:B,"Non repertorié")</f>
        <v>Non repertorié</v>
      </c>
      <c r="F23" t="str">
        <f>_xlfn.XLOOKUP(CKadeaTelcoLogs_Reseau[[#This Row],[Cell_ID]],'CKadeaTelcoRegistre_Maintenance'!A:A,'CKadeaTelcoRegistre_Maintenance'!C:C,"Non repertorié")</f>
        <v>Non repertorié</v>
      </c>
      <c r="G23" t="str">
        <f>_xlfn.XLOOKUP(CKadeaTelcoLogs_Reseau[[#This Row],[Cell_ID]],'CKadeaTelcoRegistre_Maintenance'!A:A,'CKadeaTelcoRegistre_Maintenance'!D:D,"Non repertorié")</f>
        <v>Non repertorié</v>
      </c>
      <c r="H23" t="str">
        <f>_xlfn.XLOOKUP(CKadeaTelcoLogs_Reseau[[#This Row],[Cell_ID]],'CKadeaTelcoRegistre_Maintenance'!A:A,'CKadeaTelcoRegistre_Maintenance'!E:E,"Non repertorié")</f>
        <v>Non repertorié</v>
      </c>
      <c r="I23" t="str">
        <f>_xlfn.XLOOKUP(CKadeaTelcoLogs_Reseau[[#This Row],[Cell_ID]],'CKadeaTelcoRegistre_Maintenance'!A:A,'CKadeaTelcoRegistre_Maintenance'!F:F,"Non repertorié")</f>
        <v>Non repertorié</v>
      </c>
    </row>
    <row r="24" spans="1:9" ht="20.5" customHeight="1" x14ac:dyDescent="0.35">
      <c r="A24" s="1">
        <v>45217.411805555559</v>
      </c>
      <c r="B24" s="5" t="s">
        <v>28</v>
      </c>
      <c r="C24">
        <v>92</v>
      </c>
      <c r="D24" t="s">
        <v>10</v>
      </c>
      <c r="E24" t="str">
        <f>_xlfn.XLOOKUP(CKadeaTelcoLogs_Reseau[[#This Row],[Cell_ID]],'CKadeaTelcoRegistre_Maintenance'!A:A,'CKadeaTelcoRegistre_Maintenance'!B:B,"Non repertorié")</f>
        <v>Non repertorié</v>
      </c>
      <c r="F24" t="str">
        <f>_xlfn.XLOOKUP(CKadeaTelcoLogs_Reseau[[#This Row],[Cell_ID]],'CKadeaTelcoRegistre_Maintenance'!A:A,'CKadeaTelcoRegistre_Maintenance'!C:C,"Non repertorié")</f>
        <v>Non repertorié</v>
      </c>
      <c r="G24" t="str">
        <f>_xlfn.XLOOKUP(CKadeaTelcoLogs_Reseau[[#This Row],[Cell_ID]],'CKadeaTelcoRegistre_Maintenance'!A:A,'CKadeaTelcoRegistre_Maintenance'!D:D,"Non repertorié")</f>
        <v>Non repertorié</v>
      </c>
      <c r="H24" t="str">
        <f>_xlfn.XLOOKUP(CKadeaTelcoLogs_Reseau[[#This Row],[Cell_ID]],'CKadeaTelcoRegistre_Maintenance'!A:A,'CKadeaTelcoRegistre_Maintenance'!E:E,"Non repertorié")</f>
        <v>Non repertorié</v>
      </c>
      <c r="I24" t="str">
        <f>_xlfn.XLOOKUP(CKadeaTelcoLogs_Reseau[[#This Row],[Cell_ID]],'CKadeaTelcoRegistre_Maintenance'!A:A,'CKadeaTelcoRegistre_Maintenance'!F:F,"Non repertorié")</f>
        <v>Non repertorié</v>
      </c>
    </row>
    <row r="25" spans="1:9" ht="20.5" customHeight="1" x14ac:dyDescent="0.35">
      <c r="A25" s="1">
        <v>45220.830555555556</v>
      </c>
      <c r="B25" s="5" t="s">
        <v>29</v>
      </c>
      <c r="C25">
        <v>59</v>
      </c>
      <c r="D25" t="s">
        <v>10</v>
      </c>
      <c r="E25" t="str">
        <f>_xlfn.XLOOKUP(CKadeaTelcoLogs_Reseau[[#This Row],[Cell_ID]],'CKadeaTelcoRegistre_Maintenance'!A:A,'CKadeaTelcoRegistre_Maintenance'!B:B,"Non repertorié")</f>
        <v>Non repertorié</v>
      </c>
      <c r="F25" t="str">
        <f>_xlfn.XLOOKUP(CKadeaTelcoLogs_Reseau[[#This Row],[Cell_ID]],'CKadeaTelcoRegistre_Maintenance'!A:A,'CKadeaTelcoRegistre_Maintenance'!C:C,"Non repertorié")</f>
        <v>Non repertorié</v>
      </c>
      <c r="G25" t="str">
        <f>_xlfn.XLOOKUP(CKadeaTelcoLogs_Reseau[[#This Row],[Cell_ID]],'CKadeaTelcoRegistre_Maintenance'!A:A,'CKadeaTelcoRegistre_Maintenance'!D:D,"Non repertorié")</f>
        <v>Non repertorié</v>
      </c>
      <c r="H25" t="str">
        <f>_xlfn.XLOOKUP(CKadeaTelcoLogs_Reseau[[#This Row],[Cell_ID]],'CKadeaTelcoRegistre_Maintenance'!A:A,'CKadeaTelcoRegistre_Maintenance'!E:E,"Non repertorié")</f>
        <v>Non repertorié</v>
      </c>
      <c r="I25" t="str">
        <f>_xlfn.XLOOKUP(CKadeaTelcoLogs_Reseau[[#This Row],[Cell_ID]],'CKadeaTelcoRegistre_Maintenance'!A:A,'CKadeaTelcoRegistre_Maintenance'!F:F,"Non repertorié")</f>
        <v>Non repertorié</v>
      </c>
    </row>
    <row r="26" spans="1:9" ht="20.5" customHeight="1" x14ac:dyDescent="0.35">
      <c r="A26" s="1">
        <v>45227.48333333333</v>
      </c>
      <c r="B26" s="5" t="s">
        <v>16</v>
      </c>
      <c r="C26">
        <v>81</v>
      </c>
      <c r="D26" t="s">
        <v>8</v>
      </c>
      <c r="E26" t="str">
        <f>_xlfn.XLOOKUP(CKadeaTelcoLogs_Reseau[[#This Row],[Cell_ID]],'CKadeaTelcoRegistre_Maintenance'!A:A,'CKadeaTelcoRegistre_Maintenance'!B:B,"Non repertorié")</f>
        <v>Non repertorié</v>
      </c>
      <c r="F26" t="str">
        <f>_xlfn.XLOOKUP(CKadeaTelcoLogs_Reseau[[#This Row],[Cell_ID]],'CKadeaTelcoRegistre_Maintenance'!A:A,'CKadeaTelcoRegistre_Maintenance'!C:C,"Non repertorié")</f>
        <v>Non repertorié</v>
      </c>
      <c r="G26" t="str">
        <f>_xlfn.XLOOKUP(CKadeaTelcoLogs_Reseau[[#This Row],[Cell_ID]],'CKadeaTelcoRegistre_Maintenance'!A:A,'CKadeaTelcoRegistre_Maintenance'!D:D,"Non repertorié")</f>
        <v>Non repertorié</v>
      </c>
      <c r="H26" t="str">
        <f>_xlfn.XLOOKUP(CKadeaTelcoLogs_Reseau[[#This Row],[Cell_ID]],'CKadeaTelcoRegistre_Maintenance'!A:A,'CKadeaTelcoRegistre_Maintenance'!E:E,"Non repertorié")</f>
        <v>Non repertorié</v>
      </c>
      <c r="I26" t="str">
        <f>_xlfn.XLOOKUP(CKadeaTelcoLogs_Reseau[[#This Row],[Cell_ID]],'CKadeaTelcoRegistre_Maintenance'!A:A,'CKadeaTelcoRegistre_Maintenance'!F:F,"Non repertorié")</f>
        <v>Non repertorié</v>
      </c>
    </row>
    <row r="27" spans="1:9" ht="20.5" customHeight="1" x14ac:dyDescent="0.35">
      <c r="A27" s="1">
        <v>45206.919444444444</v>
      </c>
      <c r="B27" s="5" t="s">
        <v>30</v>
      </c>
      <c r="C27">
        <v>13</v>
      </c>
      <c r="D27" t="s">
        <v>8</v>
      </c>
      <c r="E27" t="str">
        <f>_xlfn.XLOOKUP(CKadeaTelcoLogs_Reseau[[#This Row],[Cell_ID]],'CKadeaTelcoRegistre_Maintenance'!A:A,'CKadeaTelcoRegistre_Maintenance'!B:B,"Non repertorié")</f>
        <v>Sud-Ubangi</v>
      </c>
      <c r="F27">
        <f>_xlfn.XLOOKUP(CKadeaTelcoLogs_Reseau[[#This Row],[Cell_ID]],'CKadeaTelcoRegistre_Maintenance'!A:A,'CKadeaTelcoRegistre_Maintenance'!C:C,"Non repertorié")</f>
        <v>-10.56448</v>
      </c>
      <c r="G27">
        <f>_xlfn.XLOOKUP(CKadeaTelcoLogs_Reseau[[#This Row],[Cell_ID]],'CKadeaTelcoRegistre_Maintenance'!A:A,'CKadeaTelcoRegistre_Maintenance'!D:D,"Non repertorié")</f>
        <v>19.792876</v>
      </c>
      <c r="H27" t="str">
        <f>_xlfn.XLOOKUP(CKadeaTelcoLogs_Reseau[[#This Row],[Cell_ID]],'CKadeaTelcoRegistre_Maintenance'!A:A,'CKadeaTelcoRegistre_Maintenance'!E:E,"Non repertorié")</f>
        <v>5G</v>
      </c>
      <c r="I27" t="str">
        <f>_xlfn.XLOOKUP(CKadeaTelcoLogs_Reseau[[#This Row],[Cell_ID]],'CKadeaTelcoRegistre_Maintenance'!A:A,'CKadeaTelcoRegistre_Maintenance'!F:F,"Non repertorié")</f>
        <v>Ericsson</v>
      </c>
    </row>
    <row r="28" spans="1:9" ht="20.5" customHeight="1" x14ac:dyDescent="0.35">
      <c r="A28" s="1">
        <v>45201.884722222225</v>
      </c>
      <c r="B28" s="5" t="s">
        <v>31</v>
      </c>
      <c r="C28">
        <v>54</v>
      </c>
      <c r="D28" t="s">
        <v>10</v>
      </c>
      <c r="E28" t="str">
        <f>_xlfn.XLOOKUP(CKadeaTelcoLogs_Reseau[[#This Row],[Cell_ID]],'CKadeaTelcoRegistre_Maintenance'!A:A,'CKadeaTelcoRegistre_Maintenance'!B:B,"Non repertorié")</f>
        <v>Nord-Kivu</v>
      </c>
      <c r="F28">
        <f>_xlfn.XLOOKUP(CKadeaTelcoLogs_Reseau[[#This Row],[Cell_ID]],'CKadeaTelcoRegistre_Maintenance'!A:A,'CKadeaTelcoRegistre_Maintenance'!C:C,"Non repertorié")</f>
        <v>4.6287159999999998</v>
      </c>
      <c r="G28">
        <f>_xlfn.XLOOKUP(CKadeaTelcoLogs_Reseau[[#This Row],[Cell_ID]],'CKadeaTelcoRegistre_Maintenance'!A:A,'CKadeaTelcoRegistre_Maintenance'!D:D,"Non repertorié")</f>
        <v>19.407077999999998</v>
      </c>
      <c r="H28" t="str">
        <f>_xlfn.XLOOKUP(CKadeaTelcoLogs_Reseau[[#This Row],[Cell_ID]],'CKadeaTelcoRegistre_Maintenance'!A:A,'CKadeaTelcoRegistre_Maintenance'!E:E,"Non repertorié")</f>
        <v>4G</v>
      </c>
      <c r="I28" t="str">
        <f>_xlfn.XLOOKUP(CKadeaTelcoLogs_Reseau[[#This Row],[Cell_ID]],'CKadeaTelcoRegistre_Maintenance'!A:A,'CKadeaTelcoRegistre_Maintenance'!F:F,"Non repertorié")</f>
        <v>Ericsson</v>
      </c>
    </row>
    <row r="29" spans="1:9" ht="20.5" customHeight="1" x14ac:dyDescent="0.35">
      <c r="A29" s="1">
        <v>45224.378472222219</v>
      </c>
      <c r="B29" s="5" t="s">
        <v>7</v>
      </c>
      <c r="C29">
        <v>53</v>
      </c>
      <c r="D29" t="s">
        <v>10</v>
      </c>
      <c r="E29" t="str">
        <f>_xlfn.XLOOKUP(CKadeaTelcoLogs_Reseau[[#This Row],[Cell_ID]],'CKadeaTelcoRegistre_Maintenance'!A:A,'CKadeaTelcoRegistre_Maintenance'!B:B,"Non repertorié")</f>
        <v>Non repertorié</v>
      </c>
      <c r="F29" t="str">
        <f>_xlfn.XLOOKUP(CKadeaTelcoLogs_Reseau[[#This Row],[Cell_ID]],'CKadeaTelcoRegistre_Maintenance'!A:A,'CKadeaTelcoRegistre_Maintenance'!C:C,"Non repertorié")</f>
        <v>Non repertorié</v>
      </c>
      <c r="G29" t="str">
        <f>_xlfn.XLOOKUP(CKadeaTelcoLogs_Reseau[[#This Row],[Cell_ID]],'CKadeaTelcoRegistre_Maintenance'!A:A,'CKadeaTelcoRegistre_Maintenance'!D:D,"Non repertorié")</f>
        <v>Non repertorié</v>
      </c>
      <c r="H29" t="str">
        <f>_xlfn.XLOOKUP(CKadeaTelcoLogs_Reseau[[#This Row],[Cell_ID]],'CKadeaTelcoRegistre_Maintenance'!A:A,'CKadeaTelcoRegistre_Maintenance'!E:E,"Non repertorié")</f>
        <v>Non repertorié</v>
      </c>
      <c r="I29" t="str">
        <f>_xlfn.XLOOKUP(CKadeaTelcoLogs_Reseau[[#This Row],[Cell_ID]],'CKadeaTelcoRegistre_Maintenance'!A:A,'CKadeaTelcoRegistre_Maintenance'!F:F,"Non repertorié")</f>
        <v>Non repertorié</v>
      </c>
    </row>
    <row r="30" spans="1:9" ht="20.5" customHeight="1" x14ac:dyDescent="0.35">
      <c r="A30" s="1">
        <v>45227.329861111109</v>
      </c>
      <c r="B30" s="5" t="s">
        <v>32</v>
      </c>
      <c r="C30">
        <v>81</v>
      </c>
      <c r="D30" t="s">
        <v>8</v>
      </c>
      <c r="E30" t="str">
        <f>_xlfn.XLOOKUP(CKadeaTelcoLogs_Reseau[[#This Row],[Cell_ID]],'CKadeaTelcoRegistre_Maintenance'!A:A,'CKadeaTelcoRegistre_Maintenance'!B:B,"Non repertorié")</f>
        <v>Non repertorié</v>
      </c>
      <c r="F30" t="str">
        <f>_xlfn.XLOOKUP(CKadeaTelcoLogs_Reseau[[#This Row],[Cell_ID]],'CKadeaTelcoRegistre_Maintenance'!A:A,'CKadeaTelcoRegistre_Maintenance'!C:C,"Non repertorié")</f>
        <v>Non repertorié</v>
      </c>
      <c r="G30" t="str">
        <f>_xlfn.XLOOKUP(CKadeaTelcoLogs_Reseau[[#This Row],[Cell_ID]],'CKadeaTelcoRegistre_Maintenance'!A:A,'CKadeaTelcoRegistre_Maintenance'!D:D,"Non repertorié")</f>
        <v>Non repertorié</v>
      </c>
      <c r="H30" t="str">
        <f>_xlfn.XLOOKUP(CKadeaTelcoLogs_Reseau[[#This Row],[Cell_ID]],'CKadeaTelcoRegistre_Maintenance'!A:A,'CKadeaTelcoRegistre_Maintenance'!E:E,"Non repertorié")</f>
        <v>Non repertorié</v>
      </c>
      <c r="I30" t="str">
        <f>_xlfn.XLOOKUP(CKadeaTelcoLogs_Reseau[[#This Row],[Cell_ID]],'CKadeaTelcoRegistre_Maintenance'!A:A,'CKadeaTelcoRegistre_Maintenance'!F:F,"Non repertorié")</f>
        <v>Non repertorié</v>
      </c>
    </row>
    <row r="31" spans="1:9" ht="20.5" customHeight="1" x14ac:dyDescent="0.35">
      <c r="A31" s="1">
        <v>45203.511805555558</v>
      </c>
      <c r="B31" s="5" t="s">
        <v>33</v>
      </c>
      <c r="C31">
        <v>64</v>
      </c>
      <c r="D31" t="s">
        <v>10</v>
      </c>
      <c r="E31" t="str">
        <f>_xlfn.XLOOKUP(CKadeaTelcoLogs_Reseau[[#This Row],[Cell_ID]],'CKadeaTelcoRegistre_Maintenance'!A:A,'CKadeaTelcoRegistre_Maintenance'!B:B,"Non repertorié")</f>
        <v>Tshopo</v>
      </c>
      <c r="F31">
        <f>_xlfn.XLOOKUP(CKadeaTelcoLogs_Reseau[[#This Row],[Cell_ID]],'CKadeaTelcoRegistre_Maintenance'!A:A,'CKadeaTelcoRegistre_Maintenance'!C:C,"Non repertorié")</f>
        <v>0.23583499999999999</v>
      </c>
      <c r="G31">
        <f>_xlfn.XLOOKUP(CKadeaTelcoLogs_Reseau[[#This Row],[Cell_ID]],'CKadeaTelcoRegistre_Maintenance'!A:A,'CKadeaTelcoRegistre_Maintenance'!D:D,"Non repertorié")</f>
        <v>24.889558999999998</v>
      </c>
      <c r="H31" t="str">
        <f>_xlfn.XLOOKUP(CKadeaTelcoLogs_Reseau[[#This Row],[Cell_ID]],'CKadeaTelcoRegistre_Maintenance'!A:A,'CKadeaTelcoRegistre_Maintenance'!E:E,"Non repertorié")</f>
        <v>3G</v>
      </c>
      <c r="I31" t="str">
        <f>_xlfn.XLOOKUP(CKadeaTelcoLogs_Reseau[[#This Row],[Cell_ID]],'CKadeaTelcoRegistre_Maintenance'!A:A,'CKadeaTelcoRegistre_Maintenance'!F:F,"Non repertorié")</f>
        <v>ZTE</v>
      </c>
    </row>
    <row r="32" spans="1:9" ht="20.5" customHeight="1" x14ac:dyDescent="0.35">
      <c r="A32" s="1">
        <v>45214.870138888888</v>
      </c>
      <c r="B32" s="5" t="s">
        <v>34</v>
      </c>
      <c r="C32">
        <v>72</v>
      </c>
      <c r="D32" t="s">
        <v>5</v>
      </c>
      <c r="E32" t="str">
        <f>_xlfn.XLOOKUP(CKadeaTelcoLogs_Reseau[[#This Row],[Cell_ID]],'CKadeaTelcoRegistre_Maintenance'!A:A,'CKadeaTelcoRegistre_Maintenance'!B:B,"Non repertorié")</f>
        <v>Non repertorié</v>
      </c>
      <c r="F32" t="str">
        <f>_xlfn.XLOOKUP(CKadeaTelcoLogs_Reseau[[#This Row],[Cell_ID]],'CKadeaTelcoRegistre_Maintenance'!A:A,'CKadeaTelcoRegistre_Maintenance'!C:C,"Non repertorié")</f>
        <v>Non repertorié</v>
      </c>
      <c r="G32" t="str">
        <f>_xlfn.XLOOKUP(CKadeaTelcoLogs_Reseau[[#This Row],[Cell_ID]],'CKadeaTelcoRegistre_Maintenance'!A:A,'CKadeaTelcoRegistre_Maintenance'!D:D,"Non repertorié")</f>
        <v>Non repertorié</v>
      </c>
      <c r="H32" t="str">
        <f>_xlfn.XLOOKUP(CKadeaTelcoLogs_Reseau[[#This Row],[Cell_ID]],'CKadeaTelcoRegistre_Maintenance'!A:A,'CKadeaTelcoRegistre_Maintenance'!E:E,"Non repertorié")</f>
        <v>Non repertorié</v>
      </c>
      <c r="I32" t="str">
        <f>_xlfn.XLOOKUP(CKadeaTelcoLogs_Reseau[[#This Row],[Cell_ID]],'CKadeaTelcoRegistre_Maintenance'!A:A,'CKadeaTelcoRegistre_Maintenance'!F:F,"Non repertorié")</f>
        <v>Non repertorié</v>
      </c>
    </row>
    <row r="33" spans="1:9" ht="20.5" customHeight="1" x14ac:dyDescent="0.35">
      <c r="A33" s="1">
        <v>45211.224305555559</v>
      </c>
      <c r="B33" s="5" t="s">
        <v>35</v>
      </c>
      <c r="C33">
        <v>37</v>
      </c>
      <c r="D33" t="s">
        <v>5</v>
      </c>
      <c r="E33" t="str">
        <f>_xlfn.XLOOKUP(CKadeaTelcoLogs_Reseau[[#This Row],[Cell_ID]],'CKadeaTelcoRegistre_Maintenance'!A:A,'CKadeaTelcoRegistre_Maintenance'!B:B,"Non repertorié")</f>
        <v>Tanganyika</v>
      </c>
      <c r="F33">
        <f>_xlfn.XLOOKUP(CKadeaTelcoLogs_Reseau[[#This Row],[Cell_ID]],'CKadeaTelcoRegistre_Maintenance'!A:A,'CKadeaTelcoRegistre_Maintenance'!C:C,"Non repertorié")</f>
        <v>-2.4662510000000002</v>
      </c>
      <c r="G33">
        <f>_xlfn.XLOOKUP(CKadeaTelcoLogs_Reseau[[#This Row],[Cell_ID]],'CKadeaTelcoRegistre_Maintenance'!A:A,'CKadeaTelcoRegistre_Maintenance'!D:D,"Non repertorié")</f>
        <v>18.007998000000001</v>
      </c>
      <c r="H33" t="str">
        <f>_xlfn.XLOOKUP(CKadeaTelcoLogs_Reseau[[#This Row],[Cell_ID]],'CKadeaTelcoRegistre_Maintenance'!A:A,'CKadeaTelcoRegistre_Maintenance'!E:E,"Non repertorié")</f>
        <v>5G</v>
      </c>
      <c r="I33" t="str">
        <f>_xlfn.XLOOKUP(CKadeaTelcoLogs_Reseau[[#This Row],[Cell_ID]],'CKadeaTelcoRegistre_Maintenance'!A:A,'CKadeaTelcoRegistre_Maintenance'!F:F,"Non repertorié")</f>
        <v>Ericsson</v>
      </c>
    </row>
    <row r="34" spans="1:9" ht="20.5" customHeight="1" x14ac:dyDescent="0.35">
      <c r="A34" s="1">
        <v>45211.279166666667</v>
      </c>
      <c r="B34" s="5" t="s">
        <v>36</v>
      </c>
      <c r="C34">
        <v>75</v>
      </c>
      <c r="D34" t="s">
        <v>5</v>
      </c>
      <c r="E34" t="str">
        <f>_xlfn.XLOOKUP(CKadeaTelcoLogs_Reseau[[#This Row],[Cell_ID]],'CKadeaTelcoRegistre_Maintenance'!A:A,'CKadeaTelcoRegistre_Maintenance'!B:B,"Non repertorié")</f>
        <v>Nord-Ubangi</v>
      </c>
      <c r="F34">
        <f>_xlfn.XLOOKUP(CKadeaTelcoLogs_Reseau[[#This Row],[Cell_ID]],'CKadeaTelcoRegistre_Maintenance'!A:A,'CKadeaTelcoRegistre_Maintenance'!C:C,"Non repertorié")</f>
        <v>-8.1437910000000002</v>
      </c>
      <c r="G34">
        <f>_xlfn.XLOOKUP(CKadeaTelcoLogs_Reseau[[#This Row],[Cell_ID]],'CKadeaTelcoRegistre_Maintenance'!A:A,'CKadeaTelcoRegistre_Maintenance'!D:D,"Non repertorié")</f>
        <v>28.946161</v>
      </c>
      <c r="H34" t="str">
        <f>_xlfn.XLOOKUP(CKadeaTelcoLogs_Reseau[[#This Row],[Cell_ID]],'CKadeaTelcoRegistre_Maintenance'!A:A,'CKadeaTelcoRegistre_Maintenance'!E:E,"Non repertorié")</f>
        <v>4G</v>
      </c>
      <c r="I34" t="str">
        <f>_xlfn.XLOOKUP(CKadeaTelcoLogs_Reseau[[#This Row],[Cell_ID]],'CKadeaTelcoRegistre_Maintenance'!A:A,'CKadeaTelcoRegistre_Maintenance'!F:F,"Non repertorié")</f>
        <v>ZTE</v>
      </c>
    </row>
    <row r="35" spans="1:9" ht="20.5" customHeight="1" x14ac:dyDescent="0.35">
      <c r="A35" s="1">
        <v>45208.957638888889</v>
      </c>
      <c r="B35" s="5" t="s">
        <v>37</v>
      </c>
      <c r="C35">
        <v>115</v>
      </c>
      <c r="D35" t="s">
        <v>5</v>
      </c>
      <c r="E35" t="str">
        <f>_xlfn.XLOOKUP(CKadeaTelcoLogs_Reseau[[#This Row],[Cell_ID]],'CKadeaTelcoRegistre_Maintenance'!A:A,'CKadeaTelcoRegistre_Maintenance'!B:B,"Non repertorié")</f>
        <v>Tshopo</v>
      </c>
      <c r="F35">
        <f>_xlfn.XLOOKUP(CKadeaTelcoLogs_Reseau[[#This Row],[Cell_ID]],'CKadeaTelcoRegistre_Maintenance'!A:A,'CKadeaTelcoRegistre_Maintenance'!C:C,"Non repertorié")</f>
        <v>-6.1837850000000003</v>
      </c>
      <c r="G35">
        <f>_xlfn.XLOOKUP(CKadeaTelcoLogs_Reseau[[#This Row],[Cell_ID]],'CKadeaTelcoRegistre_Maintenance'!A:A,'CKadeaTelcoRegistre_Maintenance'!D:D,"Non repertorié")</f>
        <v>25.138759</v>
      </c>
      <c r="H35" t="str">
        <f>_xlfn.XLOOKUP(CKadeaTelcoLogs_Reseau[[#This Row],[Cell_ID]],'CKadeaTelcoRegistre_Maintenance'!A:A,'CKadeaTelcoRegistre_Maintenance'!E:E,"Non repertorié")</f>
        <v>3G</v>
      </c>
      <c r="I35" t="str">
        <f>_xlfn.XLOOKUP(CKadeaTelcoLogs_Reseau[[#This Row],[Cell_ID]],'CKadeaTelcoRegistre_Maintenance'!A:A,'CKadeaTelcoRegistre_Maintenance'!F:F,"Non repertorié")</f>
        <v>Ericsson</v>
      </c>
    </row>
    <row r="36" spans="1:9" ht="20.5" customHeight="1" x14ac:dyDescent="0.35">
      <c r="A36" s="1">
        <v>45221.836111111108</v>
      </c>
      <c r="B36" s="5" t="s">
        <v>38</v>
      </c>
      <c r="C36">
        <v>6</v>
      </c>
      <c r="D36" t="s">
        <v>10</v>
      </c>
      <c r="E36" t="str">
        <f>_xlfn.XLOOKUP(CKadeaTelcoLogs_Reseau[[#This Row],[Cell_ID]],'CKadeaTelcoRegistre_Maintenance'!A:A,'CKadeaTelcoRegistre_Maintenance'!B:B,"Non repertorié")</f>
        <v>Kasai</v>
      </c>
      <c r="F36">
        <f>_xlfn.XLOOKUP(CKadeaTelcoLogs_Reseau[[#This Row],[Cell_ID]],'CKadeaTelcoRegistre_Maintenance'!A:A,'CKadeaTelcoRegistre_Maintenance'!C:C,"Non repertorié")</f>
        <v>-4.9789079999999997</v>
      </c>
      <c r="G36">
        <f>_xlfn.XLOOKUP(CKadeaTelcoLogs_Reseau[[#This Row],[Cell_ID]],'CKadeaTelcoRegistre_Maintenance'!A:A,'CKadeaTelcoRegistre_Maintenance'!D:D,"Non repertorié")</f>
        <v>28.506295000000001</v>
      </c>
      <c r="H36" t="str">
        <f>_xlfn.XLOOKUP(CKadeaTelcoLogs_Reseau[[#This Row],[Cell_ID]],'CKadeaTelcoRegistre_Maintenance'!A:A,'CKadeaTelcoRegistre_Maintenance'!E:E,"Non repertorié")</f>
        <v>4G</v>
      </c>
      <c r="I36" t="str">
        <f>_xlfn.XLOOKUP(CKadeaTelcoLogs_Reseau[[#This Row],[Cell_ID]],'CKadeaTelcoRegistre_Maintenance'!A:A,'CKadeaTelcoRegistre_Maintenance'!F:F,"Non repertorié")</f>
        <v>Huawei</v>
      </c>
    </row>
    <row r="37" spans="1:9" ht="20.5" customHeight="1" x14ac:dyDescent="0.35">
      <c r="A37" s="1">
        <v>45219.840277777781</v>
      </c>
      <c r="B37" s="5" t="s">
        <v>39</v>
      </c>
      <c r="C37">
        <v>92</v>
      </c>
      <c r="D37" t="s">
        <v>5</v>
      </c>
      <c r="E37" t="str">
        <f>_xlfn.XLOOKUP(CKadeaTelcoLogs_Reseau[[#This Row],[Cell_ID]],'CKadeaTelcoRegistre_Maintenance'!A:A,'CKadeaTelcoRegistre_Maintenance'!B:B,"Non repertorié")</f>
        <v>Non repertorié</v>
      </c>
      <c r="F37" t="str">
        <f>_xlfn.XLOOKUP(CKadeaTelcoLogs_Reseau[[#This Row],[Cell_ID]],'CKadeaTelcoRegistre_Maintenance'!A:A,'CKadeaTelcoRegistre_Maintenance'!C:C,"Non repertorié")</f>
        <v>Non repertorié</v>
      </c>
      <c r="G37" t="str">
        <f>_xlfn.XLOOKUP(CKadeaTelcoLogs_Reseau[[#This Row],[Cell_ID]],'CKadeaTelcoRegistre_Maintenance'!A:A,'CKadeaTelcoRegistre_Maintenance'!D:D,"Non repertorié")</f>
        <v>Non repertorié</v>
      </c>
      <c r="H37" t="str">
        <f>_xlfn.XLOOKUP(CKadeaTelcoLogs_Reseau[[#This Row],[Cell_ID]],'CKadeaTelcoRegistre_Maintenance'!A:A,'CKadeaTelcoRegistre_Maintenance'!E:E,"Non repertorié")</f>
        <v>Non repertorié</v>
      </c>
      <c r="I37" t="str">
        <f>_xlfn.XLOOKUP(CKadeaTelcoLogs_Reseau[[#This Row],[Cell_ID]],'CKadeaTelcoRegistre_Maintenance'!A:A,'CKadeaTelcoRegistre_Maintenance'!F:F,"Non repertorié")</f>
        <v>Non repertorié</v>
      </c>
    </row>
    <row r="38" spans="1:9" ht="20.5" customHeight="1" x14ac:dyDescent="0.35">
      <c r="A38" s="1">
        <v>45217.96875</v>
      </c>
      <c r="B38" s="5" t="s">
        <v>40</v>
      </c>
      <c r="C38">
        <v>97</v>
      </c>
      <c r="D38" t="s">
        <v>8</v>
      </c>
      <c r="E38" t="str">
        <f>_xlfn.XLOOKUP(CKadeaTelcoLogs_Reseau[[#This Row],[Cell_ID]],'CKadeaTelcoRegistre_Maintenance'!A:A,'CKadeaTelcoRegistre_Maintenance'!B:B,"Non repertorié")</f>
        <v>Kasai</v>
      </c>
      <c r="F38">
        <f>_xlfn.XLOOKUP(CKadeaTelcoLogs_Reseau[[#This Row],[Cell_ID]],'CKadeaTelcoRegistre_Maintenance'!A:A,'CKadeaTelcoRegistre_Maintenance'!C:C,"Non repertorié")</f>
        <v>-10.059846</v>
      </c>
      <c r="G38">
        <f>_xlfn.XLOOKUP(CKadeaTelcoLogs_Reseau[[#This Row],[Cell_ID]],'CKadeaTelcoRegistre_Maintenance'!A:A,'CKadeaTelcoRegistre_Maintenance'!D:D,"Non repertorié")</f>
        <v>14.375757999999999</v>
      </c>
      <c r="H38" t="str">
        <f>_xlfn.XLOOKUP(CKadeaTelcoLogs_Reseau[[#This Row],[Cell_ID]],'CKadeaTelcoRegistre_Maintenance'!A:A,'CKadeaTelcoRegistre_Maintenance'!E:E,"Non repertorié")</f>
        <v>4G</v>
      </c>
      <c r="I38" t="str">
        <f>_xlfn.XLOOKUP(CKadeaTelcoLogs_Reseau[[#This Row],[Cell_ID]],'CKadeaTelcoRegistre_Maintenance'!A:A,'CKadeaTelcoRegistre_Maintenance'!F:F,"Non repertorié")</f>
        <v>Huawei</v>
      </c>
    </row>
    <row r="39" spans="1:9" ht="20.5" customHeight="1" x14ac:dyDescent="0.35">
      <c r="A39" s="1">
        <v>45205.599999999999</v>
      </c>
      <c r="B39" s="5" t="s">
        <v>41</v>
      </c>
      <c r="C39">
        <v>19</v>
      </c>
      <c r="D39" t="s">
        <v>8</v>
      </c>
      <c r="E39" t="str">
        <f>_xlfn.XLOOKUP(CKadeaTelcoLogs_Reseau[[#This Row],[Cell_ID]],'CKadeaTelcoRegistre_Maintenance'!A:A,'CKadeaTelcoRegistre_Maintenance'!B:B,"Non repertorié")</f>
        <v>Non repertorié</v>
      </c>
      <c r="F39" t="str">
        <f>_xlfn.XLOOKUP(CKadeaTelcoLogs_Reseau[[#This Row],[Cell_ID]],'CKadeaTelcoRegistre_Maintenance'!A:A,'CKadeaTelcoRegistre_Maintenance'!C:C,"Non repertorié")</f>
        <v>Non repertorié</v>
      </c>
      <c r="G39" t="str">
        <f>_xlfn.XLOOKUP(CKadeaTelcoLogs_Reseau[[#This Row],[Cell_ID]],'CKadeaTelcoRegistre_Maintenance'!A:A,'CKadeaTelcoRegistre_Maintenance'!D:D,"Non repertorié")</f>
        <v>Non repertorié</v>
      </c>
      <c r="H39" t="str">
        <f>_xlfn.XLOOKUP(CKadeaTelcoLogs_Reseau[[#This Row],[Cell_ID]],'CKadeaTelcoRegistre_Maintenance'!A:A,'CKadeaTelcoRegistre_Maintenance'!E:E,"Non repertorié")</f>
        <v>Non repertorié</v>
      </c>
      <c r="I39" t="str">
        <f>_xlfn.XLOOKUP(CKadeaTelcoLogs_Reseau[[#This Row],[Cell_ID]],'CKadeaTelcoRegistre_Maintenance'!A:A,'CKadeaTelcoRegistre_Maintenance'!F:F,"Non repertorié")</f>
        <v>Non repertorié</v>
      </c>
    </row>
    <row r="40" spans="1:9" ht="20.5" customHeight="1" x14ac:dyDescent="0.35">
      <c r="A40" s="1">
        <v>45208.863888888889</v>
      </c>
      <c r="B40" s="5" t="s">
        <v>42</v>
      </c>
      <c r="C40">
        <v>92</v>
      </c>
      <c r="D40" t="s">
        <v>5</v>
      </c>
      <c r="E40" t="str">
        <f>_xlfn.XLOOKUP(CKadeaTelcoLogs_Reseau[[#This Row],[Cell_ID]],'CKadeaTelcoRegistre_Maintenance'!A:A,'CKadeaTelcoRegistre_Maintenance'!B:B,"Non repertorié")</f>
        <v>Kwilu</v>
      </c>
      <c r="F40">
        <f>_xlfn.XLOOKUP(CKadeaTelcoLogs_Reseau[[#This Row],[Cell_ID]],'CKadeaTelcoRegistre_Maintenance'!A:A,'CKadeaTelcoRegistre_Maintenance'!C:C,"Non repertorié")</f>
        <v>-0.77432100000000004</v>
      </c>
      <c r="G40">
        <f>_xlfn.XLOOKUP(CKadeaTelcoLogs_Reseau[[#This Row],[Cell_ID]],'CKadeaTelcoRegistre_Maintenance'!A:A,'CKadeaTelcoRegistre_Maintenance'!D:D,"Non repertorié")</f>
        <v>18.628658999999999</v>
      </c>
      <c r="H40" t="str">
        <f>_xlfn.XLOOKUP(CKadeaTelcoLogs_Reseau[[#This Row],[Cell_ID]],'CKadeaTelcoRegistre_Maintenance'!A:A,'CKadeaTelcoRegistre_Maintenance'!E:E,"Non repertorié")</f>
        <v>4G</v>
      </c>
      <c r="I40" t="str">
        <f>_xlfn.XLOOKUP(CKadeaTelcoLogs_Reseau[[#This Row],[Cell_ID]],'CKadeaTelcoRegistre_Maintenance'!A:A,'CKadeaTelcoRegistre_Maintenance'!F:F,"Non repertorié")</f>
        <v>Huawei</v>
      </c>
    </row>
    <row r="41" spans="1:9" ht="20.5" customHeight="1" x14ac:dyDescent="0.35">
      <c r="A41" s="1">
        <v>45217.321527777778</v>
      </c>
      <c r="B41" s="5" t="s">
        <v>43</v>
      </c>
      <c r="C41">
        <v>118</v>
      </c>
      <c r="D41" t="s">
        <v>8</v>
      </c>
      <c r="E41" t="str">
        <f>_xlfn.XLOOKUP(CKadeaTelcoLogs_Reseau[[#This Row],[Cell_ID]],'CKadeaTelcoRegistre_Maintenance'!A:A,'CKadeaTelcoRegistre_Maintenance'!B:B,"Non repertorié")</f>
        <v>Non repertorié</v>
      </c>
      <c r="F41" t="str">
        <f>_xlfn.XLOOKUP(CKadeaTelcoLogs_Reseau[[#This Row],[Cell_ID]],'CKadeaTelcoRegistre_Maintenance'!A:A,'CKadeaTelcoRegistre_Maintenance'!C:C,"Non repertorié")</f>
        <v>Non repertorié</v>
      </c>
      <c r="G41" t="str">
        <f>_xlfn.XLOOKUP(CKadeaTelcoLogs_Reseau[[#This Row],[Cell_ID]],'CKadeaTelcoRegistre_Maintenance'!A:A,'CKadeaTelcoRegistre_Maintenance'!D:D,"Non repertorié")</f>
        <v>Non repertorié</v>
      </c>
      <c r="H41" t="str">
        <f>_xlfn.XLOOKUP(CKadeaTelcoLogs_Reseau[[#This Row],[Cell_ID]],'CKadeaTelcoRegistre_Maintenance'!A:A,'CKadeaTelcoRegistre_Maintenance'!E:E,"Non repertorié")</f>
        <v>Non repertorié</v>
      </c>
      <c r="I41" t="str">
        <f>_xlfn.XLOOKUP(CKadeaTelcoLogs_Reseau[[#This Row],[Cell_ID]],'CKadeaTelcoRegistre_Maintenance'!A:A,'CKadeaTelcoRegistre_Maintenance'!F:F,"Non repertorié")</f>
        <v>Non repertorié</v>
      </c>
    </row>
    <row r="42" spans="1:9" ht="20.5" customHeight="1" x14ac:dyDescent="0.35">
      <c r="A42" s="1">
        <v>45210.051388888889</v>
      </c>
      <c r="B42" s="5" t="s">
        <v>44</v>
      </c>
      <c r="C42">
        <v>73</v>
      </c>
      <c r="D42" t="s">
        <v>5</v>
      </c>
      <c r="E42" t="str">
        <f>_xlfn.XLOOKUP(CKadeaTelcoLogs_Reseau[[#This Row],[Cell_ID]],'CKadeaTelcoRegistre_Maintenance'!A:A,'CKadeaTelcoRegistre_Maintenance'!B:B,"Non repertorié")</f>
        <v>Tanganyika</v>
      </c>
      <c r="F42">
        <f>_xlfn.XLOOKUP(CKadeaTelcoLogs_Reseau[[#This Row],[Cell_ID]],'CKadeaTelcoRegistre_Maintenance'!A:A,'CKadeaTelcoRegistre_Maintenance'!C:C,"Non repertorié")</f>
        <v>-10.776204</v>
      </c>
      <c r="G42">
        <f>_xlfn.XLOOKUP(CKadeaTelcoLogs_Reseau[[#This Row],[Cell_ID]],'CKadeaTelcoRegistre_Maintenance'!A:A,'CKadeaTelcoRegistre_Maintenance'!D:D,"Non repertorié")</f>
        <v>24.672934000000001</v>
      </c>
      <c r="H42" t="str">
        <f>_xlfn.XLOOKUP(CKadeaTelcoLogs_Reseau[[#This Row],[Cell_ID]],'CKadeaTelcoRegistre_Maintenance'!A:A,'CKadeaTelcoRegistre_Maintenance'!E:E,"Non repertorié")</f>
        <v>4G</v>
      </c>
      <c r="I42" t="str">
        <f>_xlfn.XLOOKUP(CKadeaTelcoLogs_Reseau[[#This Row],[Cell_ID]],'CKadeaTelcoRegistre_Maintenance'!A:A,'CKadeaTelcoRegistre_Maintenance'!F:F,"Non repertorié")</f>
        <v>Ericsson</v>
      </c>
    </row>
    <row r="43" spans="1:9" ht="20.5" customHeight="1" x14ac:dyDescent="0.35">
      <c r="A43" s="1">
        <v>45226.07708333333</v>
      </c>
      <c r="B43" s="5" t="s">
        <v>45</v>
      </c>
      <c r="C43">
        <v>101</v>
      </c>
      <c r="D43" t="s">
        <v>5</v>
      </c>
      <c r="E43" t="str">
        <f>_xlfn.XLOOKUP(CKadeaTelcoLogs_Reseau[[#This Row],[Cell_ID]],'CKadeaTelcoRegistre_Maintenance'!A:A,'CKadeaTelcoRegistre_Maintenance'!B:B,"Non repertorié")</f>
        <v>Sud-Kivu</v>
      </c>
      <c r="F43">
        <f>_xlfn.XLOOKUP(CKadeaTelcoLogs_Reseau[[#This Row],[Cell_ID]],'CKadeaTelcoRegistre_Maintenance'!A:A,'CKadeaTelcoRegistre_Maintenance'!C:C,"Non repertorié")</f>
        <v>4.2493650000000001</v>
      </c>
      <c r="G43">
        <f>_xlfn.XLOOKUP(CKadeaTelcoLogs_Reseau[[#This Row],[Cell_ID]],'CKadeaTelcoRegistre_Maintenance'!A:A,'CKadeaTelcoRegistre_Maintenance'!D:D,"Non repertorié")</f>
        <v>28.355039999999999</v>
      </c>
      <c r="H43" t="str">
        <f>_xlfn.XLOOKUP(CKadeaTelcoLogs_Reseau[[#This Row],[Cell_ID]],'CKadeaTelcoRegistre_Maintenance'!A:A,'CKadeaTelcoRegistre_Maintenance'!E:E,"Non repertorié")</f>
        <v>3G</v>
      </c>
      <c r="I43" t="str">
        <f>_xlfn.XLOOKUP(CKadeaTelcoLogs_Reseau[[#This Row],[Cell_ID]],'CKadeaTelcoRegistre_Maintenance'!A:A,'CKadeaTelcoRegistre_Maintenance'!F:F,"Non repertorié")</f>
        <v>ZTE</v>
      </c>
    </row>
    <row r="44" spans="1:9" ht="20.5" customHeight="1" x14ac:dyDescent="0.35">
      <c r="A44" s="1">
        <v>45202.290277777778</v>
      </c>
      <c r="B44" s="5" t="s">
        <v>46</v>
      </c>
      <c r="C44">
        <v>103</v>
      </c>
      <c r="D44" t="s">
        <v>8</v>
      </c>
      <c r="E44" t="str">
        <f>_xlfn.XLOOKUP(CKadeaTelcoLogs_Reseau[[#This Row],[Cell_ID]],'CKadeaTelcoRegistre_Maintenance'!A:A,'CKadeaTelcoRegistre_Maintenance'!B:B,"Non repertorié")</f>
        <v>Equateur</v>
      </c>
      <c r="F44">
        <f>_xlfn.XLOOKUP(CKadeaTelcoLogs_Reseau[[#This Row],[Cell_ID]],'CKadeaTelcoRegistre_Maintenance'!A:A,'CKadeaTelcoRegistre_Maintenance'!C:C,"Non repertorié")</f>
        <v>4.9250049999999996</v>
      </c>
      <c r="G44">
        <f>_xlfn.XLOOKUP(CKadeaTelcoLogs_Reseau[[#This Row],[Cell_ID]],'CKadeaTelcoRegistre_Maintenance'!A:A,'CKadeaTelcoRegistre_Maintenance'!D:D,"Non repertorié")</f>
        <v>19.887931999999999</v>
      </c>
      <c r="H44" t="str">
        <f>_xlfn.XLOOKUP(CKadeaTelcoLogs_Reseau[[#This Row],[Cell_ID]],'CKadeaTelcoRegistre_Maintenance'!A:A,'CKadeaTelcoRegistre_Maintenance'!E:E,"Non repertorié")</f>
        <v>4G</v>
      </c>
      <c r="I44" t="str">
        <f>_xlfn.XLOOKUP(CKadeaTelcoLogs_Reseau[[#This Row],[Cell_ID]],'CKadeaTelcoRegistre_Maintenance'!A:A,'CKadeaTelcoRegistre_Maintenance'!F:F,"Non repertorié")</f>
        <v>Huawei</v>
      </c>
    </row>
    <row r="45" spans="1:9" ht="20.5" customHeight="1" x14ac:dyDescent="0.35">
      <c r="A45" s="1">
        <v>45230.788888888892</v>
      </c>
      <c r="B45" s="5" t="s">
        <v>47</v>
      </c>
      <c r="C45">
        <v>87</v>
      </c>
      <c r="D45" t="s">
        <v>8</v>
      </c>
      <c r="E45" t="str">
        <f>_xlfn.XLOOKUP(CKadeaTelcoLogs_Reseau[[#This Row],[Cell_ID]],'CKadeaTelcoRegistre_Maintenance'!A:A,'CKadeaTelcoRegistre_Maintenance'!B:B,"Non repertorié")</f>
        <v>Non repertorié</v>
      </c>
      <c r="F45" t="str">
        <f>_xlfn.XLOOKUP(CKadeaTelcoLogs_Reseau[[#This Row],[Cell_ID]],'CKadeaTelcoRegistre_Maintenance'!A:A,'CKadeaTelcoRegistre_Maintenance'!C:C,"Non repertorié")</f>
        <v>Non repertorié</v>
      </c>
      <c r="G45" t="str">
        <f>_xlfn.XLOOKUP(CKadeaTelcoLogs_Reseau[[#This Row],[Cell_ID]],'CKadeaTelcoRegistre_Maintenance'!A:A,'CKadeaTelcoRegistre_Maintenance'!D:D,"Non repertorié")</f>
        <v>Non repertorié</v>
      </c>
      <c r="H45" t="str">
        <f>_xlfn.XLOOKUP(CKadeaTelcoLogs_Reseau[[#This Row],[Cell_ID]],'CKadeaTelcoRegistre_Maintenance'!A:A,'CKadeaTelcoRegistre_Maintenance'!E:E,"Non repertorié")</f>
        <v>Non repertorié</v>
      </c>
      <c r="I45" t="str">
        <f>_xlfn.XLOOKUP(CKadeaTelcoLogs_Reseau[[#This Row],[Cell_ID]],'CKadeaTelcoRegistre_Maintenance'!A:A,'CKadeaTelcoRegistre_Maintenance'!F:F,"Non repertorié")</f>
        <v>Non repertorié</v>
      </c>
    </row>
    <row r="46" spans="1:9" ht="20.5" customHeight="1" x14ac:dyDescent="0.35">
      <c r="A46" s="1">
        <v>45222.425694444442</v>
      </c>
      <c r="B46" s="5" t="s">
        <v>48</v>
      </c>
      <c r="C46">
        <v>48</v>
      </c>
      <c r="D46" t="s">
        <v>5</v>
      </c>
      <c r="E46" t="str">
        <f>_xlfn.XLOOKUP(CKadeaTelcoLogs_Reseau[[#This Row],[Cell_ID]],'CKadeaTelcoRegistre_Maintenance'!A:A,'CKadeaTelcoRegistre_Maintenance'!B:B,"Non repertorié")</f>
        <v>Non repertorié</v>
      </c>
      <c r="F46" t="str">
        <f>_xlfn.XLOOKUP(CKadeaTelcoLogs_Reseau[[#This Row],[Cell_ID]],'CKadeaTelcoRegistre_Maintenance'!A:A,'CKadeaTelcoRegistre_Maintenance'!C:C,"Non repertorié")</f>
        <v>Non repertorié</v>
      </c>
      <c r="G46" t="str">
        <f>_xlfn.XLOOKUP(CKadeaTelcoLogs_Reseau[[#This Row],[Cell_ID]],'CKadeaTelcoRegistre_Maintenance'!A:A,'CKadeaTelcoRegistre_Maintenance'!D:D,"Non repertorié")</f>
        <v>Non repertorié</v>
      </c>
      <c r="H46" t="str">
        <f>_xlfn.XLOOKUP(CKadeaTelcoLogs_Reseau[[#This Row],[Cell_ID]],'CKadeaTelcoRegistre_Maintenance'!A:A,'CKadeaTelcoRegistre_Maintenance'!E:E,"Non repertorié")</f>
        <v>Non repertorié</v>
      </c>
      <c r="I46" t="str">
        <f>_xlfn.XLOOKUP(CKadeaTelcoLogs_Reseau[[#This Row],[Cell_ID]],'CKadeaTelcoRegistre_Maintenance'!A:A,'CKadeaTelcoRegistre_Maintenance'!F:F,"Non repertorié")</f>
        <v>Non repertorié</v>
      </c>
    </row>
    <row r="47" spans="1:9" ht="20.5" customHeight="1" x14ac:dyDescent="0.35">
      <c r="A47" s="1">
        <v>45220.642361111109</v>
      </c>
      <c r="B47" s="5" t="s">
        <v>49</v>
      </c>
      <c r="C47">
        <v>19</v>
      </c>
      <c r="D47" t="s">
        <v>5</v>
      </c>
      <c r="E47" t="str">
        <f>_xlfn.XLOOKUP(CKadeaTelcoLogs_Reseau[[#This Row],[Cell_ID]],'CKadeaTelcoRegistre_Maintenance'!A:A,'CKadeaTelcoRegistre_Maintenance'!B:B,"Non repertorié")</f>
        <v>Non repertorié</v>
      </c>
      <c r="F47" t="str">
        <f>_xlfn.XLOOKUP(CKadeaTelcoLogs_Reseau[[#This Row],[Cell_ID]],'CKadeaTelcoRegistre_Maintenance'!A:A,'CKadeaTelcoRegistre_Maintenance'!C:C,"Non repertorié")</f>
        <v>Non repertorié</v>
      </c>
      <c r="G47" t="str">
        <f>_xlfn.XLOOKUP(CKadeaTelcoLogs_Reseau[[#This Row],[Cell_ID]],'CKadeaTelcoRegistre_Maintenance'!A:A,'CKadeaTelcoRegistre_Maintenance'!D:D,"Non repertorié")</f>
        <v>Non repertorié</v>
      </c>
      <c r="H47" t="str">
        <f>_xlfn.XLOOKUP(CKadeaTelcoLogs_Reseau[[#This Row],[Cell_ID]],'CKadeaTelcoRegistre_Maintenance'!A:A,'CKadeaTelcoRegistre_Maintenance'!E:E,"Non repertorié")</f>
        <v>Non repertorié</v>
      </c>
      <c r="I47" t="str">
        <f>_xlfn.XLOOKUP(CKadeaTelcoLogs_Reseau[[#This Row],[Cell_ID]],'CKadeaTelcoRegistre_Maintenance'!A:A,'CKadeaTelcoRegistre_Maintenance'!F:F,"Non repertorié")</f>
        <v>Non repertorié</v>
      </c>
    </row>
    <row r="48" spans="1:9" ht="20.5" customHeight="1" x14ac:dyDescent="0.35">
      <c r="A48" s="1">
        <v>45228.853472222225</v>
      </c>
      <c r="B48" s="5" t="s">
        <v>44</v>
      </c>
      <c r="C48">
        <v>42</v>
      </c>
      <c r="D48" t="s">
        <v>5</v>
      </c>
      <c r="E48" t="str">
        <f>_xlfn.XLOOKUP(CKadeaTelcoLogs_Reseau[[#This Row],[Cell_ID]],'CKadeaTelcoRegistre_Maintenance'!A:A,'CKadeaTelcoRegistre_Maintenance'!B:B,"Non repertorié")</f>
        <v>Tanganyika</v>
      </c>
      <c r="F48">
        <f>_xlfn.XLOOKUP(CKadeaTelcoLogs_Reseau[[#This Row],[Cell_ID]],'CKadeaTelcoRegistre_Maintenance'!A:A,'CKadeaTelcoRegistre_Maintenance'!C:C,"Non repertorié")</f>
        <v>-10.776204</v>
      </c>
      <c r="G48">
        <f>_xlfn.XLOOKUP(CKadeaTelcoLogs_Reseau[[#This Row],[Cell_ID]],'CKadeaTelcoRegistre_Maintenance'!A:A,'CKadeaTelcoRegistre_Maintenance'!D:D,"Non repertorié")</f>
        <v>24.672934000000001</v>
      </c>
      <c r="H48" t="str">
        <f>_xlfn.XLOOKUP(CKadeaTelcoLogs_Reseau[[#This Row],[Cell_ID]],'CKadeaTelcoRegistre_Maintenance'!A:A,'CKadeaTelcoRegistre_Maintenance'!E:E,"Non repertorié")</f>
        <v>4G</v>
      </c>
      <c r="I48" t="str">
        <f>_xlfn.XLOOKUP(CKadeaTelcoLogs_Reseau[[#This Row],[Cell_ID]],'CKadeaTelcoRegistre_Maintenance'!A:A,'CKadeaTelcoRegistre_Maintenance'!F:F,"Non repertorié")</f>
        <v>Ericsson</v>
      </c>
    </row>
    <row r="49" spans="1:9" ht="20.5" customHeight="1" x14ac:dyDescent="0.35">
      <c r="A49" s="1">
        <v>45204.338888888888</v>
      </c>
      <c r="B49" s="5" t="s">
        <v>50</v>
      </c>
      <c r="C49">
        <v>60</v>
      </c>
      <c r="D49" t="s">
        <v>5</v>
      </c>
      <c r="E49" t="str">
        <f>_xlfn.XLOOKUP(CKadeaTelcoLogs_Reseau[[#This Row],[Cell_ID]],'CKadeaTelcoRegistre_Maintenance'!A:A,'CKadeaTelcoRegistre_Maintenance'!B:B,"Non repertorié")</f>
        <v>Non repertorié</v>
      </c>
      <c r="F49" t="str">
        <f>_xlfn.XLOOKUP(CKadeaTelcoLogs_Reseau[[#This Row],[Cell_ID]],'CKadeaTelcoRegistre_Maintenance'!A:A,'CKadeaTelcoRegistre_Maintenance'!C:C,"Non repertorié")</f>
        <v>Non repertorié</v>
      </c>
      <c r="G49" t="str">
        <f>_xlfn.XLOOKUP(CKadeaTelcoLogs_Reseau[[#This Row],[Cell_ID]],'CKadeaTelcoRegistre_Maintenance'!A:A,'CKadeaTelcoRegistre_Maintenance'!D:D,"Non repertorié")</f>
        <v>Non repertorié</v>
      </c>
      <c r="H49" t="str">
        <f>_xlfn.XLOOKUP(CKadeaTelcoLogs_Reseau[[#This Row],[Cell_ID]],'CKadeaTelcoRegistre_Maintenance'!A:A,'CKadeaTelcoRegistre_Maintenance'!E:E,"Non repertorié")</f>
        <v>Non repertorié</v>
      </c>
      <c r="I49" t="str">
        <f>_xlfn.XLOOKUP(CKadeaTelcoLogs_Reseau[[#This Row],[Cell_ID]],'CKadeaTelcoRegistre_Maintenance'!A:A,'CKadeaTelcoRegistre_Maintenance'!F:F,"Non repertorié")</f>
        <v>Non repertorié</v>
      </c>
    </row>
    <row r="50" spans="1:9" ht="20.5" customHeight="1" x14ac:dyDescent="0.35">
      <c r="A50" s="1">
        <v>45207.982638888891</v>
      </c>
      <c r="B50" s="5" t="s">
        <v>51</v>
      </c>
      <c r="C50">
        <v>25</v>
      </c>
      <c r="D50" t="s">
        <v>10</v>
      </c>
      <c r="E50" t="str">
        <f>_xlfn.XLOOKUP(CKadeaTelcoLogs_Reseau[[#This Row],[Cell_ID]],'CKadeaTelcoRegistre_Maintenance'!A:A,'CKadeaTelcoRegistre_Maintenance'!B:B,"Non repertorié")</f>
        <v>Nord-Kivu</v>
      </c>
      <c r="F50">
        <f>_xlfn.XLOOKUP(CKadeaTelcoLogs_Reseau[[#This Row],[Cell_ID]],'CKadeaTelcoRegistre_Maintenance'!A:A,'CKadeaTelcoRegistre_Maintenance'!C:C,"Non repertorié")</f>
        <v>-11.866133</v>
      </c>
      <c r="G50">
        <f>_xlfn.XLOOKUP(CKadeaTelcoLogs_Reseau[[#This Row],[Cell_ID]],'CKadeaTelcoRegistre_Maintenance'!A:A,'CKadeaTelcoRegistre_Maintenance'!D:D,"Non repertorié")</f>
        <v>27.068932</v>
      </c>
      <c r="H50" t="str">
        <f>_xlfn.XLOOKUP(CKadeaTelcoLogs_Reseau[[#This Row],[Cell_ID]],'CKadeaTelcoRegistre_Maintenance'!A:A,'CKadeaTelcoRegistre_Maintenance'!E:E,"Non repertorié")</f>
        <v>3G</v>
      </c>
      <c r="I50" t="str">
        <f>_xlfn.XLOOKUP(CKadeaTelcoLogs_Reseau[[#This Row],[Cell_ID]],'CKadeaTelcoRegistre_Maintenance'!A:A,'CKadeaTelcoRegistre_Maintenance'!F:F,"Non repertorié")</f>
        <v>Huawei</v>
      </c>
    </row>
    <row r="51" spans="1:9" ht="20.5" customHeight="1" x14ac:dyDescent="0.35">
      <c r="A51" s="1">
        <v>45218.635416666664</v>
      </c>
      <c r="B51" s="5" t="s">
        <v>52</v>
      </c>
      <c r="C51">
        <v>17</v>
      </c>
      <c r="D51" t="s">
        <v>10</v>
      </c>
      <c r="E51" t="str">
        <f>_xlfn.XLOOKUP(CKadeaTelcoLogs_Reseau[[#This Row],[Cell_ID]],'CKadeaTelcoRegistre_Maintenance'!A:A,'CKadeaTelcoRegistre_Maintenance'!B:B,"Non repertorié")</f>
        <v>Non repertorié</v>
      </c>
      <c r="F51" t="str">
        <f>_xlfn.XLOOKUP(CKadeaTelcoLogs_Reseau[[#This Row],[Cell_ID]],'CKadeaTelcoRegistre_Maintenance'!A:A,'CKadeaTelcoRegistre_Maintenance'!C:C,"Non repertorié")</f>
        <v>Non repertorié</v>
      </c>
      <c r="G51" t="str">
        <f>_xlfn.XLOOKUP(CKadeaTelcoLogs_Reseau[[#This Row],[Cell_ID]],'CKadeaTelcoRegistre_Maintenance'!A:A,'CKadeaTelcoRegistre_Maintenance'!D:D,"Non repertorié")</f>
        <v>Non repertorié</v>
      </c>
      <c r="H51" t="str">
        <f>_xlfn.XLOOKUP(CKadeaTelcoLogs_Reseau[[#This Row],[Cell_ID]],'CKadeaTelcoRegistre_Maintenance'!A:A,'CKadeaTelcoRegistre_Maintenance'!E:E,"Non repertorié")</f>
        <v>Non repertorié</v>
      </c>
      <c r="I51" t="str">
        <f>_xlfn.XLOOKUP(CKadeaTelcoLogs_Reseau[[#This Row],[Cell_ID]],'CKadeaTelcoRegistre_Maintenance'!A:A,'CKadeaTelcoRegistre_Maintenance'!F:F,"Non repertorié")</f>
        <v>Non repertorié</v>
      </c>
    </row>
    <row r="52" spans="1:9" ht="20.5" customHeight="1" x14ac:dyDescent="0.35">
      <c r="A52" s="1">
        <v>45225.660416666666</v>
      </c>
      <c r="B52" s="5" t="s">
        <v>53</v>
      </c>
      <c r="C52">
        <v>14</v>
      </c>
      <c r="D52" t="s">
        <v>5</v>
      </c>
      <c r="E52" t="str">
        <f>_xlfn.XLOOKUP(CKadeaTelcoLogs_Reseau[[#This Row],[Cell_ID]],'CKadeaTelcoRegistre_Maintenance'!A:A,'CKadeaTelcoRegistre_Maintenance'!B:B,"Non repertorié")</f>
        <v>Non repertorié</v>
      </c>
      <c r="F52" t="str">
        <f>_xlfn.XLOOKUP(CKadeaTelcoLogs_Reseau[[#This Row],[Cell_ID]],'CKadeaTelcoRegistre_Maintenance'!A:A,'CKadeaTelcoRegistre_Maintenance'!C:C,"Non repertorié")</f>
        <v>Non repertorié</v>
      </c>
      <c r="G52" t="str">
        <f>_xlfn.XLOOKUP(CKadeaTelcoLogs_Reseau[[#This Row],[Cell_ID]],'CKadeaTelcoRegistre_Maintenance'!A:A,'CKadeaTelcoRegistre_Maintenance'!D:D,"Non repertorié")</f>
        <v>Non repertorié</v>
      </c>
      <c r="H52" t="str">
        <f>_xlfn.XLOOKUP(CKadeaTelcoLogs_Reseau[[#This Row],[Cell_ID]],'CKadeaTelcoRegistre_Maintenance'!A:A,'CKadeaTelcoRegistre_Maintenance'!E:E,"Non repertorié")</f>
        <v>Non repertorié</v>
      </c>
      <c r="I52" t="str">
        <f>_xlfn.XLOOKUP(CKadeaTelcoLogs_Reseau[[#This Row],[Cell_ID]],'CKadeaTelcoRegistre_Maintenance'!A:A,'CKadeaTelcoRegistre_Maintenance'!F:F,"Non repertorié")</f>
        <v>Non repertorié</v>
      </c>
    </row>
    <row r="53" spans="1:9" ht="20.5" customHeight="1" x14ac:dyDescent="0.35">
      <c r="A53" s="1">
        <v>45213.254166666666</v>
      </c>
      <c r="B53" s="5" t="s">
        <v>54</v>
      </c>
      <c r="C53">
        <v>73</v>
      </c>
      <c r="D53" t="s">
        <v>10</v>
      </c>
      <c r="E53" t="str">
        <f>_xlfn.XLOOKUP(CKadeaTelcoLogs_Reseau[[#This Row],[Cell_ID]],'CKadeaTelcoRegistre_Maintenance'!A:A,'CKadeaTelcoRegistre_Maintenance'!B:B,"Non repertorié")</f>
        <v>Tshuapa</v>
      </c>
      <c r="F53">
        <f>_xlfn.XLOOKUP(CKadeaTelcoLogs_Reseau[[#This Row],[Cell_ID]],'CKadeaTelcoRegistre_Maintenance'!A:A,'CKadeaTelcoRegistre_Maintenance'!C:C,"Non repertorié")</f>
        <v>-5.1030600000000002</v>
      </c>
      <c r="G53">
        <f>_xlfn.XLOOKUP(CKadeaTelcoLogs_Reseau[[#This Row],[Cell_ID]],'CKadeaTelcoRegistre_Maintenance'!A:A,'CKadeaTelcoRegistre_Maintenance'!D:D,"Non repertorié")</f>
        <v>22.849231</v>
      </c>
      <c r="H53" t="str">
        <f>_xlfn.XLOOKUP(CKadeaTelcoLogs_Reseau[[#This Row],[Cell_ID]],'CKadeaTelcoRegistre_Maintenance'!A:A,'CKadeaTelcoRegistre_Maintenance'!E:E,"Non repertorié")</f>
        <v>5G</v>
      </c>
      <c r="I53" t="str">
        <f>_xlfn.XLOOKUP(CKadeaTelcoLogs_Reseau[[#This Row],[Cell_ID]],'CKadeaTelcoRegistre_Maintenance'!A:A,'CKadeaTelcoRegistre_Maintenance'!F:F,"Non repertorié")</f>
        <v>ZTE</v>
      </c>
    </row>
    <row r="54" spans="1:9" ht="20.5" customHeight="1" x14ac:dyDescent="0.35">
      <c r="A54" s="1">
        <v>45203.893750000003</v>
      </c>
      <c r="B54" s="5" t="s">
        <v>55</v>
      </c>
      <c r="C54">
        <v>32</v>
      </c>
      <c r="D54" t="s">
        <v>5</v>
      </c>
      <c r="E54" t="str">
        <f>_xlfn.XLOOKUP(CKadeaTelcoLogs_Reseau[[#This Row],[Cell_ID]],'CKadeaTelcoRegistre_Maintenance'!A:A,'CKadeaTelcoRegistre_Maintenance'!B:B,"Non repertorié")</f>
        <v>Non repertorié</v>
      </c>
      <c r="F54" t="str">
        <f>_xlfn.XLOOKUP(CKadeaTelcoLogs_Reseau[[#This Row],[Cell_ID]],'CKadeaTelcoRegistre_Maintenance'!A:A,'CKadeaTelcoRegistre_Maintenance'!C:C,"Non repertorié")</f>
        <v>Non repertorié</v>
      </c>
      <c r="G54" t="str">
        <f>_xlfn.XLOOKUP(CKadeaTelcoLogs_Reseau[[#This Row],[Cell_ID]],'CKadeaTelcoRegistre_Maintenance'!A:A,'CKadeaTelcoRegistre_Maintenance'!D:D,"Non repertorié")</f>
        <v>Non repertorié</v>
      </c>
      <c r="H54" t="str">
        <f>_xlfn.XLOOKUP(CKadeaTelcoLogs_Reseau[[#This Row],[Cell_ID]],'CKadeaTelcoRegistre_Maintenance'!A:A,'CKadeaTelcoRegistre_Maintenance'!E:E,"Non repertorié")</f>
        <v>Non repertorié</v>
      </c>
      <c r="I54" t="str">
        <f>_xlfn.XLOOKUP(CKadeaTelcoLogs_Reseau[[#This Row],[Cell_ID]],'CKadeaTelcoRegistre_Maintenance'!A:A,'CKadeaTelcoRegistre_Maintenance'!F:F,"Non repertorié")</f>
        <v>Non repertorié</v>
      </c>
    </row>
    <row r="55" spans="1:9" ht="20.5" customHeight="1" x14ac:dyDescent="0.35">
      <c r="A55" s="1">
        <v>45211.55972222222</v>
      </c>
      <c r="B55" s="5" t="s">
        <v>39</v>
      </c>
      <c r="C55">
        <v>69</v>
      </c>
      <c r="D55" t="s">
        <v>8</v>
      </c>
      <c r="E55" t="str">
        <f>_xlfn.XLOOKUP(CKadeaTelcoLogs_Reseau[[#This Row],[Cell_ID]],'CKadeaTelcoRegistre_Maintenance'!A:A,'CKadeaTelcoRegistre_Maintenance'!B:B,"Non repertorié")</f>
        <v>Non repertorié</v>
      </c>
      <c r="F55" t="str">
        <f>_xlfn.XLOOKUP(CKadeaTelcoLogs_Reseau[[#This Row],[Cell_ID]],'CKadeaTelcoRegistre_Maintenance'!A:A,'CKadeaTelcoRegistre_Maintenance'!C:C,"Non repertorié")</f>
        <v>Non repertorié</v>
      </c>
      <c r="G55" t="str">
        <f>_xlfn.XLOOKUP(CKadeaTelcoLogs_Reseau[[#This Row],[Cell_ID]],'CKadeaTelcoRegistre_Maintenance'!A:A,'CKadeaTelcoRegistre_Maintenance'!D:D,"Non repertorié")</f>
        <v>Non repertorié</v>
      </c>
      <c r="H55" t="str">
        <f>_xlfn.XLOOKUP(CKadeaTelcoLogs_Reseau[[#This Row],[Cell_ID]],'CKadeaTelcoRegistre_Maintenance'!A:A,'CKadeaTelcoRegistre_Maintenance'!E:E,"Non repertorié")</f>
        <v>Non repertorié</v>
      </c>
      <c r="I55" t="str">
        <f>_xlfn.XLOOKUP(CKadeaTelcoLogs_Reseau[[#This Row],[Cell_ID]],'CKadeaTelcoRegistre_Maintenance'!A:A,'CKadeaTelcoRegistre_Maintenance'!F:F,"Non repertorié")</f>
        <v>Non repertorié</v>
      </c>
    </row>
    <row r="56" spans="1:9" ht="20.5" customHeight="1" x14ac:dyDescent="0.35">
      <c r="A56" s="1">
        <v>45214.960416666669</v>
      </c>
      <c r="B56" s="5" t="s">
        <v>56</v>
      </c>
      <c r="C56">
        <v>38</v>
      </c>
      <c r="D56" t="s">
        <v>5</v>
      </c>
      <c r="E56" t="str">
        <f>_xlfn.XLOOKUP(CKadeaTelcoLogs_Reseau[[#This Row],[Cell_ID]],'CKadeaTelcoRegistre_Maintenance'!A:A,'CKadeaTelcoRegistre_Maintenance'!B:B,"Non repertorié")</f>
        <v>Lualaba</v>
      </c>
      <c r="F56">
        <f>_xlfn.XLOOKUP(CKadeaTelcoLogs_Reseau[[#This Row],[Cell_ID]],'CKadeaTelcoRegistre_Maintenance'!A:A,'CKadeaTelcoRegistre_Maintenance'!C:C,"Non repertorié")</f>
        <v>-11.710407999999999</v>
      </c>
      <c r="G56">
        <f>_xlfn.XLOOKUP(CKadeaTelcoLogs_Reseau[[#This Row],[Cell_ID]],'CKadeaTelcoRegistre_Maintenance'!A:A,'CKadeaTelcoRegistre_Maintenance'!D:D,"Non repertorié")</f>
        <v>23.741330999999999</v>
      </c>
      <c r="H56" t="str">
        <f>_xlfn.XLOOKUP(CKadeaTelcoLogs_Reseau[[#This Row],[Cell_ID]],'CKadeaTelcoRegistre_Maintenance'!A:A,'CKadeaTelcoRegistre_Maintenance'!E:E,"Non repertorié")</f>
        <v>3G</v>
      </c>
      <c r="I56" t="str">
        <f>_xlfn.XLOOKUP(CKadeaTelcoLogs_Reseau[[#This Row],[Cell_ID]],'CKadeaTelcoRegistre_Maintenance'!A:A,'CKadeaTelcoRegistre_Maintenance'!F:F,"Non repertorié")</f>
        <v>Huawei</v>
      </c>
    </row>
    <row r="57" spans="1:9" ht="20.5" customHeight="1" x14ac:dyDescent="0.35">
      <c r="A57" s="1">
        <v>45221.861805555556</v>
      </c>
      <c r="B57" s="5" t="s">
        <v>57</v>
      </c>
      <c r="C57">
        <v>21</v>
      </c>
      <c r="D57" t="s">
        <v>8</v>
      </c>
      <c r="E57" t="str">
        <f>_xlfn.XLOOKUP(CKadeaTelcoLogs_Reseau[[#This Row],[Cell_ID]],'CKadeaTelcoRegistre_Maintenance'!A:A,'CKadeaTelcoRegistre_Maintenance'!B:B,"Non repertorié")</f>
        <v>Tanganyika</v>
      </c>
      <c r="F57">
        <f>_xlfn.XLOOKUP(CKadeaTelcoLogs_Reseau[[#This Row],[Cell_ID]],'CKadeaTelcoRegistre_Maintenance'!A:A,'CKadeaTelcoRegistre_Maintenance'!C:C,"Non repertorié")</f>
        <v>-1.864393</v>
      </c>
      <c r="G57">
        <f>_xlfn.XLOOKUP(CKadeaTelcoLogs_Reseau[[#This Row],[Cell_ID]],'CKadeaTelcoRegistre_Maintenance'!A:A,'CKadeaTelcoRegistre_Maintenance'!D:D,"Non repertorié")</f>
        <v>21.453434000000001</v>
      </c>
      <c r="H57" t="str">
        <f>_xlfn.XLOOKUP(CKadeaTelcoLogs_Reseau[[#This Row],[Cell_ID]],'CKadeaTelcoRegistre_Maintenance'!A:A,'CKadeaTelcoRegistre_Maintenance'!E:E,"Non repertorié")</f>
        <v>5G</v>
      </c>
      <c r="I57" t="str">
        <f>_xlfn.XLOOKUP(CKadeaTelcoLogs_Reseau[[#This Row],[Cell_ID]],'CKadeaTelcoRegistre_Maintenance'!A:A,'CKadeaTelcoRegistre_Maintenance'!F:F,"Non repertorié")</f>
        <v>Ericsson</v>
      </c>
    </row>
    <row r="58" spans="1:9" ht="20.5" customHeight="1" x14ac:dyDescent="0.35">
      <c r="A58" s="1">
        <v>45203.059027777781</v>
      </c>
      <c r="B58" s="5" t="s">
        <v>58</v>
      </c>
      <c r="C58">
        <v>49</v>
      </c>
      <c r="D58" t="s">
        <v>5</v>
      </c>
      <c r="E58" t="str">
        <f>_xlfn.XLOOKUP(CKadeaTelcoLogs_Reseau[[#This Row],[Cell_ID]],'CKadeaTelcoRegistre_Maintenance'!A:A,'CKadeaTelcoRegistre_Maintenance'!B:B,"Non repertorié")</f>
        <v>Non repertorié</v>
      </c>
      <c r="F58" t="str">
        <f>_xlfn.XLOOKUP(CKadeaTelcoLogs_Reseau[[#This Row],[Cell_ID]],'CKadeaTelcoRegistre_Maintenance'!A:A,'CKadeaTelcoRegistre_Maintenance'!C:C,"Non repertorié")</f>
        <v>Non repertorié</v>
      </c>
      <c r="G58" t="str">
        <f>_xlfn.XLOOKUP(CKadeaTelcoLogs_Reseau[[#This Row],[Cell_ID]],'CKadeaTelcoRegistre_Maintenance'!A:A,'CKadeaTelcoRegistre_Maintenance'!D:D,"Non repertorié")</f>
        <v>Non repertorié</v>
      </c>
      <c r="H58" t="str">
        <f>_xlfn.XLOOKUP(CKadeaTelcoLogs_Reseau[[#This Row],[Cell_ID]],'CKadeaTelcoRegistre_Maintenance'!A:A,'CKadeaTelcoRegistre_Maintenance'!E:E,"Non repertorié")</f>
        <v>Non repertorié</v>
      </c>
      <c r="I58" t="str">
        <f>_xlfn.XLOOKUP(CKadeaTelcoLogs_Reseau[[#This Row],[Cell_ID]],'CKadeaTelcoRegistre_Maintenance'!A:A,'CKadeaTelcoRegistre_Maintenance'!F:F,"Non repertorié")</f>
        <v>Non repertorié</v>
      </c>
    </row>
    <row r="59" spans="1:9" ht="20.5" customHeight="1" x14ac:dyDescent="0.35">
      <c r="A59" s="1">
        <v>45223.45208333333</v>
      </c>
      <c r="B59" s="5" t="s">
        <v>59</v>
      </c>
      <c r="C59">
        <v>117</v>
      </c>
      <c r="D59" t="s">
        <v>10</v>
      </c>
      <c r="E59" t="str">
        <f>_xlfn.XLOOKUP(CKadeaTelcoLogs_Reseau[[#This Row],[Cell_ID]],'CKadeaTelcoRegistre_Maintenance'!A:A,'CKadeaTelcoRegistre_Maintenance'!B:B,"Non repertorié")</f>
        <v>Non repertorié</v>
      </c>
      <c r="F59" t="str">
        <f>_xlfn.XLOOKUP(CKadeaTelcoLogs_Reseau[[#This Row],[Cell_ID]],'CKadeaTelcoRegistre_Maintenance'!A:A,'CKadeaTelcoRegistre_Maintenance'!C:C,"Non repertorié")</f>
        <v>Non repertorié</v>
      </c>
      <c r="G59" t="str">
        <f>_xlfn.XLOOKUP(CKadeaTelcoLogs_Reseau[[#This Row],[Cell_ID]],'CKadeaTelcoRegistre_Maintenance'!A:A,'CKadeaTelcoRegistre_Maintenance'!D:D,"Non repertorié")</f>
        <v>Non repertorié</v>
      </c>
      <c r="H59" t="str">
        <f>_xlfn.XLOOKUP(CKadeaTelcoLogs_Reseau[[#This Row],[Cell_ID]],'CKadeaTelcoRegistre_Maintenance'!A:A,'CKadeaTelcoRegistre_Maintenance'!E:E,"Non repertorié")</f>
        <v>Non repertorié</v>
      </c>
      <c r="I59" t="str">
        <f>_xlfn.XLOOKUP(CKadeaTelcoLogs_Reseau[[#This Row],[Cell_ID]],'CKadeaTelcoRegistre_Maintenance'!A:A,'CKadeaTelcoRegistre_Maintenance'!F:F,"Non repertorié")</f>
        <v>Non repertorié</v>
      </c>
    </row>
    <row r="60" spans="1:9" ht="20.5" customHeight="1" x14ac:dyDescent="0.35">
      <c r="A60" s="1">
        <v>45227.135416666664</v>
      </c>
      <c r="B60" s="5" t="s">
        <v>60</v>
      </c>
      <c r="C60">
        <v>13</v>
      </c>
      <c r="D60" t="s">
        <v>8</v>
      </c>
      <c r="E60" t="str">
        <f>_xlfn.XLOOKUP(CKadeaTelcoLogs_Reseau[[#This Row],[Cell_ID]],'CKadeaTelcoRegistre_Maintenance'!A:A,'CKadeaTelcoRegistre_Maintenance'!B:B,"Non repertorié")</f>
        <v>Non repertorié</v>
      </c>
      <c r="F60" t="str">
        <f>_xlfn.XLOOKUP(CKadeaTelcoLogs_Reseau[[#This Row],[Cell_ID]],'CKadeaTelcoRegistre_Maintenance'!A:A,'CKadeaTelcoRegistre_Maintenance'!C:C,"Non repertorié")</f>
        <v>Non repertorié</v>
      </c>
      <c r="G60" t="str">
        <f>_xlfn.XLOOKUP(CKadeaTelcoLogs_Reseau[[#This Row],[Cell_ID]],'CKadeaTelcoRegistre_Maintenance'!A:A,'CKadeaTelcoRegistre_Maintenance'!D:D,"Non repertorié")</f>
        <v>Non repertorié</v>
      </c>
      <c r="H60" t="str">
        <f>_xlfn.XLOOKUP(CKadeaTelcoLogs_Reseau[[#This Row],[Cell_ID]],'CKadeaTelcoRegistre_Maintenance'!A:A,'CKadeaTelcoRegistre_Maintenance'!E:E,"Non repertorié")</f>
        <v>Non repertorié</v>
      </c>
      <c r="I60" t="str">
        <f>_xlfn.XLOOKUP(CKadeaTelcoLogs_Reseau[[#This Row],[Cell_ID]],'CKadeaTelcoRegistre_Maintenance'!A:A,'CKadeaTelcoRegistre_Maintenance'!F:F,"Non repertorié")</f>
        <v>Non repertorié</v>
      </c>
    </row>
    <row r="61" spans="1:9" ht="20.5" customHeight="1" x14ac:dyDescent="0.35">
      <c r="A61" s="1">
        <v>45206.273611111108</v>
      </c>
      <c r="B61" s="5" t="s">
        <v>61</v>
      </c>
      <c r="C61">
        <v>117</v>
      </c>
      <c r="D61" t="s">
        <v>10</v>
      </c>
      <c r="E61" t="str">
        <f>_xlfn.XLOOKUP(CKadeaTelcoLogs_Reseau[[#This Row],[Cell_ID]],'CKadeaTelcoRegistre_Maintenance'!A:A,'CKadeaTelcoRegistre_Maintenance'!B:B,"Non repertorié")</f>
        <v>Non repertorié</v>
      </c>
      <c r="F61" t="str">
        <f>_xlfn.XLOOKUP(CKadeaTelcoLogs_Reseau[[#This Row],[Cell_ID]],'CKadeaTelcoRegistre_Maintenance'!A:A,'CKadeaTelcoRegistre_Maintenance'!C:C,"Non repertorié")</f>
        <v>Non repertorié</v>
      </c>
      <c r="G61" t="str">
        <f>_xlfn.XLOOKUP(CKadeaTelcoLogs_Reseau[[#This Row],[Cell_ID]],'CKadeaTelcoRegistre_Maintenance'!A:A,'CKadeaTelcoRegistre_Maintenance'!D:D,"Non repertorié")</f>
        <v>Non repertorié</v>
      </c>
      <c r="H61" t="str">
        <f>_xlfn.XLOOKUP(CKadeaTelcoLogs_Reseau[[#This Row],[Cell_ID]],'CKadeaTelcoRegistre_Maintenance'!A:A,'CKadeaTelcoRegistre_Maintenance'!E:E,"Non repertorié")</f>
        <v>Non repertorié</v>
      </c>
      <c r="I61" t="str">
        <f>_xlfn.XLOOKUP(CKadeaTelcoLogs_Reseau[[#This Row],[Cell_ID]],'CKadeaTelcoRegistre_Maintenance'!A:A,'CKadeaTelcoRegistre_Maintenance'!F:F,"Non repertorié")</f>
        <v>Non repertorié</v>
      </c>
    </row>
    <row r="62" spans="1:9" ht="20.5" customHeight="1" x14ac:dyDescent="0.35">
      <c r="A62" s="1">
        <v>45214.185416666667</v>
      </c>
      <c r="B62" s="5" t="s">
        <v>52</v>
      </c>
      <c r="C62">
        <v>36</v>
      </c>
      <c r="D62" t="s">
        <v>8</v>
      </c>
      <c r="E62" t="str">
        <f>_xlfn.XLOOKUP(CKadeaTelcoLogs_Reseau[[#This Row],[Cell_ID]],'CKadeaTelcoRegistre_Maintenance'!A:A,'CKadeaTelcoRegistre_Maintenance'!B:B,"Non repertorié")</f>
        <v>Non repertorié</v>
      </c>
      <c r="F62" t="str">
        <f>_xlfn.XLOOKUP(CKadeaTelcoLogs_Reseau[[#This Row],[Cell_ID]],'CKadeaTelcoRegistre_Maintenance'!A:A,'CKadeaTelcoRegistre_Maintenance'!C:C,"Non repertorié")</f>
        <v>Non repertorié</v>
      </c>
      <c r="G62" t="str">
        <f>_xlfn.XLOOKUP(CKadeaTelcoLogs_Reseau[[#This Row],[Cell_ID]],'CKadeaTelcoRegistre_Maintenance'!A:A,'CKadeaTelcoRegistre_Maintenance'!D:D,"Non repertorié")</f>
        <v>Non repertorié</v>
      </c>
      <c r="H62" t="str">
        <f>_xlfn.XLOOKUP(CKadeaTelcoLogs_Reseau[[#This Row],[Cell_ID]],'CKadeaTelcoRegistre_Maintenance'!A:A,'CKadeaTelcoRegistre_Maintenance'!E:E,"Non repertorié")</f>
        <v>Non repertorié</v>
      </c>
      <c r="I62" t="str">
        <f>_xlfn.XLOOKUP(CKadeaTelcoLogs_Reseau[[#This Row],[Cell_ID]],'CKadeaTelcoRegistre_Maintenance'!A:A,'CKadeaTelcoRegistre_Maintenance'!F:F,"Non repertorié")</f>
        <v>Non repertorié</v>
      </c>
    </row>
    <row r="63" spans="1:9" ht="20.5" customHeight="1" x14ac:dyDescent="0.35">
      <c r="A63" s="1">
        <v>45205.353472222225</v>
      </c>
      <c r="B63" s="5" t="s">
        <v>62</v>
      </c>
      <c r="C63">
        <v>52</v>
      </c>
      <c r="D63" t="s">
        <v>8</v>
      </c>
      <c r="E63" t="str">
        <f>_xlfn.XLOOKUP(CKadeaTelcoLogs_Reseau[[#This Row],[Cell_ID]],'CKadeaTelcoRegistre_Maintenance'!A:A,'CKadeaTelcoRegistre_Maintenance'!B:B,"Non repertorié")</f>
        <v>Tanganyika</v>
      </c>
      <c r="F63">
        <f>_xlfn.XLOOKUP(CKadeaTelcoLogs_Reseau[[#This Row],[Cell_ID]],'CKadeaTelcoRegistre_Maintenance'!A:A,'CKadeaTelcoRegistre_Maintenance'!C:C,"Non repertorié")</f>
        <v>3.1362930000000002</v>
      </c>
      <c r="G63">
        <f>_xlfn.XLOOKUP(CKadeaTelcoLogs_Reseau[[#This Row],[Cell_ID]],'CKadeaTelcoRegistre_Maintenance'!A:A,'CKadeaTelcoRegistre_Maintenance'!D:D,"Non repertorié")</f>
        <v>16.190878000000001</v>
      </c>
      <c r="H63" t="str">
        <f>_xlfn.XLOOKUP(CKadeaTelcoLogs_Reseau[[#This Row],[Cell_ID]],'CKadeaTelcoRegistre_Maintenance'!A:A,'CKadeaTelcoRegistre_Maintenance'!E:E,"Non repertorié")</f>
        <v>3G</v>
      </c>
      <c r="I63" t="str">
        <f>_xlfn.XLOOKUP(CKadeaTelcoLogs_Reseau[[#This Row],[Cell_ID]],'CKadeaTelcoRegistre_Maintenance'!A:A,'CKadeaTelcoRegistre_Maintenance'!F:F,"Non repertorié")</f>
        <v>Nokia</v>
      </c>
    </row>
    <row r="64" spans="1:9" ht="20.5" customHeight="1" x14ac:dyDescent="0.35">
      <c r="A64" s="1">
        <v>45207.102777777778</v>
      </c>
      <c r="B64" s="5" t="s">
        <v>63</v>
      </c>
      <c r="C64">
        <v>41</v>
      </c>
      <c r="D64" t="s">
        <v>5</v>
      </c>
      <c r="E64" t="str">
        <f>_xlfn.XLOOKUP(CKadeaTelcoLogs_Reseau[[#This Row],[Cell_ID]],'CKadeaTelcoRegistre_Maintenance'!A:A,'CKadeaTelcoRegistre_Maintenance'!B:B,"Non repertorié")</f>
        <v>Kwilu</v>
      </c>
      <c r="F64">
        <f>_xlfn.XLOOKUP(CKadeaTelcoLogs_Reseau[[#This Row],[Cell_ID]],'CKadeaTelcoRegistre_Maintenance'!A:A,'CKadeaTelcoRegistre_Maintenance'!C:C,"Non repertorié")</f>
        <v>-5.9021970000000001</v>
      </c>
      <c r="G64">
        <f>_xlfn.XLOOKUP(CKadeaTelcoLogs_Reseau[[#This Row],[Cell_ID]],'CKadeaTelcoRegistre_Maintenance'!A:A,'CKadeaTelcoRegistre_Maintenance'!D:D,"Non repertorié")</f>
        <v>20.551169999999999</v>
      </c>
      <c r="H64" t="str">
        <f>_xlfn.XLOOKUP(CKadeaTelcoLogs_Reseau[[#This Row],[Cell_ID]],'CKadeaTelcoRegistre_Maintenance'!A:A,'CKadeaTelcoRegistre_Maintenance'!E:E,"Non repertorié")</f>
        <v>3G</v>
      </c>
      <c r="I64" t="str">
        <f>_xlfn.XLOOKUP(CKadeaTelcoLogs_Reseau[[#This Row],[Cell_ID]],'CKadeaTelcoRegistre_Maintenance'!A:A,'CKadeaTelcoRegistre_Maintenance'!F:F,"Non repertorié")</f>
        <v>Huawei</v>
      </c>
    </row>
    <row r="65" spans="1:9" ht="20.5" customHeight="1" x14ac:dyDescent="0.35">
      <c r="A65" s="1">
        <v>45225.712500000001</v>
      </c>
      <c r="B65" s="5" t="s">
        <v>64</v>
      </c>
      <c r="C65">
        <v>25</v>
      </c>
      <c r="D65" t="s">
        <v>5</v>
      </c>
      <c r="E65" t="str">
        <f>_xlfn.XLOOKUP(CKadeaTelcoLogs_Reseau[[#This Row],[Cell_ID]],'CKadeaTelcoRegistre_Maintenance'!A:A,'CKadeaTelcoRegistre_Maintenance'!B:B,"Non repertorié")</f>
        <v>Haut-Katanga</v>
      </c>
      <c r="F65">
        <f>_xlfn.XLOOKUP(CKadeaTelcoLogs_Reseau[[#This Row],[Cell_ID]],'CKadeaTelcoRegistre_Maintenance'!A:A,'CKadeaTelcoRegistre_Maintenance'!C:C,"Non repertorié")</f>
        <v>-5.5445120000000001</v>
      </c>
      <c r="G65">
        <f>_xlfn.XLOOKUP(CKadeaTelcoLogs_Reseau[[#This Row],[Cell_ID]],'CKadeaTelcoRegistre_Maintenance'!A:A,'CKadeaTelcoRegistre_Maintenance'!D:D,"Non repertorié")</f>
        <v>27.547335</v>
      </c>
      <c r="H65" t="str">
        <f>_xlfn.XLOOKUP(CKadeaTelcoLogs_Reseau[[#This Row],[Cell_ID]],'CKadeaTelcoRegistre_Maintenance'!A:A,'CKadeaTelcoRegistre_Maintenance'!E:E,"Non repertorié")</f>
        <v>4G</v>
      </c>
      <c r="I65" t="str">
        <f>_xlfn.XLOOKUP(CKadeaTelcoLogs_Reseau[[#This Row],[Cell_ID]],'CKadeaTelcoRegistre_Maintenance'!A:A,'CKadeaTelcoRegistre_Maintenance'!F:F,"Non repertorié")</f>
        <v>Ericsson</v>
      </c>
    </row>
    <row r="66" spans="1:9" ht="20.5" customHeight="1" x14ac:dyDescent="0.35">
      <c r="A66" s="1">
        <v>45201.856944444444</v>
      </c>
      <c r="B66" s="5" t="s">
        <v>65</v>
      </c>
      <c r="C66">
        <v>61</v>
      </c>
      <c r="D66" t="s">
        <v>5</v>
      </c>
      <c r="E66" t="str">
        <f>_xlfn.XLOOKUP(CKadeaTelcoLogs_Reseau[[#This Row],[Cell_ID]],'CKadeaTelcoRegistre_Maintenance'!A:A,'CKadeaTelcoRegistre_Maintenance'!B:B,"Non repertorié")</f>
        <v>Non repertorié</v>
      </c>
      <c r="F66" t="str">
        <f>_xlfn.XLOOKUP(CKadeaTelcoLogs_Reseau[[#This Row],[Cell_ID]],'CKadeaTelcoRegistre_Maintenance'!A:A,'CKadeaTelcoRegistre_Maintenance'!C:C,"Non repertorié")</f>
        <v>Non repertorié</v>
      </c>
      <c r="G66" t="str">
        <f>_xlfn.XLOOKUP(CKadeaTelcoLogs_Reseau[[#This Row],[Cell_ID]],'CKadeaTelcoRegistre_Maintenance'!A:A,'CKadeaTelcoRegistre_Maintenance'!D:D,"Non repertorié")</f>
        <v>Non repertorié</v>
      </c>
      <c r="H66" t="str">
        <f>_xlfn.XLOOKUP(CKadeaTelcoLogs_Reseau[[#This Row],[Cell_ID]],'CKadeaTelcoRegistre_Maintenance'!A:A,'CKadeaTelcoRegistre_Maintenance'!E:E,"Non repertorié")</f>
        <v>Non repertorié</v>
      </c>
      <c r="I66" t="str">
        <f>_xlfn.XLOOKUP(CKadeaTelcoLogs_Reseau[[#This Row],[Cell_ID]],'CKadeaTelcoRegistre_Maintenance'!A:A,'CKadeaTelcoRegistre_Maintenance'!F:F,"Non repertorié")</f>
        <v>Non repertorié</v>
      </c>
    </row>
    <row r="67" spans="1:9" ht="20.5" customHeight="1" x14ac:dyDescent="0.35">
      <c r="A67" s="1">
        <v>45226.003472222219</v>
      </c>
      <c r="B67" s="5" t="s">
        <v>6</v>
      </c>
      <c r="C67">
        <v>111</v>
      </c>
      <c r="D67" t="s">
        <v>5</v>
      </c>
      <c r="E67" t="str">
        <f>_xlfn.XLOOKUP(CKadeaTelcoLogs_Reseau[[#This Row],[Cell_ID]],'CKadeaTelcoRegistre_Maintenance'!A:A,'CKadeaTelcoRegistre_Maintenance'!B:B,"Non repertorié")</f>
        <v>Non repertorié</v>
      </c>
      <c r="F67" t="str">
        <f>_xlfn.XLOOKUP(CKadeaTelcoLogs_Reseau[[#This Row],[Cell_ID]],'CKadeaTelcoRegistre_Maintenance'!A:A,'CKadeaTelcoRegistre_Maintenance'!C:C,"Non repertorié")</f>
        <v>Non repertorié</v>
      </c>
      <c r="G67" t="str">
        <f>_xlfn.XLOOKUP(CKadeaTelcoLogs_Reseau[[#This Row],[Cell_ID]],'CKadeaTelcoRegistre_Maintenance'!A:A,'CKadeaTelcoRegistre_Maintenance'!D:D,"Non repertorié")</f>
        <v>Non repertorié</v>
      </c>
      <c r="H67" t="str">
        <f>_xlfn.XLOOKUP(CKadeaTelcoLogs_Reseau[[#This Row],[Cell_ID]],'CKadeaTelcoRegistre_Maintenance'!A:A,'CKadeaTelcoRegistre_Maintenance'!E:E,"Non repertorié")</f>
        <v>Non repertorié</v>
      </c>
      <c r="I67" t="str">
        <f>_xlfn.XLOOKUP(CKadeaTelcoLogs_Reseau[[#This Row],[Cell_ID]],'CKadeaTelcoRegistre_Maintenance'!A:A,'CKadeaTelcoRegistre_Maintenance'!F:F,"Non repertorié")</f>
        <v>Non repertorié</v>
      </c>
    </row>
    <row r="68" spans="1:9" ht="20.5" customHeight="1" x14ac:dyDescent="0.35">
      <c r="A68" s="1">
        <v>45229.298611111109</v>
      </c>
      <c r="B68" s="5" t="s">
        <v>66</v>
      </c>
      <c r="C68">
        <v>74</v>
      </c>
      <c r="D68" t="s">
        <v>10</v>
      </c>
      <c r="E68" t="str">
        <f>_xlfn.XLOOKUP(CKadeaTelcoLogs_Reseau[[#This Row],[Cell_ID]],'CKadeaTelcoRegistre_Maintenance'!A:A,'CKadeaTelcoRegistre_Maintenance'!B:B,"Non repertorié")</f>
        <v>Non repertorié</v>
      </c>
      <c r="F68" t="str">
        <f>_xlfn.XLOOKUP(CKadeaTelcoLogs_Reseau[[#This Row],[Cell_ID]],'CKadeaTelcoRegistre_Maintenance'!A:A,'CKadeaTelcoRegistre_Maintenance'!C:C,"Non repertorié")</f>
        <v>Non repertorié</v>
      </c>
      <c r="G68" t="str">
        <f>_xlfn.XLOOKUP(CKadeaTelcoLogs_Reseau[[#This Row],[Cell_ID]],'CKadeaTelcoRegistre_Maintenance'!A:A,'CKadeaTelcoRegistre_Maintenance'!D:D,"Non repertorié")</f>
        <v>Non repertorié</v>
      </c>
      <c r="H68" t="str">
        <f>_xlfn.XLOOKUP(CKadeaTelcoLogs_Reseau[[#This Row],[Cell_ID]],'CKadeaTelcoRegistre_Maintenance'!A:A,'CKadeaTelcoRegistre_Maintenance'!E:E,"Non repertorié")</f>
        <v>Non repertorié</v>
      </c>
      <c r="I68" t="str">
        <f>_xlfn.XLOOKUP(CKadeaTelcoLogs_Reseau[[#This Row],[Cell_ID]],'CKadeaTelcoRegistre_Maintenance'!A:A,'CKadeaTelcoRegistre_Maintenance'!F:F,"Non repertorié")</f>
        <v>Non repertorié</v>
      </c>
    </row>
    <row r="69" spans="1:9" ht="20.5" customHeight="1" x14ac:dyDescent="0.35">
      <c r="A69" s="1">
        <v>45213.645833333336</v>
      </c>
      <c r="B69" s="5" t="s">
        <v>67</v>
      </c>
      <c r="C69">
        <v>95</v>
      </c>
      <c r="D69" t="s">
        <v>5</v>
      </c>
      <c r="E69" t="str">
        <f>_xlfn.XLOOKUP(CKadeaTelcoLogs_Reseau[[#This Row],[Cell_ID]],'CKadeaTelcoRegistre_Maintenance'!A:A,'CKadeaTelcoRegistre_Maintenance'!B:B,"Non repertorié")</f>
        <v>Haut-Katanga</v>
      </c>
      <c r="F69">
        <f>_xlfn.XLOOKUP(CKadeaTelcoLogs_Reseau[[#This Row],[Cell_ID]],'CKadeaTelcoRegistre_Maintenance'!A:A,'CKadeaTelcoRegistre_Maintenance'!C:C,"Non repertorié")</f>
        <v>-2.9417719999999998</v>
      </c>
      <c r="G69">
        <f>_xlfn.XLOOKUP(CKadeaTelcoLogs_Reseau[[#This Row],[Cell_ID]],'CKadeaTelcoRegistre_Maintenance'!A:A,'CKadeaTelcoRegistre_Maintenance'!D:D,"Non repertorié")</f>
        <v>18.587305000000001</v>
      </c>
      <c r="H69" t="str">
        <f>_xlfn.XLOOKUP(CKadeaTelcoLogs_Reseau[[#This Row],[Cell_ID]],'CKadeaTelcoRegistre_Maintenance'!A:A,'CKadeaTelcoRegistre_Maintenance'!E:E,"Non repertorié")</f>
        <v>5G</v>
      </c>
      <c r="I69" t="str">
        <f>_xlfn.XLOOKUP(CKadeaTelcoLogs_Reseau[[#This Row],[Cell_ID]],'CKadeaTelcoRegistre_Maintenance'!A:A,'CKadeaTelcoRegistre_Maintenance'!F:F,"Non repertorié")</f>
        <v>Ericsson</v>
      </c>
    </row>
    <row r="70" spans="1:9" ht="20.5" customHeight="1" x14ac:dyDescent="0.35">
      <c r="A70" s="1">
        <v>45206.539583333331</v>
      </c>
      <c r="B70" s="5" t="s">
        <v>68</v>
      </c>
      <c r="C70">
        <v>43</v>
      </c>
      <c r="D70" t="s">
        <v>5</v>
      </c>
      <c r="E70" t="str">
        <f>_xlfn.XLOOKUP(CKadeaTelcoLogs_Reseau[[#This Row],[Cell_ID]],'CKadeaTelcoRegistre_Maintenance'!A:A,'CKadeaTelcoRegistre_Maintenance'!B:B,"Non repertorié")</f>
        <v>Kwango</v>
      </c>
      <c r="F70">
        <f>_xlfn.XLOOKUP(CKadeaTelcoLogs_Reseau[[#This Row],[Cell_ID]],'CKadeaTelcoRegistre_Maintenance'!A:A,'CKadeaTelcoRegistre_Maintenance'!C:C,"Non repertorié")</f>
        <v>-10.963041</v>
      </c>
      <c r="G70">
        <f>_xlfn.XLOOKUP(CKadeaTelcoLogs_Reseau[[#This Row],[Cell_ID]],'CKadeaTelcoRegistre_Maintenance'!A:A,'CKadeaTelcoRegistre_Maintenance'!D:D,"Non repertorié")</f>
        <v>12.269857</v>
      </c>
      <c r="H70" t="str">
        <f>_xlfn.XLOOKUP(CKadeaTelcoLogs_Reseau[[#This Row],[Cell_ID]],'CKadeaTelcoRegistre_Maintenance'!A:A,'CKadeaTelcoRegistre_Maintenance'!E:E,"Non repertorié")</f>
        <v>4G</v>
      </c>
      <c r="I70" t="str">
        <f>_xlfn.XLOOKUP(CKadeaTelcoLogs_Reseau[[#This Row],[Cell_ID]],'CKadeaTelcoRegistre_Maintenance'!A:A,'CKadeaTelcoRegistre_Maintenance'!F:F,"Non repertorié")</f>
        <v>Huawei</v>
      </c>
    </row>
    <row r="71" spans="1:9" ht="20.5" customHeight="1" x14ac:dyDescent="0.35">
      <c r="A71" s="1">
        <v>45201.224999999999</v>
      </c>
      <c r="B71" s="5" t="s">
        <v>69</v>
      </c>
      <c r="C71">
        <v>83</v>
      </c>
      <c r="D71" t="s">
        <v>8</v>
      </c>
      <c r="E71" t="str">
        <f>_xlfn.XLOOKUP(CKadeaTelcoLogs_Reseau[[#This Row],[Cell_ID]],'CKadeaTelcoRegistre_Maintenance'!A:A,'CKadeaTelcoRegistre_Maintenance'!B:B,"Non repertorié")</f>
        <v>Nord-Kivu</v>
      </c>
      <c r="F71">
        <f>_xlfn.XLOOKUP(CKadeaTelcoLogs_Reseau[[#This Row],[Cell_ID]],'CKadeaTelcoRegistre_Maintenance'!A:A,'CKadeaTelcoRegistre_Maintenance'!C:C,"Non repertorié")</f>
        <v>0.82868600000000003</v>
      </c>
      <c r="G71">
        <f>_xlfn.XLOOKUP(CKadeaTelcoLogs_Reseau[[#This Row],[Cell_ID]],'CKadeaTelcoRegistre_Maintenance'!A:A,'CKadeaTelcoRegistre_Maintenance'!D:D,"Non repertorié")</f>
        <v>26.958843999999999</v>
      </c>
      <c r="H71" t="str">
        <f>_xlfn.XLOOKUP(CKadeaTelcoLogs_Reseau[[#This Row],[Cell_ID]],'CKadeaTelcoRegistre_Maintenance'!A:A,'CKadeaTelcoRegistre_Maintenance'!E:E,"Non repertorié")</f>
        <v>5G</v>
      </c>
      <c r="I71" t="str">
        <f>_xlfn.XLOOKUP(CKadeaTelcoLogs_Reseau[[#This Row],[Cell_ID]],'CKadeaTelcoRegistre_Maintenance'!A:A,'CKadeaTelcoRegistre_Maintenance'!F:F,"Non repertorié")</f>
        <v>ZTE</v>
      </c>
    </row>
    <row r="72" spans="1:9" ht="20.5" customHeight="1" x14ac:dyDescent="0.35">
      <c r="A72" s="1">
        <v>45200.511111111111</v>
      </c>
      <c r="B72" s="5" t="s">
        <v>70</v>
      </c>
      <c r="C72">
        <v>108</v>
      </c>
      <c r="D72" t="s">
        <v>10</v>
      </c>
      <c r="E72" t="str">
        <f>_xlfn.XLOOKUP(CKadeaTelcoLogs_Reseau[[#This Row],[Cell_ID]],'CKadeaTelcoRegistre_Maintenance'!A:A,'CKadeaTelcoRegistre_Maintenance'!B:B,"Non repertorié")</f>
        <v>Non repertorié</v>
      </c>
      <c r="F72" t="str">
        <f>_xlfn.XLOOKUP(CKadeaTelcoLogs_Reseau[[#This Row],[Cell_ID]],'CKadeaTelcoRegistre_Maintenance'!A:A,'CKadeaTelcoRegistre_Maintenance'!C:C,"Non repertorié")</f>
        <v>Non repertorié</v>
      </c>
      <c r="G72" t="str">
        <f>_xlfn.XLOOKUP(CKadeaTelcoLogs_Reseau[[#This Row],[Cell_ID]],'CKadeaTelcoRegistre_Maintenance'!A:A,'CKadeaTelcoRegistre_Maintenance'!D:D,"Non repertorié")</f>
        <v>Non repertorié</v>
      </c>
      <c r="H72" t="str">
        <f>_xlfn.XLOOKUP(CKadeaTelcoLogs_Reseau[[#This Row],[Cell_ID]],'CKadeaTelcoRegistre_Maintenance'!A:A,'CKadeaTelcoRegistre_Maintenance'!E:E,"Non repertorié")</f>
        <v>Non repertorié</v>
      </c>
      <c r="I72" t="str">
        <f>_xlfn.XLOOKUP(CKadeaTelcoLogs_Reseau[[#This Row],[Cell_ID]],'CKadeaTelcoRegistre_Maintenance'!A:A,'CKadeaTelcoRegistre_Maintenance'!F:F,"Non repertorié")</f>
        <v>Non repertorié</v>
      </c>
    </row>
    <row r="73" spans="1:9" ht="20.5" customHeight="1" x14ac:dyDescent="0.35">
      <c r="A73" s="1">
        <v>45229.595833333333</v>
      </c>
      <c r="B73" s="5" t="s">
        <v>30</v>
      </c>
      <c r="C73">
        <v>88</v>
      </c>
      <c r="D73" t="s">
        <v>10</v>
      </c>
      <c r="E73" t="str">
        <f>_xlfn.XLOOKUP(CKadeaTelcoLogs_Reseau[[#This Row],[Cell_ID]],'CKadeaTelcoRegistre_Maintenance'!A:A,'CKadeaTelcoRegistre_Maintenance'!B:B,"Non repertorié")</f>
        <v>Sud-Ubangi</v>
      </c>
      <c r="F73">
        <f>_xlfn.XLOOKUP(CKadeaTelcoLogs_Reseau[[#This Row],[Cell_ID]],'CKadeaTelcoRegistre_Maintenance'!A:A,'CKadeaTelcoRegistre_Maintenance'!C:C,"Non repertorié")</f>
        <v>-10.56448</v>
      </c>
      <c r="G73">
        <f>_xlfn.XLOOKUP(CKadeaTelcoLogs_Reseau[[#This Row],[Cell_ID]],'CKadeaTelcoRegistre_Maintenance'!A:A,'CKadeaTelcoRegistre_Maintenance'!D:D,"Non repertorié")</f>
        <v>19.792876</v>
      </c>
      <c r="H73" t="str">
        <f>_xlfn.XLOOKUP(CKadeaTelcoLogs_Reseau[[#This Row],[Cell_ID]],'CKadeaTelcoRegistre_Maintenance'!A:A,'CKadeaTelcoRegistre_Maintenance'!E:E,"Non repertorié")</f>
        <v>5G</v>
      </c>
      <c r="I73" t="str">
        <f>_xlfn.XLOOKUP(CKadeaTelcoLogs_Reseau[[#This Row],[Cell_ID]],'CKadeaTelcoRegistre_Maintenance'!A:A,'CKadeaTelcoRegistre_Maintenance'!F:F,"Non repertorié")</f>
        <v>Ericsson</v>
      </c>
    </row>
    <row r="74" spans="1:9" ht="20.5" customHeight="1" x14ac:dyDescent="0.35">
      <c r="A74" s="1">
        <v>45213.948611111111</v>
      </c>
      <c r="B74" s="5" t="s">
        <v>71</v>
      </c>
      <c r="C74">
        <v>72</v>
      </c>
      <c r="D74" t="s">
        <v>8</v>
      </c>
      <c r="E74" t="str">
        <f>_xlfn.XLOOKUP(CKadeaTelcoLogs_Reseau[[#This Row],[Cell_ID]],'CKadeaTelcoRegistre_Maintenance'!A:A,'CKadeaTelcoRegistre_Maintenance'!B:B,"Non repertorié")</f>
        <v>Sankuru</v>
      </c>
      <c r="F74">
        <f>_xlfn.XLOOKUP(CKadeaTelcoLogs_Reseau[[#This Row],[Cell_ID]],'CKadeaTelcoRegistre_Maintenance'!A:A,'CKadeaTelcoRegistre_Maintenance'!C:C,"Non repertorié")</f>
        <v>-2.7140689999999998</v>
      </c>
      <c r="G74">
        <f>_xlfn.XLOOKUP(CKadeaTelcoLogs_Reseau[[#This Row],[Cell_ID]],'CKadeaTelcoRegistre_Maintenance'!A:A,'CKadeaTelcoRegistre_Maintenance'!D:D,"Non repertorié")</f>
        <v>22.222104000000002</v>
      </c>
      <c r="H74" t="str">
        <f>_xlfn.XLOOKUP(CKadeaTelcoLogs_Reseau[[#This Row],[Cell_ID]],'CKadeaTelcoRegistre_Maintenance'!A:A,'CKadeaTelcoRegistre_Maintenance'!E:E,"Non repertorié")</f>
        <v>4G</v>
      </c>
      <c r="I74" t="str">
        <f>_xlfn.XLOOKUP(CKadeaTelcoLogs_Reseau[[#This Row],[Cell_ID]],'CKadeaTelcoRegistre_Maintenance'!A:A,'CKadeaTelcoRegistre_Maintenance'!F:F,"Non repertorié")</f>
        <v>Nokia</v>
      </c>
    </row>
    <row r="75" spans="1:9" ht="20.5" customHeight="1" x14ac:dyDescent="0.35">
      <c r="A75" s="1">
        <v>45225.737500000003</v>
      </c>
      <c r="B75" s="5" t="s">
        <v>72</v>
      </c>
      <c r="C75">
        <v>6</v>
      </c>
      <c r="D75" t="s">
        <v>8</v>
      </c>
      <c r="E75" t="str">
        <f>_xlfn.XLOOKUP(CKadeaTelcoLogs_Reseau[[#This Row],[Cell_ID]],'CKadeaTelcoRegistre_Maintenance'!A:A,'CKadeaTelcoRegistre_Maintenance'!B:B,"Non repertorié")</f>
        <v>Non repertorié</v>
      </c>
      <c r="F75" t="str">
        <f>_xlfn.XLOOKUP(CKadeaTelcoLogs_Reseau[[#This Row],[Cell_ID]],'CKadeaTelcoRegistre_Maintenance'!A:A,'CKadeaTelcoRegistre_Maintenance'!C:C,"Non repertorié")</f>
        <v>Non repertorié</v>
      </c>
      <c r="G75" t="str">
        <f>_xlfn.XLOOKUP(CKadeaTelcoLogs_Reseau[[#This Row],[Cell_ID]],'CKadeaTelcoRegistre_Maintenance'!A:A,'CKadeaTelcoRegistre_Maintenance'!D:D,"Non repertorié")</f>
        <v>Non repertorié</v>
      </c>
      <c r="H75" t="str">
        <f>_xlfn.XLOOKUP(CKadeaTelcoLogs_Reseau[[#This Row],[Cell_ID]],'CKadeaTelcoRegistre_Maintenance'!A:A,'CKadeaTelcoRegistre_Maintenance'!E:E,"Non repertorié")</f>
        <v>Non repertorié</v>
      </c>
      <c r="I75" t="str">
        <f>_xlfn.XLOOKUP(CKadeaTelcoLogs_Reseau[[#This Row],[Cell_ID]],'CKadeaTelcoRegistre_Maintenance'!A:A,'CKadeaTelcoRegistre_Maintenance'!F:F,"Non repertorié")</f>
        <v>Non repertorié</v>
      </c>
    </row>
    <row r="76" spans="1:9" ht="20.5" customHeight="1" x14ac:dyDescent="0.35">
      <c r="A76" s="1">
        <v>45222.631249999999</v>
      </c>
      <c r="B76" s="5" t="s">
        <v>73</v>
      </c>
      <c r="C76">
        <v>90</v>
      </c>
      <c r="D76" t="s">
        <v>5</v>
      </c>
      <c r="E76" t="str">
        <f>_xlfn.XLOOKUP(CKadeaTelcoLogs_Reseau[[#This Row],[Cell_ID]],'CKadeaTelcoRegistre_Maintenance'!A:A,'CKadeaTelcoRegistre_Maintenance'!B:B,"Non repertorié")</f>
        <v>Tanganyika</v>
      </c>
      <c r="F76">
        <f>_xlfn.XLOOKUP(CKadeaTelcoLogs_Reseau[[#This Row],[Cell_ID]],'CKadeaTelcoRegistre_Maintenance'!A:A,'CKadeaTelcoRegistre_Maintenance'!C:C,"Non repertorié")</f>
        <v>-2.099631</v>
      </c>
      <c r="G76">
        <f>_xlfn.XLOOKUP(CKadeaTelcoLogs_Reseau[[#This Row],[Cell_ID]],'CKadeaTelcoRegistre_Maintenance'!A:A,'CKadeaTelcoRegistre_Maintenance'!D:D,"Non repertorié")</f>
        <v>13.974640000000001</v>
      </c>
      <c r="H76" t="str">
        <f>_xlfn.XLOOKUP(CKadeaTelcoLogs_Reseau[[#This Row],[Cell_ID]],'CKadeaTelcoRegistre_Maintenance'!A:A,'CKadeaTelcoRegistre_Maintenance'!E:E,"Non repertorié")</f>
        <v>3G</v>
      </c>
      <c r="I76" t="str">
        <f>_xlfn.XLOOKUP(CKadeaTelcoLogs_Reseau[[#This Row],[Cell_ID]],'CKadeaTelcoRegistre_Maintenance'!A:A,'CKadeaTelcoRegistre_Maintenance'!F:F,"Non repertorié")</f>
        <v>Nokia</v>
      </c>
    </row>
    <row r="77" spans="1:9" ht="20.5" customHeight="1" x14ac:dyDescent="0.35">
      <c r="A77" s="1">
        <v>45206.384027777778</v>
      </c>
      <c r="B77" s="5" t="s">
        <v>74</v>
      </c>
      <c r="C77">
        <v>109</v>
      </c>
      <c r="D77" t="s">
        <v>10</v>
      </c>
      <c r="E77" t="str">
        <f>_xlfn.XLOOKUP(CKadeaTelcoLogs_Reseau[[#This Row],[Cell_ID]],'CKadeaTelcoRegistre_Maintenance'!A:A,'CKadeaTelcoRegistre_Maintenance'!B:B,"Non repertorié")</f>
        <v>Non repertorié</v>
      </c>
      <c r="F77" t="str">
        <f>_xlfn.XLOOKUP(CKadeaTelcoLogs_Reseau[[#This Row],[Cell_ID]],'CKadeaTelcoRegistre_Maintenance'!A:A,'CKadeaTelcoRegistre_Maintenance'!C:C,"Non repertorié")</f>
        <v>Non repertorié</v>
      </c>
      <c r="G77" t="str">
        <f>_xlfn.XLOOKUP(CKadeaTelcoLogs_Reseau[[#This Row],[Cell_ID]],'CKadeaTelcoRegistre_Maintenance'!A:A,'CKadeaTelcoRegistre_Maintenance'!D:D,"Non repertorié")</f>
        <v>Non repertorié</v>
      </c>
      <c r="H77" t="str">
        <f>_xlfn.XLOOKUP(CKadeaTelcoLogs_Reseau[[#This Row],[Cell_ID]],'CKadeaTelcoRegistre_Maintenance'!A:A,'CKadeaTelcoRegistre_Maintenance'!E:E,"Non repertorié")</f>
        <v>Non repertorié</v>
      </c>
      <c r="I77" t="str">
        <f>_xlfn.XLOOKUP(CKadeaTelcoLogs_Reseau[[#This Row],[Cell_ID]],'CKadeaTelcoRegistre_Maintenance'!A:A,'CKadeaTelcoRegistre_Maintenance'!F:F,"Non repertorié")</f>
        <v>Non repertorié</v>
      </c>
    </row>
    <row r="78" spans="1:9" ht="20.5" customHeight="1" x14ac:dyDescent="0.35">
      <c r="A78" s="1">
        <v>45230.067361111112</v>
      </c>
      <c r="B78" s="5" t="s">
        <v>75</v>
      </c>
      <c r="C78">
        <v>75</v>
      </c>
      <c r="D78" t="s">
        <v>5</v>
      </c>
      <c r="E78" t="str">
        <f>_xlfn.XLOOKUP(CKadeaTelcoLogs_Reseau[[#This Row],[Cell_ID]],'CKadeaTelcoRegistre_Maintenance'!A:A,'CKadeaTelcoRegistre_Maintenance'!B:B,"Non repertorié")</f>
        <v>Non repertorié</v>
      </c>
      <c r="F78" t="str">
        <f>_xlfn.XLOOKUP(CKadeaTelcoLogs_Reseau[[#This Row],[Cell_ID]],'CKadeaTelcoRegistre_Maintenance'!A:A,'CKadeaTelcoRegistre_Maintenance'!C:C,"Non repertorié")</f>
        <v>Non repertorié</v>
      </c>
      <c r="G78" t="str">
        <f>_xlfn.XLOOKUP(CKadeaTelcoLogs_Reseau[[#This Row],[Cell_ID]],'CKadeaTelcoRegistre_Maintenance'!A:A,'CKadeaTelcoRegistre_Maintenance'!D:D,"Non repertorié")</f>
        <v>Non repertorié</v>
      </c>
      <c r="H78" t="str">
        <f>_xlfn.XLOOKUP(CKadeaTelcoLogs_Reseau[[#This Row],[Cell_ID]],'CKadeaTelcoRegistre_Maintenance'!A:A,'CKadeaTelcoRegistre_Maintenance'!E:E,"Non repertorié")</f>
        <v>Non repertorié</v>
      </c>
      <c r="I78" t="str">
        <f>_xlfn.XLOOKUP(CKadeaTelcoLogs_Reseau[[#This Row],[Cell_ID]],'CKadeaTelcoRegistre_Maintenance'!A:A,'CKadeaTelcoRegistre_Maintenance'!F:F,"Non repertorié")</f>
        <v>Non repertorié</v>
      </c>
    </row>
    <row r="79" spans="1:9" ht="20.5" customHeight="1" x14ac:dyDescent="0.35">
      <c r="A79" s="1">
        <v>45223.710416666669</v>
      </c>
      <c r="B79" s="5" t="s">
        <v>76</v>
      </c>
      <c r="C79">
        <v>43</v>
      </c>
      <c r="D79" t="s">
        <v>8</v>
      </c>
      <c r="E79" t="str">
        <f>_xlfn.XLOOKUP(CKadeaTelcoLogs_Reseau[[#This Row],[Cell_ID]],'CKadeaTelcoRegistre_Maintenance'!A:A,'CKadeaTelcoRegistre_Maintenance'!B:B,"Non repertorié")</f>
        <v>Non repertorié</v>
      </c>
      <c r="F79" t="str">
        <f>_xlfn.XLOOKUP(CKadeaTelcoLogs_Reseau[[#This Row],[Cell_ID]],'CKadeaTelcoRegistre_Maintenance'!A:A,'CKadeaTelcoRegistre_Maintenance'!C:C,"Non repertorié")</f>
        <v>Non repertorié</v>
      </c>
      <c r="G79" t="str">
        <f>_xlfn.XLOOKUP(CKadeaTelcoLogs_Reseau[[#This Row],[Cell_ID]],'CKadeaTelcoRegistre_Maintenance'!A:A,'CKadeaTelcoRegistre_Maintenance'!D:D,"Non repertorié")</f>
        <v>Non repertorié</v>
      </c>
      <c r="H79" t="str">
        <f>_xlfn.XLOOKUP(CKadeaTelcoLogs_Reseau[[#This Row],[Cell_ID]],'CKadeaTelcoRegistre_Maintenance'!A:A,'CKadeaTelcoRegistre_Maintenance'!E:E,"Non repertorié")</f>
        <v>Non repertorié</v>
      </c>
      <c r="I79" t="str">
        <f>_xlfn.XLOOKUP(CKadeaTelcoLogs_Reseau[[#This Row],[Cell_ID]],'CKadeaTelcoRegistre_Maintenance'!A:A,'CKadeaTelcoRegistre_Maintenance'!F:F,"Non repertorié")</f>
        <v>Non repertorié</v>
      </c>
    </row>
    <row r="80" spans="1:9" ht="20.5" customHeight="1" x14ac:dyDescent="0.35">
      <c r="A80" s="1">
        <v>45223.418749999997</v>
      </c>
      <c r="B80" s="5" t="s">
        <v>77</v>
      </c>
      <c r="C80">
        <v>89</v>
      </c>
      <c r="D80" t="s">
        <v>5</v>
      </c>
      <c r="E80" t="str">
        <f>_xlfn.XLOOKUP(CKadeaTelcoLogs_Reseau[[#This Row],[Cell_ID]],'CKadeaTelcoRegistre_Maintenance'!A:A,'CKadeaTelcoRegistre_Maintenance'!B:B,"Non repertorié")</f>
        <v>Haut-Katanga</v>
      </c>
      <c r="F80">
        <f>_xlfn.XLOOKUP(CKadeaTelcoLogs_Reseau[[#This Row],[Cell_ID]],'CKadeaTelcoRegistre_Maintenance'!A:A,'CKadeaTelcoRegistre_Maintenance'!C:C,"Non repertorié")</f>
        <v>4.4712560000000003</v>
      </c>
      <c r="G80">
        <f>_xlfn.XLOOKUP(CKadeaTelcoLogs_Reseau[[#This Row],[Cell_ID]],'CKadeaTelcoRegistre_Maintenance'!A:A,'CKadeaTelcoRegistre_Maintenance'!D:D,"Non repertorié")</f>
        <v>27.107028</v>
      </c>
      <c r="H80" t="str">
        <f>_xlfn.XLOOKUP(CKadeaTelcoLogs_Reseau[[#This Row],[Cell_ID]],'CKadeaTelcoRegistre_Maintenance'!A:A,'CKadeaTelcoRegistre_Maintenance'!E:E,"Non repertorié")</f>
        <v>3G</v>
      </c>
      <c r="I80" t="str">
        <f>_xlfn.XLOOKUP(CKadeaTelcoLogs_Reseau[[#This Row],[Cell_ID]],'CKadeaTelcoRegistre_Maintenance'!A:A,'CKadeaTelcoRegistre_Maintenance'!F:F,"Non repertorié")</f>
        <v>Ericsson</v>
      </c>
    </row>
    <row r="81" spans="1:9" ht="20.5" customHeight="1" x14ac:dyDescent="0.35">
      <c r="A81" s="1">
        <v>45201.770833333336</v>
      </c>
      <c r="B81" s="5" t="s">
        <v>41</v>
      </c>
      <c r="C81">
        <v>18</v>
      </c>
      <c r="D81" t="s">
        <v>10</v>
      </c>
      <c r="E81" t="str">
        <f>_xlfn.XLOOKUP(CKadeaTelcoLogs_Reseau[[#This Row],[Cell_ID]],'CKadeaTelcoRegistre_Maintenance'!A:A,'CKadeaTelcoRegistre_Maintenance'!B:B,"Non repertorié")</f>
        <v>Non repertorié</v>
      </c>
      <c r="F81" t="str">
        <f>_xlfn.XLOOKUP(CKadeaTelcoLogs_Reseau[[#This Row],[Cell_ID]],'CKadeaTelcoRegistre_Maintenance'!A:A,'CKadeaTelcoRegistre_Maintenance'!C:C,"Non repertorié")</f>
        <v>Non repertorié</v>
      </c>
      <c r="G81" t="str">
        <f>_xlfn.XLOOKUP(CKadeaTelcoLogs_Reseau[[#This Row],[Cell_ID]],'CKadeaTelcoRegistre_Maintenance'!A:A,'CKadeaTelcoRegistre_Maintenance'!D:D,"Non repertorié")</f>
        <v>Non repertorié</v>
      </c>
      <c r="H81" t="str">
        <f>_xlfn.XLOOKUP(CKadeaTelcoLogs_Reseau[[#This Row],[Cell_ID]],'CKadeaTelcoRegistre_Maintenance'!A:A,'CKadeaTelcoRegistre_Maintenance'!E:E,"Non repertorié")</f>
        <v>Non repertorié</v>
      </c>
      <c r="I81" t="str">
        <f>_xlfn.XLOOKUP(CKadeaTelcoLogs_Reseau[[#This Row],[Cell_ID]],'CKadeaTelcoRegistre_Maintenance'!A:A,'CKadeaTelcoRegistre_Maintenance'!F:F,"Non repertorié")</f>
        <v>Non repertorié</v>
      </c>
    </row>
    <row r="82" spans="1:9" ht="20.5" customHeight="1" x14ac:dyDescent="0.35">
      <c r="A82" s="1">
        <v>45216.673611111109</v>
      </c>
      <c r="B82" s="5" t="s">
        <v>78</v>
      </c>
      <c r="C82">
        <v>117</v>
      </c>
      <c r="D82" t="s">
        <v>5</v>
      </c>
      <c r="E82" t="str">
        <f>_xlfn.XLOOKUP(CKadeaTelcoLogs_Reseau[[#This Row],[Cell_ID]],'CKadeaTelcoRegistre_Maintenance'!A:A,'CKadeaTelcoRegistre_Maintenance'!B:B,"Non repertorié")</f>
        <v>Sud-Ubangi</v>
      </c>
      <c r="F82">
        <f>_xlfn.XLOOKUP(CKadeaTelcoLogs_Reseau[[#This Row],[Cell_ID]],'CKadeaTelcoRegistre_Maintenance'!A:A,'CKadeaTelcoRegistre_Maintenance'!C:C,"Non repertorié")</f>
        <v>-12.141233</v>
      </c>
      <c r="G82">
        <f>_xlfn.XLOOKUP(CKadeaTelcoLogs_Reseau[[#This Row],[Cell_ID]],'CKadeaTelcoRegistre_Maintenance'!A:A,'CKadeaTelcoRegistre_Maintenance'!D:D,"Non repertorié")</f>
        <v>15.179043999999999</v>
      </c>
      <c r="H82" t="str">
        <f>_xlfn.XLOOKUP(CKadeaTelcoLogs_Reseau[[#This Row],[Cell_ID]],'CKadeaTelcoRegistre_Maintenance'!A:A,'CKadeaTelcoRegistre_Maintenance'!E:E,"Non repertorié")</f>
        <v>5G</v>
      </c>
      <c r="I82" t="str">
        <f>_xlfn.XLOOKUP(CKadeaTelcoLogs_Reseau[[#This Row],[Cell_ID]],'CKadeaTelcoRegistre_Maintenance'!A:A,'CKadeaTelcoRegistre_Maintenance'!F:F,"Non repertorié")</f>
        <v>Ericsson</v>
      </c>
    </row>
    <row r="83" spans="1:9" ht="20.5" customHeight="1" x14ac:dyDescent="0.35">
      <c r="A83" s="1">
        <v>45201.670138888891</v>
      </c>
      <c r="B83" s="5" t="s">
        <v>79</v>
      </c>
      <c r="C83">
        <v>22</v>
      </c>
      <c r="D83" t="s">
        <v>10</v>
      </c>
      <c r="E83" t="str">
        <f>_xlfn.XLOOKUP(CKadeaTelcoLogs_Reseau[[#This Row],[Cell_ID]],'CKadeaTelcoRegistre_Maintenance'!A:A,'CKadeaTelcoRegistre_Maintenance'!B:B,"Non repertorié")</f>
        <v>Non repertorié</v>
      </c>
      <c r="F83" t="str">
        <f>_xlfn.XLOOKUP(CKadeaTelcoLogs_Reseau[[#This Row],[Cell_ID]],'CKadeaTelcoRegistre_Maintenance'!A:A,'CKadeaTelcoRegistre_Maintenance'!C:C,"Non repertorié")</f>
        <v>Non repertorié</v>
      </c>
      <c r="G83" t="str">
        <f>_xlfn.XLOOKUP(CKadeaTelcoLogs_Reseau[[#This Row],[Cell_ID]],'CKadeaTelcoRegistre_Maintenance'!A:A,'CKadeaTelcoRegistre_Maintenance'!D:D,"Non repertorié")</f>
        <v>Non repertorié</v>
      </c>
      <c r="H83" t="str">
        <f>_xlfn.XLOOKUP(CKadeaTelcoLogs_Reseau[[#This Row],[Cell_ID]],'CKadeaTelcoRegistre_Maintenance'!A:A,'CKadeaTelcoRegistre_Maintenance'!E:E,"Non repertorié")</f>
        <v>Non repertorié</v>
      </c>
      <c r="I83" t="str">
        <f>_xlfn.XLOOKUP(CKadeaTelcoLogs_Reseau[[#This Row],[Cell_ID]],'CKadeaTelcoRegistre_Maintenance'!A:A,'CKadeaTelcoRegistre_Maintenance'!F:F,"Non repertorié")</f>
        <v>Non repertorié</v>
      </c>
    </row>
    <row r="84" spans="1:9" ht="20.5" customHeight="1" x14ac:dyDescent="0.35">
      <c r="A84" s="1">
        <v>45227.211111111108</v>
      </c>
      <c r="B84" s="5" t="s">
        <v>80</v>
      </c>
      <c r="C84">
        <v>38</v>
      </c>
      <c r="D84" t="s">
        <v>5</v>
      </c>
      <c r="E84" t="str">
        <f>_xlfn.XLOOKUP(CKadeaTelcoLogs_Reseau[[#This Row],[Cell_ID]],'CKadeaTelcoRegistre_Maintenance'!A:A,'CKadeaTelcoRegistre_Maintenance'!B:B,"Non repertorié")</f>
        <v>Non repertorié</v>
      </c>
      <c r="F84" t="str">
        <f>_xlfn.XLOOKUP(CKadeaTelcoLogs_Reseau[[#This Row],[Cell_ID]],'CKadeaTelcoRegistre_Maintenance'!A:A,'CKadeaTelcoRegistre_Maintenance'!C:C,"Non repertorié")</f>
        <v>Non repertorié</v>
      </c>
      <c r="G84" t="str">
        <f>_xlfn.XLOOKUP(CKadeaTelcoLogs_Reseau[[#This Row],[Cell_ID]],'CKadeaTelcoRegistre_Maintenance'!A:A,'CKadeaTelcoRegistre_Maintenance'!D:D,"Non repertorié")</f>
        <v>Non repertorié</v>
      </c>
      <c r="H84" t="str">
        <f>_xlfn.XLOOKUP(CKadeaTelcoLogs_Reseau[[#This Row],[Cell_ID]],'CKadeaTelcoRegistre_Maintenance'!A:A,'CKadeaTelcoRegistre_Maintenance'!E:E,"Non repertorié")</f>
        <v>Non repertorié</v>
      </c>
      <c r="I84" t="str">
        <f>_xlfn.XLOOKUP(CKadeaTelcoLogs_Reseau[[#This Row],[Cell_ID]],'CKadeaTelcoRegistre_Maintenance'!A:A,'CKadeaTelcoRegistre_Maintenance'!F:F,"Non repertorié")</f>
        <v>Non repertorié</v>
      </c>
    </row>
    <row r="85" spans="1:9" ht="20.5" customHeight="1" x14ac:dyDescent="0.35">
      <c r="A85" s="1">
        <v>45219.113194444442</v>
      </c>
      <c r="B85" s="5" t="s">
        <v>81</v>
      </c>
      <c r="C85">
        <v>19</v>
      </c>
      <c r="D85" t="s">
        <v>5</v>
      </c>
      <c r="E85" t="str">
        <f>_xlfn.XLOOKUP(CKadeaTelcoLogs_Reseau[[#This Row],[Cell_ID]],'CKadeaTelcoRegistre_Maintenance'!A:A,'CKadeaTelcoRegistre_Maintenance'!B:B,"Non repertorié")</f>
        <v>Kwango</v>
      </c>
      <c r="F85">
        <f>_xlfn.XLOOKUP(CKadeaTelcoLogs_Reseau[[#This Row],[Cell_ID]],'CKadeaTelcoRegistre_Maintenance'!A:A,'CKadeaTelcoRegistre_Maintenance'!C:C,"Non repertorié")</f>
        <v>-9.7712979999999998</v>
      </c>
      <c r="G85">
        <f>_xlfn.XLOOKUP(CKadeaTelcoLogs_Reseau[[#This Row],[Cell_ID]],'CKadeaTelcoRegistre_Maintenance'!A:A,'CKadeaTelcoRegistre_Maintenance'!D:D,"Non repertorié")</f>
        <v>19.827895999999999</v>
      </c>
      <c r="H85" t="str">
        <f>_xlfn.XLOOKUP(CKadeaTelcoLogs_Reseau[[#This Row],[Cell_ID]],'CKadeaTelcoRegistre_Maintenance'!A:A,'CKadeaTelcoRegistre_Maintenance'!E:E,"Non repertorié")</f>
        <v>3G</v>
      </c>
      <c r="I85" t="str">
        <f>_xlfn.XLOOKUP(CKadeaTelcoLogs_Reseau[[#This Row],[Cell_ID]],'CKadeaTelcoRegistre_Maintenance'!A:A,'CKadeaTelcoRegistre_Maintenance'!F:F,"Non repertorié")</f>
        <v>ZTE</v>
      </c>
    </row>
    <row r="86" spans="1:9" ht="20.5" customHeight="1" x14ac:dyDescent="0.35">
      <c r="A86" s="1">
        <v>45227.309027777781</v>
      </c>
      <c r="B86" s="5" t="s">
        <v>82</v>
      </c>
      <c r="C86">
        <v>118</v>
      </c>
      <c r="D86" t="s">
        <v>10</v>
      </c>
      <c r="E86" t="str">
        <f>_xlfn.XLOOKUP(CKadeaTelcoLogs_Reseau[[#This Row],[Cell_ID]],'CKadeaTelcoRegistre_Maintenance'!A:A,'CKadeaTelcoRegistre_Maintenance'!B:B,"Non repertorié")</f>
        <v>Sud-Ubangi</v>
      </c>
      <c r="F86">
        <f>_xlfn.XLOOKUP(CKadeaTelcoLogs_Reseau[[#This Row],[Cell_ID]],'CKadeaTelcoRegistre_Maintenance'!A:A,'CKadeaTelcoRegistre_Maintenance'!C:C,"Non repertorié")</f>
        <v>-10.914952</v>
      </c>
      <c r="G86">
        <f>_xlfn.XLOOKUP(CKadeaTelcoLogs_Reseau[[#This Row],[Cell_ID]],'CKadeaTelcoRegistre_Maintenance'!A:A,'CKadeaTelcoRegistre_Maintenance'!D:D,"Non repertorié")</f>
        <v>26.409648000000001</v>
      </c>
      <c r="H86" t="str">
        <f>_xlfn.XLOOKUP(CKadeaTelcoLogs_Reseau[[#This Row],[Cell_ID]],'CKadeaTelcoRegistre_Maintenance'!A:A,'CKadeaTelcoRegistre_Maintenance'!E:E,"Non repertorié")</f>
        <v>4G</v>
      </c>
      <c r="I86" t="str">
        <f>_xlfn.XLOOKUP(CKadeaTelcoLogs_Reseau[[#This Row],[Cell_ID]],'CKadeaTelcoRegistre_Maintenance'!A:A,'CKadeaTelcoRegistre_Maintenance'!F:F,"Non repertorié")</f>
        <v>Huawei</v>
      </c>
    </row>
    <row r="87" spans="1:9" ht="20.5" customHeight="1" x14ac:dyDescent="0.35">
      <c r="A87" s="1">
        <v>45203.760416666664</v>
      </c>
      <c r="B87" s="5" t="s">
        <v>83</v>
      </c>
      <c r="C87">
        <v>18</v>
      </c>
      <c r="D87" t="s">
        <v>10</v>
      </c>
      <c r="E87" t="str">
        <f>_xlfn.XLOOKUP(CKadeaTelcoLogs_Reseau[[#This Row],[Cell_ID]],'CKadeaTelcoRegistre_Maintenance'!A:A,'CKadeaTelcoRegistre_Maintenance'!B:B,"Non repertorié")</f>
        <v>Nord-Ubangi</v>
      </c>
      <c r="F87">
        <f>_xlfn.XLOOKUP(CKadeaTelcoLogs_Reseau[[#This Row],[Cell_ID]],'CKadeaTelcoRegistre_Maintenance'!A:A,'CKadeaTelcoRegistre_Maintenance'!C:C,"Non repertorié")</f>
        <v>0.94539899999999999</v>
      </c>
      <c r="G87">
        <f>_xlfn.XLOOKUP(CKadeaTelcoLogs_Reseau[[#This Row],[Cell_ID]],'CKadeaTelcoRegistre_Maintenance'!A:A,'CKadeaTelcoRegistre_Maintenance'!D:D,"Non repertorié")</f>
        <v>14.401821999999999</v>
      </c>
      <c r="H87" t="str">
        <f>_xlfn.XLOOKUP(CKadeaTelcoLogs_Reseau[[#This Row],[Cell_ID]],'CKadeaTelcoRegistre_Maintenance'!A:A,'CKadeaTelcoRegistre_Maintenance'!E:E,"Non repertorié")</f>
        <v>5G</v>
      </c>
      <c r="I87" t="str">
        <f>_xlfn.XLOOKUP(CKadeaTelcoLogs_Reseau[[#This Row],[Cell_ID]],'CKadeaTelcoRegistre_Maintenance'!A:A,'CKadeaTelcoRegistre_Maintenance'!F:F,"Non repertorié")</f>
        <v>Nokia</v>
      </c>
    </row>
    <row r="88" spans="1:9" ht="20.5" customHeight="1" x14ac:dyDescent="0.35">
      <c r="A88" s="1">
        <v>45218.793055555558</v>
      </c>
      <c r="B88" s="5" t="s">
        <v>84</v>
      </c>
      <c r="C88">
        <v>100</v>
      </c>
      <c r="D88" t="s">
        <v>10</v>
      </c>
      <c r="E88" t="str">
        <f>_xlfn.XLOOKUP(CKadeaTelcoLogs_Reseau[[#This Row],[Cell_ID]],'CKadeaTelcoRegistre_Maintenance'!A:A,'CKadeaTelcoRegistre_Maintenance'!B:B,"Non repertorié")</f>
        <v>Non repertorié</v>
      </c>
      <c r="F88" t="str">
        <f>_xlfn.XLOOKUP(CKadeaTelcoLogs_Reseau[[#This Row],[Cell_ID]],'CKadeaTelcoRegistre_Maintenance'!A:A,'CKadeaTelcoRegistre_Maintenance'!C:C,"Non repertorié")</f>
        <v>Non repertorié</v>
      </c>
      <c r="G88" t="str">
        <f>_xlfn.XLOOKUP(CKadeaTelcoLogs_Reseau[[#This Row],[Cell_ID]],'CKadeaTelcoRegistre_Maintenance'!A:A,'CKadeaTelcoRegistre_Maintenance'!D:D,"Non repertorié")</f>
        <v>Non repertorié</v>
      </c>
      <c r="H88" t="str">
        <f>_xlfn.XLOOKUP(CKadeaTelcoLogs_Reseau[[#This Row],[Cell_ID]],'CKadeaTelcoRegistre_Maintenance'!A:A,'CKadeaTelcoRegistre_Maintenance'!E:E,"Non repertorié")</f>
        <v>Non repertorié</v>
      </c>
      <c r="I88" t="str">
        <f>_xlfn.XLOOKUP(CKadeaTelcoLogs_Reseau[[#This Row],[Cell_ID]],'CKadeaTelcoRegistre_Maintenance'!A:A,'CKadeaTelcoRegistre_Maintenance'!F:F,"Non repertorié")</f>
        <v>Non repertorié</v>
      </c>
    </row>
    <row r="89" spans="1:9" ht="20.5" customHeight="1" x14ac:dyDescent="0.35">
      <c r="A89" s="1">
        <v>45219.101388888892</v>
      </c>
      <c r="B89" s="5" t="s">
        <v>85</v>
      </c>
      <c r="C89">
        <v>75</v>
      </c>
      <c r="D89" t="s">
        <v>5</v>
      </c>
      <c r="E89" t="str">
        <f>_xlfn.XLOOKUP(CKadeaTelcoLogs_Reseau[[#This Row],[Cell_ID]],'CKadeaTelcoRegistre_Maintenance'!A:A,'CKadeaTelcoRegistre_Maintenance'!B:B,"Non repertorié")</f>
        <v>Ituri</v>
      </c>
      <c r="F89">
        <f>_xlfn.XLOOKUP(CKadeaTelcoLogs_Reseau[[#This Row],[Cell_ID]],'CKadeaTelcoRegistre_Maintenance'!A:A,'CKadeaTelcoRegistre_Maintenance'!C:C,"Non repertorié")</f>
        <v>-7.0076900000000002</v>
      </c>
      <c r="G89">
        <f>_xlfn.XLOOKUP(CKadeaTelcoLogs_Reseau[[#This Row],[Cell_ID]],'CKadeaTelcoRegistre_Maintenance'!A:A,'CKadeaTelcoRegistre_Maintenance'!D:D,"Non repertorié")</f>
        <v>27.367121999999998</v>
      </c>
      <c r="H89" t="str">
        <f>_xlfn.XLOOKUP(CKadeaTelcoLogs_Reseau[[#This Row],[Cell_ID]],'CKadeaTelcoRegistre_Maintenance'!A:A,'CKadeaTelcoRegistre_Maintenance'!E:E,"Non repertorié")</f>
        <v>3G</v>
      </c>
      <c r="I89" t="str">
        <f>_xlfn.XLOOKUP(CKadeaTelcoLogs_Reseau[[#This Row],[Cell_ID]],'CKadeaTelcoRegistre_Maintenance'!A:A,'CKadeaTelcoRegistre_Maintenance'!F:F,"Non repertorié")</f>
        <v>Nokia</v>
      </c>
    </row>
    <row r="90" spans="1:9" ht="20.5" customHeight="1" x14ac:dyDescent="0.35">
      <c r="A90" s="1">
        <v>45221.775000000001</v>
      </c>
      <c r="B90" s="5" t="s">
        <v>86</v>
      </c>
      <c r="C90">
        <v>24</v>
      </c>
      <c r="D90" t="s">
        <v>5</v>
      </c>
      <c r="E90" t="str">
        <f>_xlfn.XLOOKUP(CKadeaTelcoLogs_Reseau[[#This Row],[Cell_ID]],'CKadeaTelcoRegistre_Maintenance'!A:A,'CKadeaTelcoRegistre_Maintenance'!B:B,"Non repertorié")</f>
        <v>Mongala</v>
      </c>
      <c r="F90">
        <f>_xlfn.XLOOKUP(CKadeaTelcoLogs_Reseau[[#This Row],[Cell_ID]],'CKadeaTelcoRegistre_Maintenance'!A:A,'CKadeaTelcoRegistre_Maintenance'!C:C,"Non repertorié")</f>
        <v>-11.514188000000001</v>
      </c>
      <c r="G90">
        <f>_xlfn.XLOOKUP(CKadeaTelcoLogs_Reseau[[#This Row],[Cell_ID]],'CKadeaTelcoRegistre_Maintenance'!A:A,'CKadeaTelcoRegistre_Maintenance'!D:D,"Non repertorié")</f>
        <v>15.971181</v>
      </c>
      <c r="H90" t="str">
        <f>_xlfn.XLOOKUP(CKadeaTelcoLogs_Reseau[[#This Row],[Cell_ID]],'CKadeaTelcoRegistre_Maintenance'!A:A,'CKadeaTelcoRegistre_Maintenance'!E:E,"Non repertorié")</f>
        <v>5G</v>
      </c>
      <c r="I90" t="str">
        <f>_xlfn.XLOOKUP(CKadeaTelcoLogs_Reseau[[#This Row],[Cell_ID]],'CKadeaTelcoRegistre_Maintenance'!A:A,'CKadeaTelcoRegistre_Maintenance'!F:F,"Non repertorié")</f>
        <v>Ericsson</v>
      </c>
    </row>
    <row r="91" spans="1:9" ht="20.5" customHeight="1" x14ac:dyDescent="0.35">
      <c r="A91" s="1">
        <v>45216.457638888889</v>
      </c>
      <c r="B91" s="5" t="s">
        <v>87</v>
      </c>
      <c r="C91">
        <v>39</v>
      </c>
      <c r="D91" t="s">
        <v>5</v>
      </c>
      <c r="E91" t="str">
        <f>_xlfn.XLOOKUP(CKadeaTelcoLogs_Reseau[[#This Row],[Cell_ID]],'CKadeaTelcoRegistre_Maintenance'!A:A,'CKadeaTelcoRegistre_Maintenance'!B:B,"Non repertorié")</f>
        <v>Kasai-Central</v>
      </c>
      <c r="F91">
        <f>_xlfn.XLOOKUP(CKadeaTelcoLogs_Reseau[[#This Row],[Cell_ID]],'CKadeaTelcoRegistre_Maintenance'!A:A,'CKadeaTelcoRegistre_Maintenance'!C:C,"Non repertorié")</f>
        <v>-9.5266249999999992</v>
      </c>
      <c r="G91">
        <f>_xlfn.XLOOKUP(CKadeaTelcoLogs_Reseau[[#This Row],[Cell_ID]],'CKadeaTelcoRegistre_Maintenance'!A:A,'CKadeaTelcoRegistre_Maintenance'!D:D,"Non repertorié")</f>
        <v>27.889690999999999</v>
      </c>
      <c r="H91" t="str">
        <f>_xlfn.XLOOKUP(CKadeaTelcoLogs_Reseau[[#This Row],[Cell_ID]],'CKadeaTelcoRegistre_Maintenance'!A:A,'CKadeaTelcoRegistre_Maintenance'!E:E,"Non repertorié")</f>
        <v>4G</v>
      </c>
      <c r="I91" t="str">
        <f>_xlfn.XLOOKUP(CKadeaTelcoLogs_Reseau[[#This Row],[Cell_ID]],'CKadeaTelcoRegistre_Maintenance'!A:A,'CKadeaTelcoRegistre_Maintenance'!F:F,"Non repertorié")</f>
        <v>Ericsson</v>
      </c>
    </row>
    <row r="92" spans="1:9" ht="20.5" customHeight="1" x14ac:dyDescent="0.35">
      <c r="A92" s="1">
        <v>45208.279166666667</v>
      </c>
      <c r="B92" s="5" t="s">
        <v>88</v>
      </c>
      <c r="C92">
        <v>41</v>
      </c>
      <c r="D92" t="s">
        <v>8</v>
      </c>
      <c r="E92" t="str">
        <f>_xlfn.XLOOKUP(CKadeaTelcoLogs_Reseau[[#This Row],[Cell_ID]],'CKadeaTelcoRegistre_Maintenance'!A:A,'CKadeaTelcoRegistre_Maintenance'!B:B,"Non repertorié")</f>
        <v>Nord-Ubangi</v>
      </c>
      <c r="F92">
        <f>_xlfn.XLOOKUP(CKadeaTelcoLogs_Reseau[[#This Row],[Cell_ID]],'CKadeaTelcoRegistre_Maintenance'!A:A,'CKadeaTelcoRegistre_Maintenance'!C:C,"Non repertorié")</f>
        <v>-9.3066320000000005</v>
      </c>
      <c r="G92">
        <f>_xlfn.XLOOKUP(CKadeaTelcoLogs_Reseau[[#This Row],[Cell_ID]],'CKadeaTelcoRegistre_Maintenance'!A:A,'CKadeaTelcoRegistre_Maintenance'!D:D,"Non repertorié")</f>
        <v>20.470889</v>
      </c>
      <c r="H92" t="str">
        <f>_xlfn.XLOOKUP(CKadeaTelcoLogs_Reseau[[#This Row],[Cell_ID]],'CKadeaTelcoRegistre_Maintenance'!A:A,'CKadeaTelcoRegistre_Maintenance'!E:E,"Non repertorié")</f>
        <v>5G</v>
      </c>
      <c r="I92" t="str">
        <f>_xlfn.XLOOKUP(CKadeaTelcoLogs_Reseau[[#This Row],[Cell_ID]],'CKadeaTelcoRegistre_Maintenance'!A:A,'CKadeaTelcoRegistre_Maintenance'!F:F,"Non repertorié")</f>
        <v>ZTE</v>
      </c>
    </row>
    <row r="93" spans="1:9" ht="20.5" customHeight="1" x14ac:dyDescent="0.35">
      <c r="A93" s="1">
        <v>45222.427083333336</v>
      </c>
      <c r="B93" s="5" t="s">
        <v>89</v>
      </c>
      <c r="C93">
        <v>82</v>
      </c>
      <c r="D93" t="s">
        <v>5</v>
      </c>
      <c r="E93" t="str">
        <f>_xlfn.XLOOKUP(CKadeaTelcoLogs_Reseau[[#This Row],[Cell_ID]],'CKadeaTelcoRegistre_Maintenance'!A:A,'CKadeaTelcoRegistre_Maintenance'!B:B,"Non repertorié")</f>
        <v>Bas-Uele</v>
      </c>
      <c r="F93">
        <f>_xlfn.XLOOKUP(CKadeaTelcoLogs_Reseau[[#This Row],[Cell_ID]],'CKadeaTelcoRegistre_Maintenance'!A:A,'CKadeaTelcoRegistre_Maintenance'!C:C,"Non repertorié")</f>
        <v>-4.4697000000000001E-2</v>
      </c>
      <c r="G93">
        <f>_xlfn.XLOOKUP(CKadeaTelcoLogs_Reseau[[#This Row],[Cell_ID]],'CKadeaTelcoRegistre_Maintenance'!A:A,'CKadeaTelcoRegistre_Maintenance'!D:D,"Non repertorié")</f>
        <v>22.943373000000001</v>
      </c>
      <c r="H93" t="str">
        <f>_xlfn.XLOOKUP(CKadeaTelcoLogs_Reseau[[#This Row],[Cell_ID]],'CKadeaTelcoRegistre_Maintenance'!A:A,'CKadeaTelcoRegistre_Maintenance'!E:E,"Non repertorié")</f>
        <v>3G</v>
      </c>
      <c r="I93" t="str">
        <f>_xlfn.XLOOKUP(CKadeaTelcoLogs_Reseau[[#This Row],[Cell_ID]],'CKadeaTelcoRegistre_Maintenance'!A:A,'CKadeaTelcoRegistre_Maintenance'!F:F,"Non repertorié")</f>
        <v>Huawei</v>
      </c>
    </row>
    <row r="94" spans="1:9" ht="20.5" customHeight="1" x14ac:dyDescent="0.35">
      <c r="A94" s="1">
        <v>45208.505555555559</v>
      </c>
      <c r="B94" s="5" t="s">
        <v>90</v>
      </c>
      <c r="C94">
        <v>31</v>
      </c>
      <c r="D94" t="s">
        <v>10</v>
      </c>
      <c r="E94" t="str">
        <f>_xlfn.XLOOKUP(CKadeaTelcoLogs_Reseau[[#This Row],[Cell_ID]],'CKadeaTelcoRegistre_Maintenance'!A:A,'CKadeaTelcoRegistre_Maintenance'!B:B,"Non repertorié")</f>
        <v>Non repertorié</v>
      </c>
      <c r="F94" t="str">
        <f>_xlfn.XLOOKUP(CKadeaTelcoLogs_Reseau[[#This Row],[Cell_ID]],'CKadeaTelcoRegistre_Maintenance'!A:A,'CKadeaTelcoRegistre_Maintenance'!C:C,"Non repertorié")</f>
        <v>Non repertorié</v>
      </c>
      <c r="G94" t="str">
        <f>_xlfn.XLOOKUP(CKadeaTelcoLogs_Reseau[[#This Row],[Cell_ID]],'CKadeaTelcoRegistre_Maintenance'!A:A,'CKadeaTelcoRegistre_Maintenance'!D:D,"Non repertorié")</f>
        <v>Non repertorié</v>
      </c>
      <c r="H94" t="str">
        <f>_xlfn.XLOOKUP(CKadeaTelcoLogs_Reseau[[#This Row],[Cell_ID]],'CKadeaTelcoRegistre_Maintenance'!A:A,'CKadeaTelcoRegistre_Maintenance'!E:E,"Non repertorié")</f>
        <v>Non repertorié</v>
      </c>
      <c r="I94" t="str">
        <f>_xlfn.XLOOKUP(CKadeaTelcoLogs_Reseau[[#This Row],[Cell_ID]],'CKadeaTelcoRegistre_Maintenance'!A:A,'CKadeaTelcoRegistre_Maintenance'!F:F,"Non repertorié")</f>
        <v>Non repertorié</v>
      </c>
    </row>
    <row r="95" spans="1:9" ht="20.5" customHeight="1" x14ac:dyDescent="0.35">
      <c r="A95" s="1">
        <v>45221.84652777778</v>
      </c>
      <c r="B95" s="5" t="s">
        <v>91</v>
      </c>
      <c r="C95">
        <v>96</v>
      </c>
      <c r="D95" t="s">
        <v>10</v>
      </c>
      <c r="E95" t="str">
        <f>_xlfn.XLOOKUP(CKadeaTelcoLogs_Reseau[[#This Row],[Cell_ID]],'CKadeaTelcoRegistre_Maintenance'!A:A,'CKadeaTelcoRegistre_Maintenance'!B:B,"Non repertorié")</f>
        <v>Sud-Kivu</v>
      </c>
      <c r="F95">
        <f>_xlfn.XLOOKUP(CKadeaTelcoLogs_Reseau[[#This Row],[Cell_ID]],'CKadeaTelcoRegistre_Maintenance'!A:A,'CKadeaTelcoRegistre_Maintenance'!C:C,"Non repertorié")</f>
        <v>-5.2526849999999996</v>
      </c>
      <c r="G95">
        <f>_xlfn.XLOOKUP(CKadeaTelcoLogs_Reseau[[#This Row],[Cell_ID]],'CKadeaTelcoRegistre_Maintenance'!A:A,'CKadeaTelcoRegistre_Maintenance'!D:D,"Non repertorié")</f>
        <v>12.374528</v>
      </c>
      <c r="H95" t="str">
        <f>_xlfn.XLOOKUP(CKadeaTelcoLogs_Reseau[[#This Row],[Cell_ID]],'CKadeaTelcoRegistre_Maintenance'!A:A,'CKadeaTelcoRegistre_Maintenance'!E:E,"Non repertorié")</f>
        <v>3G</v>
      </c>
      <c r="I95" t="str">
        <f>_xlfn.XLOOKUP(CKadeaTelcoLogs_Reseau[[#This Row],[Cell_ID]],'CKadeaTelcoRegistre_Maintenance'!A:A,'CKadeaTelcoRegistre_Maintenance'!F:F,"Non repertorié")</f>
        <v>Nokia</v>
      </c>
    </row>
    <row r="96" spans="1:9" ht="20.5" customHeight="1" x14ac:dyDescent="0.35">
      <c r="A96" s="1">
        <v>45214.457638888889</v>
      </c>
      <c r="B96" s="5" t="s">
        <v>92</v>
      </c>
      <c r="C96">
        <v>48</v>
      </c>
      <c r="D96" t="s">
        <v>10</v>
      </c>
      <c r="E96" t="str">
        <f>_xlfn.XLOOKUP(CKadeaTelcoLogs_Reseau[[#This Row],[Cell_ID]],'CKadeaTelcoRegistre_Maintenance'!A:A,'CKadeaTelcoRegistre_Maintenance'!B:B,"Non repertorié")</f>
        <v>Sud-Ubangi</v>
      </c>
      <c r="F96">
        <f>_xlfn.XLOOKUP(CKadeaTelcoLogs_Reseau[[#This Row],[Cell_ID]],'CKadeaTelcoRegistre_Maintenance'!A:A,'CKadeaTelcoRegistre_Maintenance'!C:C,"Non repertorié")</f>
        <v>-9.3652239999999995</v>
      </c>
      <c r="G96">
        <f>_xlfn.XLOOKUP(CKadeaTelcoLogs_Reseau[[#This Row],[Cell_ID]],'CKadeaTelcoRegistre_Maintenance'!A:A,'CKadeaTelcoRegistre_Maintenance'!D:D,"Non repertorié")</f>
        <v>22.593423999999999</v>
      </c>
      <c r="H96" t="str">
        <f>_xlfn.XLOOKUP(CKadeaTelcoLogs_Reseau[[#This Row],[Cell_ID]],'CKadeaTelcoRegistre_Maintenance'!A:A,'CKadeaTelcoRegistre_Maintenance'!E:E,"Non repertorié")</f>
        <v>5G</v>
      </c>
      <c r="I96" t="str">
        <f>_xlfn.XLOOKUP(CKadeaTelcoLogs_Reseau[[#This Row],[Cell_ID]],'CKadeaTelcoRegistre_Maintenance'!A:A,'CKadeaTelcoRegistre_Maintenance'!F:F,"Non repertorié")</f>
        <v>Nokia</v>
      </c>
    </row>
    <row r="97" spans="1:9" ht="20.5" customHeight="1" x14ac:dyDescent="0.35">
      <c r="A97" s="1">
        <v>45224.083333333336</v>
      </c>
      <c r="B97" s="5" t="s">
        <v>93</v>
      </c>
      <c r="C97">
        <v>31</v>
      </c>
      <c r="D97" t="s">
        <v>5</v>
      </c>
      <c r="E97" t="str">
        <f>_xlfn.XLOOKUP(CKadeaTelcoLogs_Reseau[[#This Row],[Cell_ID]],'CKadeaTelcoRegistre_Maintenance'!A:A,'CKadeaTelcoRegistre_Maintenance'!B:B,"Non repertorié")</f>
        <v>Non repertorié</v>
      </c>
      <c r="F97" t="str">
        <f>_xlfn.XLOOKUP(CKadeaTelcoLogs_Reseau[[#This Row],[Cell_ID]],'CKadeaTelcoRegistre_Maintenance'!A:A,'CKadeaTelcoRegistre_Maintenance'!C:C,"Non repertorié")</f>
        <v>Non repertorié</v>
      </c>
      <c r="G97" t="str">
        <f>_xlfn.XLOOKUP(CKadeaTelcoLogs_Reseau[[#This Row],[Cell_ID]],'CKadeaTelcoRegistre_Maintenance'!A:A,'CKadeaTelcoRegistre_Maintenance'!D:D,"Non repertorié")</f>
        <v>Non repertorié</v>
      </c>
      <c r="H97" t="str">
        <f>_xlfn.XLOOKUP(CKadeaTelcoLogs_Reseau[[#This Row],[Cell_ID]],'CKadeaTelcoRegistre_Maintenance'!A:A,'CKadeaTelcoRegistre_Maintenance'!E:E,"Non repertorié")</f>
        <v>Non repertorié</v>
      </c>
      <c r="I97" t="str">
        <f>_xlfn.XLOOKUP(CKadeaTelcoLogs_Reseau[[#This Row],[Cell_ID]],'CKadeaTelcoRegistre_Maintenance'!A:A,'CKadeaTelcoRegistre_Maintenance'!F:F,"Non repertorié")</f>
        <v>Non repertorié</v>
      </c>
    </row>
    <row r="98" spans="1:9" ht="20.5" customHeight="1" x14ac:dyDescent="0.35">
      <c r="A98" s="1">
        <v>45214.816666666666</v>
      </c>
      <c r="B98" s="5" t="s">
        <v>94</v>
      </c>
      <c r="C98">
        <v>92</v>
      </c>
      <c r="D98" t="s">
        <v>10</v>
      </c>
      <c r="E98" t="str">
        <f>_xlfn.XLOOKUP(CKadeaTelcoLogs_Reseau[[#This Row],[Cell_ID]],'CKadeaTelcoRegistre_Maintenance'!A:A,'CKadeaTelcoRegistre_Maintenance'!B:B,"Non repertorié")</f>
        <v>Non repertorié</v>
      </c>
      <c r="F98" t="str">
        <f>_xlfn.XLOOKUP(CKadeaTelcoLogs_Reseau[[#This Row],[Cell_ID]],'CKadeaTelcoRegistre_Maintenance'!A:A,'CKadeaTelcoRegistre_Maintenance'!C:C,"Non repertorié")</f>
        <v>Non repertorié</v>
      </c>
      <c r="G98" t="str">
        <f>_xlfn.XLOOKUP(CKadeaTelcoLogs_Reseau[[#This Row],[Cell_ID]],'CKadeaTelcoRegistre_Maintenance'!A:A,'CKadeaTelcoRegistre_Maintenance'!D:D,"Non repertorié")</f>
        <v>Non repertorié</v>
      </c>
      <c r="H98" t="str">
        <f>_xlfn.XLOOKUP(CKadeaTelcoLogs_Reseau[[#This Row],[Cell_ID]],'CKadeaTelcoRegistre_Maintenance'!A:A,'CKadeaTelcoRegistre_Maintenance'!E:E,"Non repertorié")</f>
        <v>Non repertorié</v>
      </c>
      <c r="I98" t="str">
        <f>_xlfn.XLOOKUP(CKadeaTelcoLogs_Reseau[[#This Row],[Cell_ID]],'CKadeaTelcoRegistre_Maintenance'!A:A,'CKadeaTelcoRegistre_Maintenance'!F:F,"Non repertorié")</f>
        <v>Non repertorié</v>
      </c>
    </row>
    <row r="99" spans="1:9" ht="20.5" customHeight="1" x14ac:dyDescent="0.35">
      <c r="A99" s="1">
        <v>45230.004861111112</v>
      </c>
      <c r="B99" s="5" t="s">
        <v>95</v>
      </c>
      <c r="C99">
        <v>58</v>
      </c>
      <c r="D99" t="s">
        <v>5</v>
      </c>
      <c r="E99" t="str">
        <f>_xlfn.XLOOKUP(CKadeaTelcoLogs_Reseau[[#This Row],[Cell_ID]],'CKadeaTelcoRegistre_Maintenance'!A:A,'CKadeaTelcoRegistre_Maintenance'!B:B,"Non repertorié")</f>
        <v>Lualaba</v>
      </c>
      <c r="F99">
        <f>_xlfn.XLOOKUP(CKadeaTelcoLogs_Reseau[[#This Row],[Cell_ID]],'CKadeaTelcoRegistre_Maintenance'!A:A,'CKadeaTelcoRegistre_Maintenance'!C:C,"Non repertorié")</f>
        <v>-7.4608439999999998</v>
      </c>
      <c r="G99">
        <f>_xlfn.XLOOKUP(CKadeaTelcoLogs_Reseau[[#This Row],[Cell_ID]],'CKadeaTelcoRegistre_Maintenance'!A:A,'CKadeaTelcoRegistre_Maintenance'!D:D,"Non repertorié")</f>
        <v>23.268619999999999</v>
      </c>
      <c r="H99" t="str">
        <f>_xlfn.XLOOKUP(CKadeaTelcoLogs_Reseau[[#This Row],[Cell_ID]],'CKadeaTelcoRegistre_Maintenance'!A:A,'CKadeaTelcoRegistre_Maintenance'!E:E,"Non repertorié")</f>
        <v>4G</v>
      </c>
      <c r="I99" t="str">
        <f>_xlfn.XLOOKUP(CKadeaTelcoLogs_Reseau[[#This Row],[Cell_ID]],'CKadeaTelcoRegistre_Maintenance'!A:A,'CKadeaTelcoRegistre_Maintenance'!F:F,"Non repertorié")</f>
        <v>Huawei</v>
      </c>
    </row>
    <row r="100" spans="1:9" ht="20.5" customHeight="1" x14ac:dyDescent="0.35">
      <c r="A100" s="1">
        <v>45228.34097222222</v>
      </c>
      <c r="B100" s="5" t="s">
        <v>96</v>
      </c>
      <c r="C100">
        <v>118</v>
      </c>
      <c r="D100" t="s">
        <v>10</v>
      </c>
      <c r="E100" t="str">
        <f>_xlfn.XLOOKUP(CKadeaTelcoLogs_Reseau[[#This Row],[Cell_ID]],'CKadeaTelcoRegistre_Maintenance'!A:A,'CKadeaTelcoRegistre_Maintenance'!B:B,"Non repertorié")</f>
        <v>Non repertorié</v>
      </c>
      <c r="F100" t="str">
        <f>_xlfn.XLOOKUP(CKadeaTelcoLogs_Reseau[[#This Row],[Cell_ID]],'CKadeaTelcoRegistre_Maintenance'!A:A,'CKadeaTelcoRegistre_Maintenance'!C:C,"Non repertorié")</f>
        <v>Non repertorié</v>
      </c>
      <c r="G100" t="str">
        <f>_xlfn.XLOOKUP(CKadeaTelcoLogs_Reseau[[#This Row],[Cell_ID]],'CKadeaTelcoRegistre_Maintenance'!A:A,'CKadeaTelcoRegistre_Maintenance'!D:D,"Non repertorié")</f>
        <v>Non repertorié</v>
      </c>
      <c r="H100" t="str">
        <f>_xlfn.XLOOKUP(CKadeaTelcoLogs_Reseau[[#This Row],[Cell_ID]],'CKadeaTelcoRegistre_Maintenance'!A:A,'CKadeaTelcoRegistre_Maintenance'!E:E,"Non repertorié")</f>
        <v>Non repertorié</v>
      </c>
      <c r="I100" t="str">
        <f>_xlfn.XLOOKUP(CKadeaTelcoLogs_Reseau[[#This Row],[Cell_ID]],'CKadeaTelcoRegistre_Maintenance'!A:A,'CKadeaTelcoRegistre_Maintenance'!F:F,"Non repertorié")</f>
        <v>Non repertorié</v>
      </c>
    </row>
    <row r="101" spans="1:9" ht="20.5" customHeight="1" x14ac:dyDescent="0.35">
      <c r="A101" s="1">
        <v>45218.334722222222</v>
      </c>
      <c r="B101" s="5" t="s">
        <v>97</v>
      </c>
      <c r="C101">
        <v>85</v>
      </c>
      <c r="D101" t="s">
        <v>10</v>
      </c>
      <c r="E101" t="str">
        <f>_xlfn.XLOOKUP(CKadeaTelcoLogs_Reseau[[#This Row],[Cell_ID]],'CKadeaTelcoRegistre_Maintenance'!A:A,'CKadeaTelcoRegistre_Maintenance'!B:B,"Non repertorié")</f>
        <v>Non repertorié</v>
      </c>
      <c r="F101" t="str">
        <f>_xlfn.XLOOKUP(CKadeaTelcoLogs_Reseau[[#This Row],[Cell_ID]],'CKadeaTelcoRegistre_Maintenance'!A:A,'CKadeaTelcoRegistre_Maintenance'!C:C,"Non repertorié")</f>
        <v>Non repertorié</v>
      </c>
      <c r="G101" t="str">
        <f>_xlfn.XLOOKUP(CKadeaTelcoLogs_Reseau[[#This Row],[Cell_ID]],'CKadeaTelcoRegistre_Maintenance'!A:A,'CKadeaTelcoRegistre_Maintenance'!D:D,"Non repertorié")</f>
        <v>Non repertorié</v>
      </c>
      <c r="H101" t="str">
        <f>_xlfn.XLOOKUP(CKadeaTelcoLogs_Reseau[[#This Row],[Cell_ID]],'CKadeaTelcoRegistre_Maintenance'!A:A,'CKadeaTelcoRegistre_Maintenance'!E:E,"Non repertorié")</f>
        <v>Non repertorié</v>
      </c>
      <c r="I101" t="str">
        <f>_xlfn.XLOOKUP(CKadeaTelcoLogs_Reseau[[#This Row],[Cell_ID]],'CKadeaTelcoRegistre_Maintenance'!A:A,'CKadeaTelcoRegistre_Maintenance'!F:F,"Non repertorié")</f>
        <v>Non repertorié</v>
      </c>
    </row>
    <row r="102" spans="1:9" ht="20.5" customHeight="1" x14ac:dyDescent="0.35">
      <c r="A102" s="1">
        <v>45203.810416666667</v>
      </c>
      <c r="B102" s="5" t="s">
        <v>98</v>
      </c>
      <c r="C102">
        <v>78</v>
      </c>
      <c r="D102" t="s">
        <v>10</v>
      </c>
      <c r="E102" t="str">
        <f>_xlfn.XLOOKUP(CKadeaTelcoLogs_Reseau[[#This Row],[Cell_ID]],'CKadeaTelcoRegistre_Maintenance'!A:A,'CKadeaTelcoRegistre_Maintenance'!B:B,"Non repertorié")</f>
        <v>Non repertorié</v>
      </c>
      <c r="F102" t="str">
        <f>_xlfn.XLOOKUP(CKadeaTelcoLogs_Reseau[[#This Row],[Cell_ID]],'CKadeaTelcoRegistre_Maintenance'!A:A,'CKadeaTelcoRegistre_Maintenance'!C:C,"Non repertorié")</f>
        <v>Non repertorié</v>
      </c>
      <c r="G102" t="str">
        <f>_xlfn.XLOOKUP(CKadeaTelcoLogs_Reseau[[#This Row],[Cell_ID]],'CKadeaTelcoRegistre_Maintenance'!A:A,'CKadeaTelcoRegistre_Maintenance'!D:D,"Non repertorié")</f>
        <v>Non repertorié</v>
      </c>
      <c r="H102" t="str">
        <f>_xlfn.XLOOKUP(CKadeaTelcoLogs_Reseau[[#This Row],[Cell_ID]],'CKadeaTelcoRegistre_Maintenance'!A:A,'CKadeaTelcoRegistre_Maintenance'!E:E,"Non repertorié")</f>
        <v>Non repertorié</v>
      </c>
      <c r="I102" t="str">
        <f>_xlfn.XLOOKUP(CKadeaTelcoLogs_Reseau[[#This Row],[Cell_ID]],'CKadeaTelcoRegistre_Maintenance'!A:A,'CKadeaTelcoRegistre_Maintenance'!F:F,"Non repertorié")</f>
        <v>Non repertorié</v>
      </c>
    </row>
    <row r="103" spans="1:9" ht="20.5" customHeight="1" x14ac:dyDescent="0.35">
      <c r="A103" s="1">
        <v>45211.993055555555</v>
      </c>
      <c r="B103" s="5" t="s">
        <v>99</v>
      </c>
      <c r="C103">
        <v>29</v>
      </c>
      <c r="D103" t="s">
        <v>8</v>
      </c>
      <c r="E103" t="str">
        <f>_xlfn.XLOOKUP(CKadeaTelcoLogs_Reseau[[#This Row],[Cell_ID]],'CKadeaTelcoRegistre_Maintenance'!A:A,'CKadeaTelcoRegistre_Maintenance'!B:B,"Non repertorié")</f>
        <v>Non repertorié</v>
      </c>
      <c r="F103" t="str">
        <f>_xlfn.XLOOKUP(CKadeaTelcoLogs_Reseau[[#This Row],[Cell_ID]],'CKadeaTelcoRegistre_Maintenance'!A:A,'CKadeaTelcoRegistre_Maintenance'!C:C,"Non repertorié")</f>
        <v>Non repertorié</v>
      </c>
      <c r="G103" t="str">
        <f>_xlfn.XLOOKUP(CKadeaTelcoLogs_Reseau[[#This Row],[Cell_ID]],'CKadeaTelcoRegistre_Maintenance'!A:A,'CKadeaTelcoRegistre_Maintenance'!D:D,"Non repertorié")</f>
        <v>Non repertorié</v>
      </c>
      <c r="H103" t="str">
        <f>_xlfn.XLOOKUP(CKadeaTelcoLogs_Reseau[[#This Row],[Cell_ID]],'CKadeaTelcoRegistre_Maintenance'!A:A,'CKadeaTelcoRegistre_Maintenance'!E:E,"Non repertorié")</f>
        <v>Non repertorié</v>
      </c>
      <c r="I103" t="str">
        <f>_xlfn.XLOOKUP(CKadeaTelcoLogs_Reseau[[#This Row],[Cell_ID]],'CKadeaTelcoRegistre_Maintenance'!A:A,'CKadeaTelcoRegistre_Maintenance'!F:F,"Non repertorié")</f>
        <v>Non repertorié</v>
      </c>
    </row>
    <row r="104" spans="1:9" ht="20.5" customHeight="1" x14ac:dyDescent="0.35">
      <c r="A104" s="1">
        <v>45210.568055555559</v>
      </c>
      <c r="B104" s="5" t="s">
        <v>100</v>
      </c>
      <c r="C104">
        <v>96</v>
      </c>
      <c r="D104" t="s">
        <v>5</v>
      </c>
      <c r="E104" t="str">
        <f>_xlfn.XLOOKUP(CKadeaTelcoLogs_Reseau[[#This Row],[Cell_ID]],'CKadeaTelcoRegistre_Maintenance'!A:A,'CKadeaTelcoRegistre_Maintenance'!B:B,"Non repertorié")</f>
        <v>Kinshasa</v>
      </c>
      <c r="F104">
        <f>_xlfn.XLOOKUP(CKadeaTelcoLogs_Reseau[[#This Row],[Cell_ID]],'CKadeaTelcoRegistre_Maintenance'!A:A,'CKadeaTelcoRegistre_Maintenance'!C:C,"Non repertorié")</f>
        <v>-5.4126279999999998</v>
      </c>
      <c r="G104">
        <f>_xlfn.XLOOKUP(CKadeaTelcoLogs_Reseau[[#This Row],[Cell_ID]],'CKadeaTelcoRegistre_Maintenance'!A:A,'CKadeaTelcoRegistre_Maintenance'!D:D,"Non repertorié")</f>
        <v>25.498235999999999</v>
      </c>
      <c r="H104" t="str">
        <f>_xlfn.XLOOKUP(CKadeaTelcoLogs_Reseau[[#This Row],[Cell_ID]],'CKadeaTelcoRegistre_Maintenance'!A:A,'CKadeaTelcoRegistre_Maintenance'!E:E,"Non repertorié")</f>
        <v>5G</v>
      </c>
      <c r="I104" t="str">
        <f>_xlfn.XLOOKUP(CKadeaTelcoLogs_Reseau[[#This Row],[Cell_ID]],'CKadeaTelcoRegistre_Maintenance'!A:A,'CKadeaTelcoRegistre_Maintenance'!F:F,"Non repertorié")</f>
        <v>ZTE</v>
      </c>
    </row>
    <row r="105" spans="1:9" ht="20.5" customHeight="1" x14ac:dyDescent="0.35">
      <c r="A105" s="1">
        <v>45216.14166666667</v>
      </c>
      <c r="B105" s="5" t="s">
        <v>101</v>
      </c>
      <c r="C105">
        <v>94</v>
      </c>
      <c r="D105" t="s">
        <v>5</v>
      </c>
      <c r="E105" t="str">
        <f>_xlfn.XLOOKUP(CKadeaTelcoLogs_Reseau[[#This Row],[Cell_ID]],'CKadeaTelcoRegistre_Maintenance'!A:A,'CKadeaTelcoRegistre_Maintenance'!B:B,"Non repertorié")</f>
        <v>Nord-Kivu</v>
      </c>
      <c r="F105">
        <f>_xlfn.XLOOKUP(CKadeaTelcoLogs_Reseau[[#This Row],[Cell_ID]],'CKadeaTelcoRegistre_Maintenance'!A:A,'CKadeaTelcoRegistre_Maintenance'!C:C,"Non repertorié")</f>
        <v>1.8103860000000001</v>
      </c>
      <c r="G105">
        <f>_xlfn.XLOOKUP(CKadeaTelcoLogs_Reseau[[#This Row],[Cell_ID]],'CKadeaTelcoRegistre_Maintenance'!A:A,'CKadeaTelcoRegistre_Maintenance'!D:D,"Non repertorié")</f>
        <v>15.175582</v>
      </c>
      <c r="H105" t="str">
        <f>_xlfn.XLOOKUP(CKadeaTelcoLogs_Reseau[[#This Row],[Cell_ID]],'CKadeaTelcoRegistre_Maintenance'!A:A,'CKadeaTelcoRegistre_Maintenance'!E:E,"Non repertorié")</f>
        <v>3G</v>
      </c>
      <c r="I105" t="str">
        <f>_xlfn.XLOOKUP(CKadeaTelcoLogs_Reseau[[#This Row],[Cell_ID]],'CKadeaTelcoRegistre_Maintenance'!A:A,'CKadeaTelcoRegistre_Maintenance'!F:F,"Non repertorié")</f>
        <v>Huawei</v>
      </c>
    </row>
    <row r="106" spans="1:9" ht="20.5" customHeight="1" x14ac:dyDescent="0.35">
      <c r="A106" s="1">
        <v>45228.758333333331</v>
      </c>
      <c r="B106" s="5" t="s">
        <v>102</v>
      </c>
      <c r="C106">
        <v>54</v>
      </c>
      <c r="D106" t="s">
        <v>5</v>
      </c>
      <c r="E106" t="str">
        <f>_xlfn.XLOOKUP(CKadeaTelcoLogs_Reseau[[#This Row],[Cell_ID]],'CKadeaTelcoRegistre_Maintenance'!A:A,'CKadeaTelcoRegistre_Maintenance'!B:B,"Non repertorié")</f>
        <v>Non repertorié</v>
      </c>
      <c r="F106" t="str">
        <f>_xlfn.XLOOKUP(CKadeaTelcoLogs_Reseau[[#This Row],[Cell_ID]],'CKadeaTelcoRegistre_Maintenance'!A:A,'CKadeaTelcoRegistre_Maintenance'!C:C,"Non repertorié")</f>
        <v>Non repertorié</v>
      </c>
      <c r="G106" t="str">
        <f>_xlfn.XLOOKUP(CKadeaTelcoLogs_Reseau[[#This Row],[Cell_ID]],'CKadeaTelcoRegistre_Maintenance'!A:A,'CKadeaTelcoRegistre_Maintenance'!D:D,"Non repertorié")</f>
        <v>Non repertorié</v>
      </c>
      <c r="H106" t="str">
        <f>_xlfn.XLOOKUP(CKadeaTelcoLogs_Reseau[[#This Row],[Cell_ID]],'CKadeaTelcoRegistre_Maintenance'!A:A,'CKadeaTelcoRegistre_Maintenance'!E:E,"Non repertorié")</f>
        <v>Non repertorié</v>
      </c>
      <c r="I106" t="str">
        <f>_xlfn.XLOOKUP(CKadeaTelcoLogs_Reseau[[#This Row],[Cell_ID]],'CKadeaTelcoRegistre_Maintenance'!A:A,'CKadeaTelcoRegistre_Maintenance'!F:F,"Non repertorié")</f>
        <v>Non repertorié</v>
      </c>
    </row>
    <row r="107" spans="1:9" ht="20.5" customHeight="1" x14ac:dyDescent="0.35">
      <c r="A107" s="1">
        <v>45208.072916666664</v>
      </c>
      <c r="B107" s="5" t="s">
        <v>103</v>
      </c>
      <c r="C107">
        <v>68</v>
      </c>
      <c r="D107" t="s">
        <v>5</v>
      </c>
      <c r="E107" t="str">
        <f>_xlfn.XLOOKUP(CKadeaTelcoLogs_Reseau[[#This Row],[Cell_ID]],'CKadeaTelcoRegistre_Maintenance'!A:A,'CKadeaTelcoRegistre_Maintenance'!B:B,"Non repertorié")</f>
        <v>Nord-Kivu</v>
      </c>
      <c r="F107">
        <f>_xlfn.XLOOKUP(CKadeaTelcoLogs_Reseau[[#This Row],[Cell_ID]],'CKadeaTelcoRegistre_Maintenance'!A:A,'CKadeaTelcoRegistre_Maintenance'!C:C,"Non repertorié")</f>
        <v>1.017161</v>
      </c>
      <c r="G107">
        <f>_xlfn.XLOOKUP(CKadeaTelcoLogs_Reseau[[#This Row],[Cell_ID]],'CKadeaTelcoRegistre_Maintenance'!A:A,'CKadeaTelcoRegistre_Maintenance'!D:D,"Non repertorié")</f>
        <v>16.519689</v>
      </c>
      <c r="H107" t="str">
        <f>_xlfn.XLOOKUP(CKadeaTelcoLogs_Reseau[[#This Row],[Cell_ID]],'CKadeaTelcoRegistre_Maintenance'!A:A,'CKadeaTelcoRegistre_Maintenance'!E:E,"Non repertorié")</f>
        <v>3G</v>
      </c>
      <c r="I107" t="str">
        <f>_xlfn.XLOOKUP(CKadeaTelcoLogs_Reseau[[#This Row],[Cell_ID]],'CKadeaTelcoRegistre_Maintenance'!A:A,'CKadeaTelcoRegistre_Maintenance'!F:F,"Non repertorié")</f>
        <v>Nokia</v>
      </c>
    </row>
    <row r="108" spans="1:9" ht="20.5" customHeight="1" x14ac:dyDescent="0.35">
      <c r="A108" s="1">
        <v>45213.022916666669</v>
      </c>
      <c r="B108" s="5" t="s">
        <v>12</v>
      </c>
      <c r="C108">
        <v>56</v>
      </c>
      <c r="D108" t="s">
        <v>10</v>
      </c>
      <c r="E108" t="str">
        <f>_xlfn.XLOOKUP(CKadeaTelcoLogs_Reseau[[#This Row],[Cell_ID]],'CKadeaTelcoRegistre_Maintenance'!A:A,'CKadeaTelcoRegistre_Maintenance'!B:B,"Non repertorié")</f>
        <v>Kongo-Central</v>
      </c>
      <c r="F108">
        <f>_xlfn.XLOOKUP(CKadeaTelcoLogs_Reseau[[#This Row],[Cell_ID]],'CKadeaTelcoRegistre_Maintenance'!A:A,'CKadeaTelcoRegistre_Maintenance'!C:C,"Non repertorié")</f>
        <v>-2.8211520000000001</v>
      </c>
      <c r="G108">
        <f>_xlfn.XLOOKUP(CKadeaTelcoLogs_Reseau[[#This Row],[Cell_ID]],'CKadeaTelcoRegistre_Maintenance'!A:A,'CKadeaTelcoRegistre_Maintenance'!D:D,"Non repertorié")</f>
        <v>20.651419000000001</v>
      </c>
      <c r="H108" t="str">
        <f>_xlfn.XLOOKUP(CKadeaTelcoLogs_Reseau[[#This Row],[Cell_ID]],'CKadeaTelcoRegistre_Maintenance'!A:A,'CKadeaTelcoRegistre_Maintenance'!E:E,"Non repertorié")</f>
        <v>5G</v>
      </c>
      <c r="I108" t="str">
        <f>_xlfn.XLOOKUP(CKadeaTelcoLogs_Reseau[[#This Row],[Cell_ID]],'CKadeaTelcoRegistre_Maintenance'!A:A,'CKadeaTelcoRegistre_Maintenance'!F:F,"Non repertorié")</f>
        <v>Ericsson</v>
      </c>
    </row>
    <row r="109" spans="1:9" ht="20.5" customHeight="1" x14ac:dyDescent="0.35">
      <c r="A109" s="1">
        <v>45229.738194444442</v>
      </c>
      <c r="B109" s="5" t="s">
        <v>104</v>
      </c>
      <c r="C109">
        <v>36</v>
      </c>
      <c r="D109" t="s">
        <v>8</v>
      </c>
      <c r="E109" t="str">
        <f>_xlfn.XLOOKUP(CKadeaTelcoLogs_Reseau[[#This Row],[Cell_ID]],'CKadeaTelcoRegistre_Maintenance'!A:A,'CKadeaTelcoRegistre_Maintenance'!B:B,"Non repertorié")</f>
        <v>Lomami</v>
      </c>
      <c r="F109">
        <f>_xlfn.XLOOKUP(CKadeaTelcoLogs_Reseau[[#This Row],[Cell_ID]],'CKadeaTelcoRegistre_Maintenance'!A:A,'CKadeaTelcoRegistre_Maintenance'!C:C,"Non repertorié")</f>
        <v>-11.218453999999999</v>
      </c>
      <c r="G109">
        <f>_xlfn.XLOOKUP(CKadeaTelcoLogs_Reseau[[#This Row],[Cell_ID]],'CKadeaTelcoRegistre_Maintenance'!A:A,'CKadeaTelcoRegistre_Maintenance'!D:D,"Non repertorié")</f>
        <v>28.230025000000001</v>
      </c>
      <c r="H109" t="str">
        <f>_xlfn.XLOOKUP(CKadeaTelcoLogs_Reseau[[#This Row],[Cell_ID]],'CKadeaTelcoRegistre_Maintenance'!A:A,'CKadeaTelcoRegistre_Maintenance'!E:E,"Non repertorié")</f>
        <v>5G</v>
      </c>
      <c r="I109" t="str">
        <f>_xlfn.XLOOKUP(CKadeaTelcoLogs_Reseau[[#This Row],[Cell_ID]],'CKadeaTelcoRegistre_Maintenance'!A:A,'CKadeaTelcoRegistre_Maintenance'!F:F,"Non repertorié")</f>
        <v>ZTE</v>
      </c>
    </row>
    <row r="110" spans="1:9" ht="20.5" customHeight="1" x14ac:dyDescent="0.35">
      <c r="A110" s="1">
        <v>45223.990972222222</v>
      </c>
      <c r="B110" s="5" t="s">
        <v>105</v>
      </c>
      <c r="C110">
        <v>23</v>
      </c>
      <c r="D110" t="s">
        <v>5</v>
      </c>
      <c r="E110" t="str">
        <f>_xlfn.XLOOKUP(CKadeaTelcoLogs_Reseau[[#This Row],[Cell_ID]],'CKadeaTelcoRegistre_Maintenance'!A:A,'CKadeaTelcoRegistre_Maintenance'!B:B,"Non repertorié")</f>
        <v>Sankuru</v>
      </c>
      <c r="F110">
        <f>_xlfn.XLOOKUP(CKadeaTelcoLogs_Reseau[[#This Row],[Cell_ID]],'CKadeaTelcoRegistre_Maintenance'!A:A,'CKadeaTelcoRegistre_Maintenance'!C:C,"Non repertorié")</f>
        <v>-8.0922239999999999</v>
      </c>
      <c r="G110">
        <f>_xlfn.XLOOKUP(CKadeaTelcoLogs_Reseau[[#This Row],[Cell_ID]],'CKadeaTelcoRegistre_Maintenance'!A:A,'CKadeaTelcoRegistre_Maintenance'!D:D,"Non repertorié")</f>
        <v>15.483708</v>
      </c>
      <c r="H110" t="str">
        <f>_xlfn.XLOOKUP(CKadeaTelcoLogs_Reseau[[#This Row],[Cell_ID]],'CKadeaTelcoRegistre_Maintenance'!A:A,'CKadeaTelcoRegistre_Maintenance'!E:E,"Non repertorié")</f>
        <v>5G</v>
      </c>
      <c r="I110" t="str">
        <f>_xlfn.XLOOKUP(CKadeaTelcoLogs_Reseau[[#This Row],[Cell_ID]],'CKadeaTelcoRegistre_Maintenance'!A:A,'CKadeaTelcoRegistre_Maintenance'!F:F,"Non repertorié")</f>
        <v>Nokia</v>
      </c>
    </row>
    <row r="111" spans="1:9" ht="20.5" customHeight="1" x14ac:dyDescent="0.35">
      <c r="A111" s="1">
        <v>45221.265972222223</v>
      </c>
      <c r="B111" s="5" t="s">
        <v>106</v>
      </c>
      <c r="C111">
        <v>88</v>
      </c>
      <c r="D111" t="s">
        <v>8</v>
      </c>
      <c r="E111" t="str">
        <f>_xlfn.XLOOKUP(CKadeaTelcoLogs_Reseau[[#This Row],[Cell_ID]],'CKadeaTelcoRegistre_Maintenance'!A:A,'CKadeaTelcoRegistre_Maintenance'!B:B,"Non repertorié")</f>
        <v>Kinshasa</v>
      </c>
      <c r="F111">
        <f>_xlfn.XLOOKUP(CKadeaTelcoLogs_Reseau[[#This Row],[Cell_ID]],'CKadeaTelcoRegistre_Maintenance'!A:A,'CKadeaTelcoRegistre_Maintenance'!C:C,"Non repertorié")</f>
        <v>-1.339734</v>
      </c>
      <c r="G111">
        <f>_xlfn.XLOOKUP(CKadeaTelcoLogs_Reseau[[#This Row],[Cell_ID]],'CKadeaTelcoRegistre_Maintenance'!A:A,'CKadeaTelcoRegistre_Maintenance'!D:D,"Non repertorié")</f>
        <v>15.243098</v>
      </c>
      <c r="H111" t="str">
        <f>_xlfn.XLOOKUP(CKadeaTelcoLogs_Reseau[[#This Row],[Cell_ID]],'CKadeaTelcoRegistre_Maintenance'!A:A,'CKadeaTelcoRegistre_Maintenance'!E:E,"Non repertorié")</f>
        <v>3G</v>
      </c>
      <c r="I111" t="str">
        <f>_xlfn.XLOOKUP(CKadeaTelcoLogs_Reseau[[#This Row],[Cell_ID]],'CKadeaTelcoRegistre_Maintenance'!A:A,'CKadeaTelcoRegistre_Maintenance'!F:F,"Non repertorié")</f>
        <v>Nokia</v>
      </c>
    </row>
    <row r="112" spans="1:9" ht="20.5" customHeight="1" x14ac:dyDescent="0.35">
      <c r="A112" s="1">
        <v>45213.112500000003</v>
      </c>
      <c r="B112" s="5" t="s">
        <v>107</v>
      </c>
      <c r="C112">
        <v>93</v>
      </c>
      <c r="D112" t="s">
        <v>5</v>
      </c>
      <c r="E112" t="str">
        <f>_xlfn.XLOOKUP(CKadeaTelcoLogs_Reseau[[#This Row],[Cell_ID]],'CKadeaTelcoRegistre_Maintenance'!A:A,'CKadeaTelcoRegistre_Maintenance'!B:B,"Non repertorié")</f>
        <v>Non repertorié</v>
      </c>
      <c r="F112" t="str">
        <f>_xlfn.XLOOKUP(CKadeaTelcoLogs_Reseau[[#This Row],[Cell_ID]],'CKadeaTelcoRegistre_Maintenance'!A:A,'CKadeaTelcoRegistre_Maintenance'!C:C,"Non repertorié")</f>
        <v>Non repertorié</v>
      </c>
      <c r="G112" t="str">
        <f>_xlfn.XLOOKUP(CKadeaTelcoLogs_Reseau[[#This Row],[Cell_ID]],'CKadeaTelcoRegistre_Maintenance'!A:A,'CKadeaTelcoRegistre_Maintenance'!D:D,"Non repertorié")</f>
        <v>Non repertorié</v>
      </c>
      <c r="H112" t="str">
        <f>_xlfn.XLOOKUP(CKadeaTelcoLogs_Reseau[[#This Row],[Cell_ID]],'CKadeaTelcoRegistre_Maintenance'!A:A,'CKadeaTelcoRegistre_Maintenance'!E:E,"Non repertorié")</f>
        <v>Non repertorié</v>
      </c>
      <c r="I112" t="str">
        <f>_xlfn.XLOOKUP(CKadeaTelcoLogs_Reseau[[#This Row],[Cell_ID]],'CKadeaTelcoRegistre_Maintenance'!A:A,'CKadeaTelcoRegistre_Maintenance'!F:F,"Non repertorié")</f>
        <v>Non repertorié</v>
      </c>
    </row>
    <row r="113" spans="1:9" ht="20.5" customHeight="1" x14ac:dyDescent="0.35">
      <c r="A113" s="1">
        <v>45229.443749999999</v>
      </c>
      <c r="B113" s="5" t="s">
        <v>108</v>
      </c>
      <c r="C113">
        <v>5</v>
      </c>
      <c r="D113" t="s">
        <v>5</v>
      </c>
      <c r="E113" t="str">
        <f>_xlfn.XLOOKUP(CKadeaTelcoLogs_Reseau[[#This Row],[Cell_ID]],'CKadeaTelcoRegistre_Maintenance'!A:A,'CKadeaTelcoRegistre_Maintenance'!B:B,"Non repertorié")</f>
        <v>Kasai-Central</v>
      </c>
      <c r="F113">
        <f>_xlfn.XLOOKUP(CKadeaTelcoLogs_Reseau[[#This Row],[Cell_ID]],'CKadeaTelcoRegistre_Maintenance'!A:A,'CKadeaTelcoRegistre_Maintenance'!C:C,"Non repertorié")</f>
        <v>-6.6803710000000001</v>
      </c>
      <c r="G113">
        <f>_xlfn.XLOOKUP(CKadeaTelcoLogs_Reseau[[#This Row],[Cell_ID]],'CKadeaTelcoRegistre_Maintenance'!A:A,'CKadeaTelcoRegistre_Maintenance'!D:D,"Non repertorié")</f>
        <v>21.955673000000001</v>
      </c>
      <c r="H113" t="str">
        <f>_xlfn.XLOOKUP(CKadeaTelcoLogs_Reseau[[#This Row],[Cell_ID]],'CKadeaTelcoRegistre_Maintenance'!A:A,'CKadeaTelcoRegistre_Maintenance'!E:E,"Non repertorié")</f>
        <v>4G</v>
      </c>
      <c r="I113" t="str">
        <f>_xlfn.XLOOKUP(CKadeaTelcoLogs_Reseau[[#This Row],[Cell_ID]],'CKadeaTelcoRegistre_Maintenance'!A:A,'CKadeaTelcoRegistre_Maintenance'!F:F,"Non repertorié")</f>
        <v>Nokia</v>
      </c>
    </row>
    <row r="114" spans="1:9" ht="20.5" customHeight="1" x14ac:dyDescent="0.35">
      <c r="A114" s="1">
        <v>45210.912499999999</v>
      </c>
      <c r="B114" s="5" t="s">
        <v>109</v>
      </c>
      <c r="C114">
        <v>119</v>
      </c>
      <c r="D114" t="s">
        <v>10</v>
      </c>
      <c r="E114" t="str">
        <f>_xlfn.XLOOKUP(CKadeaTelcoLogs_Reseau[[#This Row],[Cell_ID]],'CKadeaTelcoRegistre_Maintenance'!A:A,'CKadeaTelcoRegistre_Maintenance'!B:B,"Non repertorié")</f>
        <v>Non repertorié</v>
      </c>
      <c r="F114" t="str">
        <f>_xlfn.XLOOKUP(CKadeaTelcoLogs_Reseau[[#This Row],[Cell_ID]],'CKadeaTelcoRegistre_Maintenance'!A:A,'CKadeaTelcoRegistre_Maintenance'!C:C,"Non repertorié")</f>
        <v>Non repertorié</v>
      </c>
      <c r="G114" t="str">
        <f>_xlfn.XLOOKUP(CKadeaTelcoLogs_Reseau[[#This Row],[Cell_ID]],'CKadeaTelcoRegistre_Maintenance'!A:A,'CKadeaTelcoRegistre_Maintenance'!D:D,"Non repertorié")</f>
        <v>Non repertorié</v>
      </c>
      <c r="H114" t="str">
        <f>_xlfn.XLOOKUP(CKadeaTelcoLogs_Reseau[[#This Row],[Cell_ID]],'CKadeaTelcoRegistre_Maintenance'!A:A,'CKadeaTelcoRegistre_Maintenance'!E:E,"Non repertorié")</f>
        <v>Non repertorié</v>
      </c>
      <c r="I114" t="str">
        <f>_xlfn.XLOOKUP(CKadeaTelcoLogs_Reseau[[#This Row],[Cell_ID]],'CKadeaTelcoRegistre_Maintenance'!A:A,'CKadeaTelcoRegistre_Maintenance'!F:F,"Non repertorié")</f>
        <v>Non repertorié</v>
      </c>
    </row>
    <row r="115" spans="1:9" ht="20.5" customHeight="1" x14ac:dyDescent="0.35">
      <c r="A115" s="1">
        <v>45203.997916666667</v>
      </c>
      <c r="B115" s="5" t="s">
        <v>110</v>
      </c>
      <c r="C115">
        <v>101</v>
      </c>
      <c r="D115" t="s">
        <v>10</v>
      </c>
      <c r="E115" t="str">
        <f>_xlfn.XLOOKUP(CKadeaTelcoLogs_Reseau[[#This Row],[Cell_ID]],'CKadeaTelcoRegistre_Maintenance'!A:A,'CKadeaTelcoRegistre_Maintenance'!B:B,"Non repertorié")</f>
        <v>Nord-Kivu</v>
      </c>
      <c r="F115">
        <f>_xlfn.XLOOKUP(CKadeaTelcoLogs_Reseau[[#This Row],[Cell_ID]],'CKadeaTelcoRegistre_Maintenance'!A:A,'CKadeaTelcoRegistre_Maintenance'!C:C,"Non repertorié")</f>
        <v>-6.3148239999999998</v>
      </c>
      <c r="G115">
        <f>_xlfn.XLOOKUP(CKadeaTelcoLogs_Reseau[[#This Row],[Cell_ID]],'CKadeaTelcoRegistre_Maintenance'!A:A,'CKadeaTelcoRegistre_Maintenance'!D:D,"Non repertorié")</f>
        <v>24.507498999999999</v>
      </c>
      <c r="H115" t="str">
        <f>_xlfn.XLOOKUP(CKadeaTelcoLogs_Reseau[[#This Row],[Cell_ID]],'CKadeaTelcoRegistre_Maintenance'!A:A,'CKadeaTelcoRegistre_Maintenance'!E:E,"Non repertorié")</f>
        <v>3G</v>
      </c>
      <c r="I115" t="str">
        <f>_xlfn.XLOOKUP(CKadeaTelcoLogs_Reseau[[#This Row],[Cell_ID]],'CKadeaTelcoRegistre_Maintenance'!A:A,'CKadeaTelcoRegistre_Maintenance'!F:F,"Non repertorié")</f>
        <v>ZTE</v>
      </c>
    </row>
    <row r="116" spans="1:9" ht="20.5" customHeight="1" x14ac:dyDescent="0.35">
      <c r="A116" s="1">
        <v>45209.679861111108</v>
      </c>
      <c r="B116" s="5" t="s">
        <v>111</v>
      </c>
      <c r="C116">
        <v>115</v>
      </c>
      <c r="D116" t="s">
        <v>10</v>
      </c>
      <c r="E116" t="str">
        <f>_xlfn.XLOOKUP(CKadeaTelcoLogs_Reseau[[#This Row],[Cell_ID]],'CKadeaTelcoRegistre_Maintenance'!A:A,'CKadeaTelcoRegistre_Maintenance'!B:B,"Non repertorié")</f>
        <v>Non repertorié</v>
      </c>
      <c r="F116" t="str">
        <f>_xlfn.XLOOKUP(CKadeaTelcoLogs_Reseau[[#This Row],[Cell_ID]],'CKadeaTelcoRegistre_Maintenance'!A:A,'CKadeaTelcoRegistre_Maintenance'!C:C,"Non repertorié")</f>
        <v>Non repertorié</v>
      </c>
      <c r="G116" t="str">
        <f>_xlfn.XLOOKUP(CKadeaTelcoLogs_Reseau[[#This Row],[Cell_ID]],'CKadeaTelcoRegistre_Maintenance'!A:A,'CKadeaTelcoRegistre_Maintenance'!D:D,"Non repertorié")</f>
        <v>Non repertorié</v>
      </c>
      <c r="H116" t="str">
        <f>_xlfn.XLOOKUP(CKadeaTelcoLogs_Reseau[[#This Row],[Cell_ID]],'CKadeaTelcoRegistre_Maintenance'!A:A,'CKadeaTelcoRegistre_Maintenance'!E:E,"Non repertorié")</f>
        <v>Non repertorié</v>
      </c>
      <c r="I116" t="str">
        <f>_xlfn.XLOOKUP(CKadeaTelcoLogs_Reseau[[#This Row],[Cell_ID]],'CKadeaTelcoRegistre_Maintenance'!A:A,'CKadeaTelcoRegistre_Maintenance'!F:F,"Non repertorié")</f>
        <v>Non repertorié</v>
      </c>
    </row>
    <row r="117" spans="1:9" ht="20.5" customHeight="1" x14ac:dyDescent="0.35">
      <c r="A117" s="1">
        <v>45221.555555555555</v>
      </c>
      <c r="B117" s="5" t="s">
        <v>112</v>
      </c>
      <c r="C117">
        <v>103</v>
      </c>
      <c r="D117" t="s">
        <v>8</v>
      </c>
      <c r="E117" t="str">
        <f>_xlfn.XLOOKUP(CKadeaTelcoLogs_Reseau[[#This Row],[Cell_ID]],'CKadeaTelcoRegistre_Maintenance'!A:A,'CKadeaTelcoRegistre_Maintenance'!B:B,"Non repertorié")</f>
        <v>Non repertorié</v>
      </c>
      <c r="F117" t="str">
        <f>_xlfn.XLOOKUP(CKadeaTelcoLogs_Reseau[[#This Row],[Cell_ID]],'CKadeaTelcoRegistre_Maintenance'!A:A,'CKadeaTelcoRegistre_Maintenance'!C:C,"Non repertorié")</f>
        <v>Non repertorié</v>
      </c>
      <c r="G117" t="str">
        <f>_xlfn.XLOOKUP(CKadeaTelcoLogs_Reseau[[#This Row],[Cell_ID]],'CKadeaTelcoRegistre_Maintenance'!A:A,'CKadeaTelcoRegistre_Maintenance'!D:D,"Non repertorié")</f>
        <v>Non repertorié</v>
      </c>
      <c r="H117" t="str">
        <f>_xlfn.XLOOKUP(CKadeaTelcoLogs_Reseau[[#This Row],[Cell_ID]],'CKadeaTelcoRegistre_Maintenance'!A:A,'CKadeaTelcoRegistre_Maintenance'!E:E,"Non repertorié")</f>
        <v>Non repertorié</v>
      </c>
      <c r="I117" t="str">
        <f>_xlfn.XLOOKUP(CKadeaTelcoLogs_Reseau[[#This Row],[Cell_ID]],'CKadeaTelcoRegistre_Maintenance'!A:A,'CKadeaTelcoRegistre_Maintenance'!F:F,"Non repertorié")</f>
        <v>Non repertorié</v>
      </c>
    </row>
    <row r="118" spans="1:9" ht="20.5" customHeight="1" x14ac:dyDescent="0.35">
      <c r="A118" s="1">
        <v>45212.929166666669</v>
      </c>
      <c r="B118" s="5" t="s">
        <v>113</v>
      </c>
      <c r="C118">
        <v>118</v>
      </c>
      <c r="D118" t="s">
        <v>10</v>
      </c>
      <c r="E118" t="str">
        <f>_xlfn.XLOOKUP(CKadeaTelcoLogs_Reseau[[#This Row],[Cell_ID]],'CKadeaTelcoRegistre_Maintenance'!A:A,'CKadeaTelcoRegistre_Maintenance'!B:B,"Non repertorié")</f>
        <v>Non repertorié</v>
      </c>
      <c r="F118" t="str">
        <f>_xlfn.XLOOKUP(CKadeaTelcoLogs_Reseau[[#This Row],[Cell_ID]],'CKadeaTelcoRegistre_Maintenance'!A:A,'CKadeaTelcoRegistre_Maintenance'!C:C,"Non repertorié")</f>
        <v>Non repertorié</v>
      </c>
      <c r="G118" t="str">
        <f>_xlfn.XLOOKUP(CKadeaTelcoLogs_Reseau[[#This Row],[Cell_ID]],'CKadeaTelcoRegistre_Maintenance'!A:A,'CKadeaTelcoRegistre_Maintenance'!D:D,"Non repertorié")</f>
        <v>Non repertorié</v>
      </c>
      <c r="H118" t="str">
        <f>_xlfn.XLOOKUP(CKadeaTelcoLogs_Reseau[[#This Row],[Cell_ID]],'CKadeaTelcoRegistre_Maintenance'!A:A,'CKadeaTelcoRegistre_Maintenance'!E:E,"Non repertorié")</f>
        <v>Non repertorié</v>
      </c>
      <c r="I118" t="str">
        <f>_xlfn.XLOOKUP(CKadeaTelcoLogs_Reseau[[#This Row],[Cell_ID]],'CKadeaTelcoRegistre_Maintenance'!A:A,'CKadeaTelcoRegistre_Maintenance'!F:F,"Non repertorié")</f>
        <v>Non repertorié</v>
      </c>
    </row>
    <row r="119" spans="1:9" ht="20.5" customHeight="1" x14ac:dyDescent="0.35">
      <c r="A119" s="1">
        <v>45217.175000000003</v>
      </c>
      <c r="B119" s="5" t="s">
        <v>114</v>
      </c>
      <c r="C119">
        <v>18</v>
      </c>
      <c r="D119" t="s">
        <v>10</v>
      </c>
      <c r="E119" t="str">
        <f>_xlfn.XLOOKUP(CKadeaTelcoLogs_Reseau[[#This Row],[Cell_ID]],'CKadeaTelcoRegistre_Maintenance'!A:A,'CKadeaTelcoRegistre_Maintenance'!B:B,"Non repertorié")</f>
        <v>Sud-Kivu</v>
      </c>
      <c r="F119">
        <f>_xlfn.XLOOKUP(CKadeaTelcoLogs_Reseau[[#This Row],[Cell_ID]],'CKadeaTelcoRegistre_Maintenance'!A:A,'CKadeaTelcoRegistre_Maintenance'!C:C,"Non repertorié")</f>
        <v>-9.4702129999999993</v>
      </c>
      <c r="G119">
        <f>_xlfn.XLOOKUP(CKadeaTelcoLogs_Reseau[[#This Row],[Cell_ID]],'CKadeaTelcoRegistre_Maintenance'!A:A,'CKadeaTelcoRegistre_Maintenance'!D:D,"Non repertorié")</f>
        <v>12.826158</v>
      </c>
      <c r="H119" t="str">
        <f>_xlfn.XLOOKUP(CKadeaTelcoLogs_Reseau[[#This Row],[Cell_ID]],'CKadeaTelcoRegistre_Maintenance'!A:A,'CKadeaTelcoRegistre_Maintenance'!E:E,"Non repertorié")</f>
        <v>3G</v>
      </c>
      <c r="I119" t="str">
        <f>_xlfn.XLOOKUP(CKadeaTelcoLogs_Reseau[[#This Row],[Cell_ID]],'CKadeaTelcoRegistre_Maintenance'!A:A,'CKadeaTelcoRegistre_Maintenance'!F:F,"Non repertorié")</f>
        <v>Ericsson</v>
      </c>
    </row>
    <row r="120" spans="1:9" ht="20.5" customHeight="1" x14ac:dyDescent="0.35">
      <c r="A120" s="1">
        <v>45213.89166666667</v>
      </c>
      <c r="B120" s="5" t="s">
        <v>115</v>
      </c>
      <c r="C120">
        <v>104</v>
      </c>
      <c r="D120" t="s">
        <v>5</v>
      </c>
      <c r="E120" t="str">
        <f>_xlfn.XLOOKUP(CKadeaTelcoLogs_Reseau[[#This Row],[Cell_ID]],'CKadeaTelcoRegistre_Maintenance'!A:A,'CKadeaTelcoRegistre_Maintenance'!B:B,"Non repertorié")</f>
        <v>Non repertorié</v>
      </c>
      <c r="F120" t="str">
        <f>_xlfn.XLOOKUP(CKadeaTelcoLogs_Reseau[[#This Row],[Cell_ID]],'CKadeaTelcoRegistre_Maintenance'!A:A,'CKadeaTelcoRegistre_Maintenance'!C:C,"Non repertorié")</f>
        <v>Non repertorié</v>
      </c>
      <c r="G120" t="str">
        <f>_xlfn.XLOOKUP(CKadeaTelcoLogs_Reseau[[#This Row],[Cell_ID]],'CKadeaTelcoRegistre_Maintenance'!A:A,'CKadeaTelcoRegistre_Maintenance'!D:D,"Non repertorié")</f>
        <v>Non repertorié</v>
      </c>
      <c r="H120" t="str">
        <f>_xlfn.XLOOKUP(CKadeaTelcoLogs_Reseau[[#This Row],[Cell_ID]],'CKadeaTelcoRegistre_Maintenance'!A:A,'CKadeaTelcoRegistre_Maintenance'!E:E,"Non repertorié")</f>
        <v>Non repertorié</v>
      </c>
      <c r="I120" t="str">
        <f>_xlfn.XLOOKUP(CKadeaTelcoLogs_Reseau[[#This Row],[Cell_ID]],'CKadeaTelcoRegistre_Maintenance'!A:A,'CKadeaTelcoRegistre_Maintenance'!F:F,"Non repertorié")</f>
        <v>Non repertorié</v>
      </c>
    </row>
    <row r="121" spans="1:9" ht="20.5" customHeight="1" x14ac:dyDescent="0.35">
      <c r="A121" s="1">
        <v>45221.997916666667</v>
      </c>
      <c r="B121" s="5" t="s">
        <v>116</v>
      </c>
      <c r="C121">
        <v>59</v>
      </c>
      <c r="D121" t="s">
        <v>5</v>
      </c>
      <c r="E121" t="str">
        <f>_xlfn.XLOOKUP(CKadeaTelcoLogs_Reseau[[#This Row],[Cell_ID]],'CKadeaTelcoRegistre_Maintenance'!A:A,'CKadeaTelcoRegistre_Maintenance'!B:B,"Non repertorié")</f>
        <v>Non repertorié</v>
      </c>
      <c r="F121" t="str">
        <f>_xlfn.XLOOKUP(CKadeaTelcoLogs_Reseau[[#This Row],[Cell_ID]],'CKadeaTelcoRegistre_Maintenance'!A:A,'CKadeaTelcoRegistre_Maintenance'!C:C,"Non repertorié")</f>
        <v>Non repertorié</v>
      </c>
      <c r="G121" t="str">
        <f>_xlfn.XLOOKUP(CKadeaTelcoLogs_Reseau[[#This Row],[Cell_ID]],'CKadeaTelcoRegistre_Maintenance'!A:A,'CKadeaTelcoRegistre_Maintenance'!D:D,"Non repertorié")</f>
        <v>Non repertorié</v>
      </c>
      <c r="H121" t="str">
        <f>_xlfn.XLOOKUP(CKadeaTelcoLogs_Reseau[[#This Row],[Cell_ID]],'CKadeaTelcoRegistre_Maintenance'!A:A,'CKadeaTelcoRegistre_Maintenance'!E:E,"Non repertorié")</f>
        <v>Non repertorié</v>
      </c>
      <c r="I121" t="str">
        <f>_xlfn.XLOOKUP(CKadeaTelcoLogs_Reseau[[#This Row],[Cell_ID]],'CKadeaTelcoRegistre_Maintenance'!A:A,'CKadeaTelcoRegistre_Maintenance'!F:F,"Non repertorié")</f>
        <v>Non repertorié</v>
      </c>
    </row>
    <row r="122" spans="1:9" ht="20.5" customHeight="1" x14ac:dyDescent="0.35">
      <c r="A122" s="1">
        <v>45205.816666666666</v>
      </c>
      <c r="B122" s="5" t="s">
        <v>117</v>
      </c>
      <c r="C122">
        <v>33</v>
      </c>
      <c r="D122" t="s">
        <v>10</v>
      </c>
      <c r="E122" t="str">
        <f>_xlfn.XLOOKUP(CKadeaTelcoLogs_Reseau[[#This Row],[Cell_ID]],'CKadeaTelcoRegistre_Maintenance'!A:A,'CKadeaTelcoRegistre_Maintenance'!B:B,"Non repertorié")</f>
        <v>Non repertorié</v>
      </c>
      <c r="F122" t="str">
        <f>_xlfn.XLOOKUP(CKadeaTelcoLogs_Reseau[[#This Row],[Cell_ID]],'CKadeaTelcoRegistre_Maintenance'!A:A,'CKadeaTelcoRegistre_Maintenance'!C:C,"Non repertorié")</f>
        <v>Non repertorié</v>
      </c>
      <c r="G122" t="str">
        <f>_xlfn.XLOOKUP(CKadeaTelcoLogs_Reseau[[#This Row],[Cell_ID]],'CKadeaTelcoRegistre_Maintenance'!A:A,'CKadeaTelcoRegistre_Maintenance'!D:D,"Non repertorié")</f>
        <v>Non repertorié</v>
      </c>
      <c r="H122" t="str">
        <f>_xlfn.XLOOKUP(CKadeaTelcoLogs_Reseau[[#This Row],[Cell_ID]],'CKadeaTelcoRegistre_Maintenance'!A:A,'CKadeaTelcoRegistre_Maintenance'!E:E,"Non repertorié")</f>
        <v>Non repertorié</v>
      </c>
      <c r="I122" t="str">
        <f>_xlfn.XLOOKUP(CKadeaTelcoLogs_Reseau[[#This Row],[Cell_ID]],'CKadeaTelcoRegistre_Maintenance'!A:A,'CKadeaTelcoRegistre_Maintenance'!F:F,"Non repertorié")</f>
        <v>Non repertorié</v>
      </c>
    </row>
    <row r="123" spans="1:9" ht="20.5" customHeight="1" x14ac:dyDescent="0.35">
      <c r="A123" s="1">
        <v>45209.524305555555</v>
      </c>
      <c r="B123" s="5" t="s">
        <v>118</v>
      </c>
      <c r="C123">
        <v>27</v>
      </c>
      <c r="D123" t="s">
        <v>10</v>
      </c>
      <c r="E123" t="str">
        <f>_xlfn.XLOOKUP(CKadeaTelcoLogs_Reseau[[#This Row],[Cell_ID]],'CKadeaTelcoRegistre_Maintenance'!A:A,'CKadeaTelcoRegistre_Maintenance'!B:B,"Non repertorié")</f>
        <v>Kwilu</v>
      </c>
      <c r="F123">
        <f>_xlfn.XLOOKUP(CKadeaTelcoLogs_Reseau[[#This Row],[Cell_ID]],'CKadeaTelcoRegistre_Maintenance'!A:A,'CKadeaTelcoRegistre_Maintenance'!C:C,"Non repertorié")</f>
        <v>2.4741019999999998</v>
      </c>
      <c r="G123">
        <f>_xlfn.XLOOKUP(CKadeaTelcoLogs_Reseau[[#This Row],[Cell_ID]],'CKadeaTelcoRegistre_Maintenance'!A:A,'CKadeaTelcoRegistre_Maintenance'!D:D,"Non repertorié")</f>
        <v>29.297391000000001</v>
      </c>
      <c r="H123" t="str">
        <f>_xlfn.XLOOKUP(CKadeaTelcoLogs_Reseau[[#This Row],[Cell_ID]],'CKadeaTelcoRegistre_Maintenance'!A:A,'CKadeaTelcoRegistre_Maintenance'!E:E,"Non repertorié")</f>
        <v>4G</v>
      </c>
      <c r="I123" t="str">
        <f>_xlfn.XLOOKUP(CKadeaTelcoLogs_Reseau[[#This Row],[Cell_ID]],'CKadeaTelcoRegistre_Maintenance'!A:A,'CKadeaTelcoRegistre_Maintenance'!F:F,"Non repertorié")</f>
        <v>Ericsson</v>
      </c>
    </row>
    <row r="124" spans="1:9" ht="20.5" customHeight="1" x14ac:dyDescent="0.35">
      <c r="A124" s="1">
        <v>45226.013194444444</v>
      </c>
      <c r="B124" s="5" t="s">
        <v>119</v>
      </c>
      <c r="C124">
        <v>107</v>
      </c>
      <c r="D124" t="s">
        <v>8</v>
      </c>
      <c r="E124" t="str">
        <f>_xlfn.XLOOKUP(CKadeaTelcoLogs_Reseau[[#This Row],[Cell_ID]],'CKadeaTelcoRegistre_Maintenance'!A:A,'CKadeaTelcoRegistre_Maintenance'!B:B,"Non repertorié")</f>
        <v>Non repertorié</v>
      </c>
      <c r="F124" t="str">
        <f>_xlfn.XLOOKUP(CKadeaTelcoLogs_Reseau[[#This Row],[Cell_ID]],'CKadeaTelcoRegistre_Maintenance'!A:A,'CKadeaTelcoRegistre_Maintenance'!C:C,"Non repertorié")</f>
        <v>Non repertorié</v>
      </c>
      <c r="G124" t="str">
        <f>_xlfn.XLOOKUP(CKadeaTelcoLogs_Reseau[[#This Row],[Cell_ID]],'CKadeaTelcoRegistre_Maintenance'!A:A,'CKadeaTelcoRegistre_Maintenance'!D:D,"Non repertorié")</f>
        <v>Non repertorié</v>
      </c>
      <c r="H124" t="str">
        <f>_xlfn.XLOOKUP(CKadeaTelcoLogs_Reseau[[#This Row],[Cell_ID]],'CKadeaTelcoRegistre_Maintenance'!A:A,'CKadeaTelcoRegistre_Maintenance'!E:E,"Non repertorié")</f>
        <v>Non repertorié</v>
      </c>
      <c r="I124" t="str">
        <f>_xlfn.XLOOKUP(CKadeaTelcoLogs_Reseau[[#This Row],[Cell_ID]],'CKadeaTelcoRegistre_Maintenance'!A:A,'CKadeaTelcoRegistre_Maintenance'!F:F,"Non repertorié")</f>
        <v>Non repertorié</v>
      </c>
    </row>
    <row r="125" spans="1:9" ht="20.5" customHeight="1" x14ac:dyDescent="0.35">
      <c r="A125" s="1">
        <v>45209.268750000003</v>
      </c>
      <c r="B125" s="5" t="s">
        <v>120</v>
      </c>
      <c r="C125">
        <v>94</v>
      </c>
      <c r="D125" t="s">
        <v>8</v>
      </c>
      <c r="E125" t="str">
        <f>_xlfn.XLOOKUP(CKadeaTelcoLogs_Reseau[[#This Row],[Cell_ID]],'CKadeaTelcoRegistre_Maintenance'!A:A,'CKadeaTelcoRegistre_Maintenance'!B:B,"Non repertorié")</f>
        <v>Non repertorié</v>
      </c>
      <c r="F125" t="str">
        <f>_xlfn.XLOOKUP(CKadeaTelcoLogs_Reseau[[#This Row],[Cell_ID]],'CKadeaTelcoRegistre_Maintenance'!A:A,'CKadeaTelcoRegistre_Maintenance'!C:C,"Non repertorié")</f>
        <v>Non repertorié</v>
      </c>
      <c r="G125" t="str">
        <f>_xlfn.XLOOKUP(CKadeaTelcoLogs_Reseau[[#This Row],[Cell_ID]],'CKadeaTelcoRegistre_Maintenance'!A:A,'CKadeaTelcoRegistre_Maintenance'!D:D,"Non repertorié")</f>
        <v>Non repertorié</v>
      </c>
      <c r="H125" t="str">
        <f>_xlfn.XLOOKUP(CKadeaTelcoLogs_Reseau[[#This Row],[Cell_ID]],'CKadeaTelcoRegistre_Maintenance'!A:A,'CKadeaTelcoRegistre_Maintenance'!E:E,"Non repertorié")</f>
        <v>Non repertorié</v>
      </c>
      <c r="I125" t="str">
        <f>_xlfn.XLOOKUP(CKadeaTelcoLogs_Reseau[[#This Row],[Cell_ID]],'CKadeaTelcoRegistre_Maintenance'!A:A,'CKadeaTelcoRegistre_Maintenance'!F:F,"Non repertorié")</f>
        <v>Non repertorié</v>
      </c>
    </row>
    <row r="126" spans="1:9" ht="20.5" customHeight="1" x14ac:dyDescent="0.35">
      <c r="A126" s="1">
        <v>45225.776388888888</v>
      </c>
      <c r="B126" s="5" t="s">
        <v>69</v>
      </c>
      <c r="C126">
        <v>71</v>
      </c>
      <c r="D126" t="s">
        <v>5</v>
      </c>
      <c r="E126" t="str">
        <f>_xlfn.XLOOKUP(CKadeaTelcoLogs_Reseau[[#This Row],[Cell_ID]],'CKadeaTelcoRegistre_Maintenance'!A:A,'CKadeaTelcoRegistre_Maintenance'!B:B,"Non repertorié")</f>
        <v>Nord-Kivu</v>
      </c>
      <c r="F126">
        <f>_xlfn.XLOOKUP(CKadeaTelcoLogs_Reseau[[#This Row],[Cell_ID]],'CKadeaTelcoRegistre_Maintenance'!A:A,'CKadeaTelcoRegistre_Maintenance'!C:C,"Non repertorié")</f>
        <v>0.82868600000000003</v>
      </c>
      <c r="G126">
        <f>_xlfn.XLOOKUP(CKadeaTelcoLogs_Reseau[[#This Row],[Cell_ID]],'CKadeaTelcoRegistre_Maintenance'!A:A,'CKadeaTelcoRegistre_Maintenance'!D:D,"Non repertorié")</f>
        <v>26.958843999999999</v>
      </c>
      <c r="H126" t="str">
        <f>_xlfn.XLOOKUP(CKadeaTelcoLogs_Reseau[[#This Row],[Cell_ID]],'CKadeaTelcoRegistre_Maintenance'!A:A,'CKadeaTelcoRegistre_Maintenance'!E:E,"Non repertorié")</f>
        <v>5G</v>
      </c>
      <c r="I126" t="str">
        <f>_xlfn.XLOOKUP(CKadeaTelcoLogs_Reseau[[#This Row],[Cell_ID]],'CKadeaTelcoRegistre_Maintenance'!A:A,'CKadeaTelcoRegistre_Maintenance'!F:F,"Non repertorié")</f>
        <v>ZTE</v>
      </c>
    </row>
    <row r="127" spans="1:9" ht="20.5" customHeight="1" x14ac:dyDescent="0.35">
      <c r="A127" s="1">
        <v>45220.436805555553</v>
      </c>
      <c r="B127" s="5" t="s">
        <v>64</v>
      </c>
      <c r="C127">
        <v>64</v>
      </c>
      <c r="D127" t="s">
        <v>8</v>
      </c>
      <c r="E127" t="str">
        <f>_xlfn.XLOOKUP(CKadeaTelcoLogs_Reseau[[#This Row],[Cell_ID]],'CKadeaTelcoRegistre_Maintenance'!A:A,'CKadeaTelcoRegistre_Maintenance'!B:B,"Non repertorié")</f>
        <v>Haut-Katanga</v>
      </c>
      <c r="F127">
        <f>_xlfn.XLOOKUP(CKadeaTelcoLogs_Reseau[[#This Row],[Cell_ID]],'CKadeaTelcoRegistre_Maintenance'!A:A,'CKadeaTelcoRegistre_Maintenance'!C:C,"Non repertorié")</f>
        <v>-5.5445120000000001</v>
      </c>
      <c r="G127">
        <f>_xlfn.XLOOKUP(CKadeaTelcoLogs_Reseau[[#This Row],[Cell_ID]],'CKadeaTelcoRegistre_Maintenance'!A:A,'CKadeaTelcoRegistre_Maintenance'!D:D,"Non repertorié")</f>
        <v>27.547335</v>
      </c>
      <c r="H127" t="str">
        <f>_xlfn.XLOOKUP(CKadeaTelcoLogs_Reseau[[#This Row],[Cell_ID]],'CKadeaTelcoRegistre_Maintenance'!A:A,'CKadeaTelcoRegistre_Maintenance'!E:E,"Non repertorié")</f>
        <v>4G</v>
      </c>
      <c r="I127" t="str">
        <f>_xlfn.XLOOKUP(CKadeaTelcoLogs_Reseau[[#This Row],[Cell_ID]],'CKadeaTelcoRegistre_Maintenance'!A:A,'CKadeaTelcoRegistre_Maintenance'!F:F,"Non repertorié")</f>
        <v>Ericsson</v>
      </c>
    </row>
    <row r="128" spans="1:9" ht="20.5" customHeight="1" x14ac:dyDescent="0.35">
      <c r="A128" s="1">
        <v>45214.613194444442</v>
      </c>
      <c r="B128" s="5" t="s">
        <v>121</v>
      </c>
      <c r="C128">
        <v>11</v>
      </c>
      <c r="D128" t="s">
        <v>10</v>
      </c>
      <c r="E128" t="str">
        <f>_xlfn.XLOOKUP(CKadeaTelcoLogs_Reseau[[#This Row],[Cell_ID]],'CKadeaTelcoRegistre_Maintenance'!A:A,'CKadeaTelcoRegistre_Maintenance'!B:B,"Non repertorié")</f>
        <v>Non repertorié</v>
      </c>
      <c r="F128" t="str">
        <f>_xlfn.XLOOKUP(CKadeaTelcoLogs_Reseau[[#This Row],[Cell_ID]],'CKadeaTelcoRegistre_Maintenance'!A:A,'CKadeaTelcoRegistre_Maintenance'!C:C,"Non repertorié")</f>
        <v>Non repertorié</v>
      </c>
      <c r="G128" t="str">
        <f>_xlfn.XLOOKUP(CKadeaTelcoLogs_Reseau[[#This Row],[Cell_ID]],'CKadeaTelcoRegistre_Maintenance'!A:A,'CKadeaTelcoRegistre_Maintenance'!D:D,"Non repertorié")</f>
        <v>Non repertorié</v>
      </c>
      <c r="H128" t="str">
        <f>_xlfn.XLOOKUP(CKadeaTelcoLogs_Reseau[[#This Row],[Cell_ID]],'CKadeaTelcoRegistre_Maintenance'!A:A,'CKadeaTelcoRegistre_Maintenance'!E:E,"Non repertorié")</f>
        <v>Non repertorié</v>
      </c>
      <c r="I128" t="str">
        <f>_xlfn.XLOOKUP(CKadeaTelcoLogs_Reseau[[#This Row],[Cell_ID]],'CKadeaTelcoRegistre_Maintenance'!A:A,'CKadeaTelcoRegistre_Maintenance'!F:F,"Non repertorié")</f>
        <v>Non repertorié</v>
      </c>
    </row>
    <row r="129" spans="1:9" ht="20.5" customHeight="1" x14ac:dyDescent="0.35">
      <c r="A129" s="1">
        <v>45206.6875</v>
      </c>
      <c r="B129" s="5" t="s">
        <v>122</v>
      </c>
      <c r="C129">
        <v>76</v>
      </c>
      <c r="D129" t="s">
        <v>10</v>
      </c>
      <c r="E129" t="str">
        <f>_xlfn.XLOOKUP(CKadeaTelcoLogs_Reseau[[#This Row],[Cell_ID]],'CKadeaTelcoRegistre_Maintenance'!A:A,'CKadeaTelcoRegistre_Maintenance'!B:B,"Non repertorié")</f>
        <v>Haut-Uele</v>
      </c>
      <c r="F129">
        <f>_xlfn.XLOOKUP(CKadeaTelcoLogs_Reseau[[#This Row],[Cell_ID]],'CKadeaTelcoRegistre_Maintenance'!A:A,'CKadeaTelcoRegistre_Maintenance'!C:C,"Non repertorié")</f>
        <v>-12.100756000000001</v>
      </c>
      <c r="G129">
        <f>_xlfn.XLOOKUP(CKadeaTelcoLogs_Reseau[[#This Row],[Cell_ID]],'CKadeaTelcoRegistre_Maintenance'!A:A,'CKadeaTelcoRegistre_Maintenance'!D:D,"Non repertorié")</f>
        <v>21.938649999999999</v>
      </c>
      <c r="H129" t="str">
        <f>_xlfn.XLOOKUP(CKadeaTelcoLogs_Reseau[[#This Row],[Cell_ID]],'CKadeaTelcoRegistre_Maintenance'!A:A,'CKadeaTelcoRegistre_Maintenance'!E:E,"Non repertorié")</f>
        <v>4G</v>
      </c>
      <c r="I129" t="str">
        <f>_xlfn.XLOOKUP(CKadeaTelcoLogs_Reseau[[#This Row],[Cell_ID]],'CKadeaTelcoRegistre_Maintenance'!A:A,'CKadeaTelcoRegistre_Maintenance'!F:F,"Non repertorié")</f>
        <v>Huawei</v>
      </c>
    </row>
    <row r="130" spans="1:9" ht="20.5" customHeight="1" x14ac:dyDescent="0.35">
      <c r="A130" s="1">
        <v>45225.965277777781</v>
      </c>
      <c r="B130" s="5" t="s">
        <v>123</v>
      </c>
      <c r="C130">
        <v>36</v>
      </c>
      <c r="D130" t="s">
        <v>5</v>
      </c>
      <c r="E130" t="str">
        <f>_xlfn.XLOOKUP(CKadeaTelcoLogs_Reseau[[#This Row],[Cell_ID]],'CKadeaTelcoRegistre_Maintenance'!A:A,'CKadeaTelcoRegistre_Maintenance'!B:B,"Non repertorié")</f>
        <v>Tanganyika</v>
      </c>
      <c r="F130">
        <f>_xlfn.XLOOKUP(CKadeaTelcoLogs_Reseau[[#This Row],[Cell_ID]],'CKadeaTelcoRegistre_Maintenance'!A:A,'CKadeaTelcoRegistre_Maintenance'!C:C,"Non repertorié")</f>
        <v>-9.002459</v>
      </c>
      <c r="G130">
        <f>_xlfn.XLOOKUP(CKadeaTelcoLogs_Reseau[[#This Row],[Cell_ID]],'CKadeaTelcoRegistre_Maintenance'!A:A,'CKadeaTelcoRegistre_Maintenance'!D:D,"Non repertorié")</f>
        <v>25.182109000000001</v>
      </c>
      <c r="H130" t="str">
        <f>_xlfn.XLOOKUP(CKadeaTelcoLogs_Reseau[[#This Row],[Cell_ID]],'CKadeaTelcoRegistre_Maintenance'!A:A,'CKadeaTelcoRegistre_Maintenance'!E:E,"Non repertorié")</f>
        <v>5G</v>
      </c>
      <c r="I130" t="str">
        <f>_xlfn.XLOOKUP(CKadeaTelcoLogs_Reseau[[#This Row],[Cell_ID]],'CKadeaTelcoRegistre_Maintenance'!A:A,'CKadeaTelcoRegistre_Maintenance'!F:F,"Non repertorié")</f>
        <v>Huawei</v>
      </c>
    </row>
    <row r="131" spans="1:9" ht="20.5" customHeight="1" x14ac:dyDescent="0.35">
      <c r="A131" s="1">
        <v>45221.095833333333</v>
      </c>
      <c r="B131" s="5" t="s">
        <v>124</v>
      </c>
      <c r="C131">
        <v>113</v>
      </c>
      <c r="D131" t="s">
        <v>10</v>
      </c>
      <c r="E131" t="str">
        <f>_xlfn.XLOOKUP(CKadeaTelcoLogs_Reseau[[#This Row],[Cell_ID]],'CKadeaTelcoRegistre_Maintenance'!A:A,'CKadeaTelcoRegistre_Maintenance'!B:B,"Non repertorié")</f>
        <v>Non repertorié</v>
      </c>
      <c r="F131" t="str">
        <f>_xlfn.XLOOKUP(CKadeaTelcoLogs_Reseau[[#This Row],[Cell_ID]],'CKadeaTelcoRegistre_Maintenance'!A:A,'CKadeaTelcoRegistre_Maintenance'!C:C,"Non repertorié")</f>
        <v>Non repertorié</v>
      </c>
      <c r="G131" t="str">
        <f>_xlfn.XLOOKUP(CKadeaTelcoLogs_Reseau[[#This Row],[Cell_ID]],'CKadeaTelcoRegistre_Maintenance'!A:A,'CKadeaTelcoRegistre_Maintenance'!D:D,"Non repertorié")</f>
        <v>Non repertorié</v>
      </c>
      <c r="H131" t="str">
        <f>_xlfn.XLOOKUP(CKadeaTelcoLogs_Reseau[[#This Row],[Cell_ID]],'CKadeaTelcoRegistre_Maintenance'!A:A,'CKadeaTelcoRegistre_Maintenance'!E:E,"Non repertorié")</f>
        <v>Non repertorié</v>
      </c>
      <c r="I131" t="str">
        <f>_xlfn.XLOOKUP(CKadeaTelcoLogs_Reseau[[#This Row],[Cell_ID]],'CKadeaTelcoRegistre_Maintenance'!A:A,'CKadeaTelcoRegistre_Maintenance'!F:F,"Non repertorié")</f>
        <v>Non repertorié</v>
      </c>
    </row>
    <row r="132" spans="1:9" ht="20.5" customHeight="1" x14ac:dyDescent="0.35">
      <c r="A132" s="1">
        <v>45216.902777777781</v>
      </c>
      <c r="B132" s="5" t="s">
        <v>125</v>
      </c>
      <c r="C132">
        <v>20</v>
      </c>
      <c r="D132" t="s">
        <v>10</v>
      </c>
      <c r="E132" t="str">
        <f>_xlfn.XLOOKUP(CKadeaTelcoLogs_Reseau[[#This Row],[Cell_ID]],'CKadeaTelcoRegistre_Maintenance'!A:A,'CKadeaTelcoRegistre_Maintenance'!B:B,"Non repertorié")</f>
        <v>Kwilu</v>
      </c>
      <c r="F132">
        <f>_xlfn.XLOOKUP(CKadeaTelcoLogs_Reseau[[#This Row],[Cell_ID]],'CKadeaTelcoRegistre_Maintenance'!A:A,'CKadeaTelcoRegistre_Maintenance'!C:C,"Non repertorié")</f>
        <v>-4.2408359999999998</v>
      </c>
      <c r="G132">
        <f>_xlfn.XLOOKUP(CKadeaTelcoLogs_Reseau[[#This Row],[Cell_ID]],'CKadeaTelcoRegistre_Maintenance'!A:A,'CKadeaTelcoRegistre_Maintenance'!D:D,"Non repertorié")</f>
        <v>26.210014000000001</v>
      </c>
      <c r="H132" t="str">
        <f>_xlfn.XLOOKUP(CKadeaTelcoLogs_Reseau[[#This Row],[Cell_ID]],'CKadeaTelcoRegistre_Maintenance'!A:A,'CKadeaTelcoRegistre_Maintenance'!E:E,"Non repertorié")</f>
        <v>4G</v>
      </c>
      <c r="I132" t="str">
        <f>_xlfn.XLOOKUP(CKadeaTelcoLogs_Reseau[[#This Row],[Cell_ID]],'CKadeaTelcoRegistre_Maintenance'!A:A,'CKadeaTelcoRegistre_Maintenance'!F:F,"Non repertorié")</f>
        <v>Huawei</v>
      </c>
    </row>
    <row r="133" spans="1:9" ht="20.5" customHeight="1" x14ac:dyDescent="0.35">
      <c r="A133" s="1">
        <v>45219.420138888891</v>
      </c>
      <c r="B133" s="5" t="s">
        <v>126</v>
      </c>
      <c r="C133">
        <v>63</v>
      </c>
      <c r="D133" t="s">
        <v>10</v>
      </c>
      <c r="E133" t="str">
        <f>_xlfn.XLOOKUP(CKadeaTelcoLogs_Reseau[[#This Row],[Cell_ID]],'CKadeaTelcoRegistre_Maintenance'!A:A,'CKadeaTelcoRegistre_Maintenance'!B:B,"Non repertorié")</f>
        <v>Lomami</v>
      </c>
      <c r="F133">
        <f>_xlfn.XLOOKUP(CKadeaTelcoLogs_Reseau[[#This Row],[Cell_ID]],'CKadeaTelcoRegistre_Maintenance'!A:A,'CKadeaTelcoRegistre_Maintenance'!C:C,"Non repertorié")</f>
        <v>-9.9875139999999991</v>
      </c>
      <c r="G133">
        <f>_xlfn.XLOOKUP(CKadeaTelcoLogs_Reseau[[#This Row],[Cell_ID]],'CKadeaTelcoRegistre_Maintenance'!A:A,'CKadeaTelcoRegistre_Maintenance'!D:D,"Non repertorié")</f>
        <v>12.013676999999999</v>
      </c>
      <c r="H133" t="str">
        <f>_xlfn.XLOOKUP(CKadeaTelcoLogs_Reseau[[#This Row],[Cell_ID]],'CKadeaTelcoRegistre_Maintenance'!A:A,'CKadeaTelcoRegistre_Maintenance'!E:E,"Non repertorié")</f>
        <v>3G</v>
      </c>
      <c r="I133" t="str">
        <f>_xlfn.XLOOKUP(CKadeaTelcoLogs_Reseau[[#This Row],[Cell_ID]],'CKadeaTelcoRegistre_Maintenance'!A:A,'CKadeaTelcoRegistre_Maintenance'!F:F,"Non repertorié")</f>
        <v>ZTE</v>
      </c>
    </row>
    <row r="134" spans="1:9" ht="20.5" customHeight="1" x14ac:dyDescent="0.35">
      <c r="A134" s="1">
        <v>45226.321527777778</v>
      </c>
      <c r="B134" s="5" t="s">
        <v>127</v>
      </c>
      <c r="C134">
        <v>22</v>
      </c>
      <c r="D134" t="s">
        <v>10</v>
      </c>
      <c r="E134" t="str">
        <f>_xlfn.XLOOKUP(CKadeaTelcoLogs_Reseau[[#This Row],[Cell_ID]],'CKadeaTelcoRegistre_Maintenance'!A:A,'CKadeaTelcoRegistre_Maintenance'!B:B,"Non repertorié")</f>
        <v>Nord-Kivu</v>
      </c>
      <c r="F134">
        <f>_xlfn.XLOOKUP(CKadeaTelcoLogs_Reseau[[#This Row],[Cell_ID]],'CKadeaTelcoRegistre_Maintenance'!A:A,'CKadeaTelcoRegistre_Maintenance'!C:C,"Non repertorié")</f>
        <v>-10.25074</v>
      </c>
      <c r="G134">
        <f>_xlfn.XLOOKUP(CKadeaTelcoLogs_Reseau[[#This Row],[Cell_ID]],'CKadeaTelcoRegistre_Maintenance'!A:A,'CKadeaTelcoRegistre_Maintenance'!D:D,"Non repertorié")</f>
        <v>26.099086</v>
      </c>
      <c r="H134" t="str">
        <f>_xlfn.XLOOKUP(CKadeaTelcoLogs_Reseau[[#This Row],[Cell_ID]],'CKadeaTelcoRegistre_Maintenance'!A:A,'CKadeaTelcoRegistre_Maintenance'!E:E,"Non repertorié")</f>
        <v>4G</v>
      </c>
      <c r="I134" t="str">
        <f>_xlfn.XLOOKUP(CKadeaTelcoLogs_Reseau[[#This Row],[Cell_ID]],'CKadeaTelcoRegistre_Maintenance'!A:A,'CKadeaTelcoRegistre_Maintenance'!F:F,"Non repertorié")</f>
        <v>Huawei</v>
      </c>
    </row>
    <row r="135" spans="1:9" ht="20.5" customHeight="1" x14ac:dyDescent="0.35">
      <c r="A135" s="1">
        <v>45209.32708333333</v>
      </c>
      <c r="B135" s="5" t="s">
        <v>128</v>
      </c>
      <c r="C135">
        <v>107</v>
      </c>
      <c r="D135" t="s">
        <v>8</v>
      </c>
      <c r="E135" t="str">
        <f>_xlfn.XLOOKUP(CKadeaTelcoLogs_Reseau[[#This Row],[Cell_ID]],'CKadeaTelcoRegistre_Maintenance'!A:A,'CKadeaTelcoRegistre_Maintenance'!B:B,"Non repertorié")</f>
        <v>Equateur</v>
      </c>
      <c r="F135">
        <f>_xlfn.XLOOKUP(CKadeaTelcoLogs_Reseau[[#This Row],[Cell_ID]],'CKadeaTelcoRegistre_Maintenance'!A:A,'CKadeaTelcoRegistre_Maintenance'!C:C,"Non repertorié")</f>
        <v>-5.0402180000000003</v>
      </c>
      <c r="G135">
        <f>_xlfn.XLOOKUP(CKadeaTelcoLogs_Reseau[[#This Row],[Cell_ID]],'CKadeaTelcoRegistre_Maintenance'!A:A,'CKadeaTelcoRegistre_Maintenance'!D:D,"Non repertorié")</f>
        <v>13.892471</v>
      </c>
      <c r="H135" t="str">
        <f>_xlfn.XLOOKUP(CKadeaTelcoLogs_Reseau[[#This Row],[Cell_ID]],'CKadeaTelcoRegistre_Maintenance'!A:A,'CKadeaTelcoRegistre_Maintenance'!E:E,"Non repertorié")</f>
        <v>3G</v>
      </c>
      <c r="I135" t="str">
        <f>_xlfn.XLOOKUP(CKadeaTelcoLogs_Reseau[[#This Row],[Cell_ID]],'CKadeaTelcoRegistre_Maintenance'!A:A,'CKadeaTelcoRegistre_Maintenance'!F:F,"Non repertorié")</f>
        <v>ZTE</v>
      </c>
    </row>
    <row r="136" spans="1:9" ht="20.5" customHeight="1" x14ac:dyDescent="0.35">
      <c r="A136" s="1">
        <v>45206.167361111111</v>
      </c>
      <c r="B136" s="5" t="s">
        <v>129</v>
      </c>
      <c r="C136">
        <v>64</v>
      </c>
      <c r="D136" t="s">
        <v>8</v>
      </c>
      <c r="E136" t="str">
        <f>_xlfn.XLOOKUP(CKadeaTelcoLogs_Reseau[[#This Row],[Cell_ID]],'CKadeaTelcoRegistre_Maintenance'!A:A,'CKadeaTelcoRegistre_Maintenance'!B:B,"Non repertorié")</f>
        <v>Ituri</v>
      </c>
      <c r="F136">
        <f>_xlfn.XLOOKUP(CKadeaTelcoLogs_Reseau[[#This Row],[Cell_ID]],'CKadeaTelcoRegistre_Maintenance'!A:A,'CKadeaTelcoRegistre_Maintenance'!C:C,"Non repertorié")</f>
        <v>0.24202000000000001</v>
      </c>
      <c r="G136">
        <f>_xlfn.XLOOKUP(CKadeaTelcoLogs_Reseau[[#This Row],[Cell_ID]],'CKadeaTelcoRegistre_Maintenance'!A:A,'CKadeaTelcoRegistre_Maintenance'!D:D,"Non repertorié")</f>
        <v>17.396256999999999</v>
      </c>
      <c r="H136" t="str">
        <f>_xlfn.XLOOKUP(CKadeaTelcoLogs_Reseau[[#This Row],[Cell_ID]],'CKadeaTelcoRegistre_Maintenance'!A:A,'CKadeaTelcoRegistre_Maintenance'!E:E,"Non repertorié")</f>
        <v>4G</v>
      </c>
      <c r="I136" t="str">
        <f>_xlfn.XLOOKUP(CKadeaTelcoLogs_Reseau[[#This Row],[Cell_ID]],'CKadeaTelcoRegistre_Maintenance'!A:A,'CKadeaTelcoRegistre_Maintenance'!F:F,"Non repertorié")</f>
        <v>Huawei</v>
      </c>
    </row>
    <row r="137" spans="1:9" ht="20.5" customHeight="1" x14ac:dyDescent="0.35">
      <c r="A137" s="1">
        <v>45201.3125</v>
      </c>
      <c r="B137" s="5" t="s">
        <v>130</v>
      </c>
      <c r="C137">
        <v>90</v>
      </c>
      <c r="D137" t="s">
        <v>8</v>
      </c>
      <c r="E137" t="str">
        <f>_xlfn.XLOOKUP(CKadeaTelcoLogs_Reseau[[#This Row],[Cell_ID]],'CKadeaTelcoRegistre_Maintenance'!A:A,'CKadeaTelcoRegistre_Maintenance'!B:B,"Non repertorié")</f>
        <v>Kasai-Oriental</v>
      </c>
      <c r="F137">
        <f>_xlfn.XLOOKUP(CKadeaTelcoLogs_Reseau[[#This Row],[Cell_ID]],'CKadeaTelcoRegistre_Maintenance'!A:A,'CKadeaTelcoRegistre_Maintenance'!C:C,"Non repertorié")</f>
        <v>-12.333232000000001</v>
      </c>
      <c r="G137">
        <f>_xlfn.XLOOKUP(CKadeaTelcoLogs_Reseau[[#This Row],[Cell_ID]],'CKadeaTelcoRegistre_Maintenance'!A:A,'CKadeaTelcoRegistre_Maintenance'!D:D,"Non repertorié")</f>
        <v>25.229620000000001</v>
      </c>
      <c r="H137" t="str">
        <f>_xlfn.XLOOKUP(CKadeaTelcoLogs_Reseau[[#This Row],[Cell_ID]],'CKadeaTelcoRegistre_Maintenance'!A:A,'CKadeaTelcoRegistre_Maintenance'!E:E,"Non repertorié")</f>
        <v>5G</v>
      </c>
      <c r="I137" t="str">
        <f>_xlfn.XLOOKUP(CKadeaTelcoLogs_Reseau[[#This Row],[Cell_ID]],'CKadeaTelcoRegistre_Maintenance'!A:A,'CKadeaTelcoRegistre_Maintenance'!F:F,"Non repertorié")</f>
        <v>Nokia</v>
      </c>
    </row>
    <row r="138" spans="1:9" ht="20.5" customHeight="1" x14ac:dyDescent="0.35">
      <c r="A138" s="1">
        <v>45219.103472222225</v>
      </c>
      <c r="B138" s="5" t="s">
        <v>131</v>
      </c>
      <c r="C138">
        <v>72</v>
      </c>
      <c r="D138" t="s">
        <v>8</v>
      </c>
      <c r="E138" t="str">
        <f>_xlfn.XLOOKUP(CKadeaTelcoLogs_Reseau[[#This Row],[Cell_ID]],'CKadeaTelcoRegistre_Maintenance'!A:A,'CKadeaTelcoRegistre_Maintenance'!B:B,"Non repertorié")</f>
        <v>Lomami</v>
      </c>
      <c r="F138">
        <f>_xlfn.XLOOKUP(CKadeaTelcoLogs_Reseau[[#This Row],[Cell_ID]],'CKadeaTelcoRegistre_Maintenance'!A:A,'CKadeaTelcoRegistre_Maintenance'!C:C,"Non repertorié")</f>
        <v>-5.7035130000000001</v>
      </c>
      <c r="G138">
        <f>_xlfn.XLOOKUP(CKadeaTelcoLogs_Reseau[[#This Row],[Cell_ID]],'CKadeaTelcoRegistre_Maintenance'!A:A,'CKadeaTelcoRegistre_Maintenance'!D:D,"Non repertorié")</f>
        <v>14.331479</v>
      </c>
      <c r="H138" t="str">
        <f>_xlfn.XLOOKUP(CKadeaTelcoLogs_Reseau[[#This Row],[Cell_ID]],'CKadeaTelcoRegistre_Maintenance'!A:A,'CKadeaTelcoRegistre_Maintenance'!E:E,"Non repertorié")</f>
        <v>5G</v>
      </c>
      <c r="I138" t="str">
        <f>_xlfn.XLOOKUP(CKadeaTelcoLogs_Reseau[[#This Row],[Cell_ID]],'CKadeaTelcoRegistre_Maintenance'!A:A,'CKadeaTelcoRegistre_Maintenance'!F:F,"Non repertorié")</f>
        <v>Nokia</v>
      </c>
    </row>
    <row r="139" spans="1:9" ht="20.5" customHeight="1" x14ac:dyDescent="0.35">
      <c r="A139" s="1">
        <v>45200.51458333333</v>
      </c>
      <c r="B139" s="5" t="s">
        <v>132</v>
      </c>
      <c r="C139">
        <v>24</v>
      </c>
      <c r="D139" t="s">
        <v>10</v>
      </c>
      <c r="E139" t="str">
        <f>_xlfn.XLOOKUP(CKadeaTelcoLogs_Reseau[[#This Row],[Cell_ID]],'CKadeaTelcoRegistre_Maintenance'!A:A,'CKadeaTelcoRegistre_Maintenance'!B:B,"Non repertorié")</f>
        <v>Tshuapa</v>
      </c>
      <c r="F139">
        <f>_xlfn.XLOOKUP(CKadeaTelcoLogs_Reseau[[#This Row],[Cell_ID]],'CKadeaTelcoRegistre_Maintenance'!A:A,'CKadeaTelcoRegistre_Maintenance'!C:C,"Non repertorié")</f>
        <v>-11.622688999999999</v>
      </c>
      <c r="G139">
        <f>_xlfn.XLOOKUP(CKadeaTelcoLogs_Reseau[[#This Row],[Cell_ID]],'CKadeaTelcoRegistre_Maintenance'!A:A,'CKadeaTelcoRegistre_Maintenance'!D:D,"Non repertorié")</f>
        <v>18.483874</v>
      </c>
      <c r="H139" t="str">
        <f>_xlfn.XLOOKUP(CKadeaTelcoLogs_Reseau[[#This Row],[Cell_ID]],'CKadeaTelcoRegistre_Maintenance'!A:A,'CKadeaTelcoRegistre_Maintenance'!E:E,"Non repertorié")</f>
        <v>5G</v>
      </c>
      <c r="I139" t="str">
        <f>_xlfn.XLOOKUP(CKadeaTelcoLogs_Reseau[[#This Row],[Cell_ID]],'CKadeaTelcoRegistre_Maintenance'!A:A,'CKadeaTelcoRegistre_Maintenance'!F:F,"Non repertorié")</f>
        <v>ZTE</v>
      </c>
    </row>
    <row r="140" spans="1:9" ht="20.5" customHeight="1" x14ac:dyDescent="0.35">
      <c r="A140" s="1">
        <v>45221.910416666666</v>
      </c>
      <c r="B140" s="5" t="s">
        <v>133</v>
      </c>
      <c r="C140">
        <v>60</v>
      </c>
      <c r="D140" t="s">
        <v>8</v>
      </c>
      <c r="E140" t="str">
        <f>_xlfn.XLOOKUP(CKadeaTelcoLogs_Reseau[[#This Row],[Cell_ID]],'CKadeaTelcoRegistre_Maintenance'!A:A,'CKadeaTelcoRegistre_Maintenance'!B:B,"Non repertorié")</f>
        <v>Kasai-Central</v>
      </c>
      <c r="F140">
        <f>_xlfn.XLOOKUP(CKadeaTelcoLogs_Reseau[[#This Row],[Cell_ID]],'CKadeaTelcoRegistre_Maintenance'!A:A,'CKadeaTelcoRegistre_Maintenance'!C:C,"Non repertorié")</f>
        <v>-10.414493</v>
      </c>
      <c r="G140">
        <f>_xlfn.XLOOKUP(CKadeaTelcoLogs_Reseau[[#This Row],[Cell_ID]],'CKadeaTelcoRegistre_Maintenance'!A:A,'CKadeaTelcoRegistre_Maintenance'!D:D,"Non repertorié")</f>
        <v>12.333356999999999</v>
      </c>
      <c r="H140" t="str">
        <f>_xlfn.XLOOKUP(CKadeaTelcoLogs_Reseau[[#This Row],[Cell_ID]],'CKadeaTelcoRegistre_Maintenance'!A:A,'CKadeaTelcoRegistre_Maintenance'!E:E,"Non repertorié")</f>
        <v>3G</v>
      </c>
      <c r="I140" t="str">
        <f>_xlfn.XLOOKUP(CKadeaTelcoLogs_Reseau[[#This Row],[Cell_ID]],'CKadeaTelcoRegistre_Maintenance'!A:A,'CKadeaTelcoRegistre_Maintenance'!F:F,"Non repertorié")</f>
        <v>Ericsson</v>
      </c>
    </row>
    <row r="141" spans="1:9" ht="20.5" customHeight="1" x14ac:dyDescent="0.35">
      <c r="A141" s="1">
        <v>45212.965277777781</v>
      </c>
      <c r="B141" s="5" t="s">
        <v>134</v>
      </c>
      <c r="C141">
        <v>27</v>
      </c>
      <c r="D141" t="s">
        <v>10</v>
      </c>
      <c r="E141" t="str">
        <f>_xlfn.XLOOKUP(CKadeaTelcoLogs_Reseau[[#This Row],[Cell_ID]],'CKadeaTelcoRegistre_Maintenance'!A:A,'CKadeaTelcoRegistre_Maintenance'!B:B,"Non repertorié")</f>
        <v>Kongo-Central</v>
      </c>
      <c r="F141">
        <f>_xlfn.XLOOKUP(CKadeaTelcoLogs_Reseau[[#This Row],[Cell_ID]],'CKadeaTelcoRegistre_Maintenance'!A:A,'CKadeaTelcoRegistre_Maintenance'!C:C,"Non repertorié")</f>
        <v>0.79124300000000003</v>
      </c>
      <c r="G141">
        <f>_xlfn.XLOOKUP(CKadeaTelcoLogs_Reseau[[#This Row],[Cell_ID]],'CKadeaTelcoRegistre_Maintenance'!A:A,'CKadeaTelcoRegistre_Maintenance'!D:D,"Non repertorié")</f>
        <v>25.273389000000002</v>
      </c>
      <c r="H141" t="str">
        <f>_xlfn.XLOOKUP(CKadeaTelcoLogs_Reseau[[#This Row],[Cell_ID]],'CKadeaTelcoRegistre_Maintenance'!A:A,'CKadeaTelcoRegistre_Maintenance'!E:E,"Non repertorié")</f>
        <v>4G</v>
      </c>
      <c r="I141" t="str">
        <f>_xlfn.XLOOKUP(CKadeaTelcoLogs_Reseau[[#This Row],[Cell_ID]],'CKadeaTelcoRegistre_Maintenance'!A:A,'CKadeaTelcoRegistre_Maintenance'!F:F,"Non repertorié")</f>
        <v>Nokia</v>
      </c>
    </row>
    <row r="142" spans="1:9" ht="20.5" customHeight="1" x14ac:dyDescent="0.35">
      <c r="A142" s="1">
        <v>45226.623611111114</v>
      </c>
      <c r="B142" s="5" t="s">
        <v>135</v>
      </c>
      <c r="C142">
        <v>98</v>
      </c>
      <c r="D142" t="s">
        <v>10</v>
      </c>
      <c r="E142" t="str">
        <f>_xlfn.XLOOKUP(CKadeaTelcoLogs_Reseau[[#This Row],[Cell_ID]],'CKadeaTelcoRegistre_Maintenance'!A:A,'CKadeaTelcoRegistre_Maintenance'!B:B,"Non repertorié")</f>
        <v>Nord-Ubangi</v>
      </c>
      <c r="F142">
        <f>_xlfn.XLOOKUP(CKadeaTelcoLogs_Reseau[[#This Row],[Cell_ID]],'CKadeaTelcoRegistre_Maintenance'!A:A,'CKadeaTelcoRegistre_Maintenance'!C:C,"Non repertorié")</f>
        <v>-7.9987219999999999</v>
      </c>
      <c r="G142">
        <f>_xlfn.XLOOKUP(CKadeaTelcoLogs_Reseau[[#This Row],[Cell_ID]],'CKadeaTelcoRegistre_Maintenance'!A:A,'CKadeaTelcoRegistre_Maintenance'!D:D,"Non repertorié")</f>
        <v>12.779335</v>
      </c>
      <c r="H142" t="str">
        <f>_xlfn.XLOOKUP(CKadeaTelcoLogs_Reseau[[#This Row],[Cell_ID]],'CKadeaTelcoRegistre_Maintenance'!A:A,'CKadeaTelcoRegistre_Maintenance'!E:E,"Non repertorié")</f>
        <v>5G</v>
      </c>
      <c r="I142" t="str">
        <f>_xlfn.XLOOKUP(CKadeaTelcoLogs_Reseau[[#This Row],[Cell_ID]],'CKadeaTelcoRegistre_Maintenance'!A:A,'CKadeaTelcoRegistre_Maintenance'!F:F,"Non repertorié")</f>
        <v>Nokia</v>
      </c>
    </row>
    <row r="143" spans="1:9" ht="20.5" customHeight="1" x14ac:dyDescent="0.35">
      <c r="A143" s="1">
        <v>45204.81527777778</v>
      </c>
      <c r="B143" s="5" t="s">
        <v>133</v>
      </c>
      <c r="C143">
        <v>71</v>
      </c>
      <c r="D143" t="s">
        <v>10</v>
      </c>
      <c r="E143" t="str">
        <f>_xlfn.XLOOKUP(CKadeaTelcoLogs_Reseau[[#This Row],[Cell_ID]],'CKadeaTelcoRegistre_Maintenance'!A:A,'CKadeaTelcoRegistre_Maintenance'!B:B,"Non repertorié")</f>
        <v>Kasai-Central</v>
      </c>
      <c r="F143">
        <f>_xlfn.XLOOKUP(CKadeaTelcoLogs_Reseau[[#This Row],[Cell_ID]],'CKadeaTelcoRegistre_Maintenance'!A:A,'CKadeaTelcoRegistre_Maintenance'!C:C,"Non repertorié")</f>
        <v>-10.414493</v>
      </c>
      <c r="G143">
        <f>_xlfn.XLOOKUP(CKadeaTelcoLogs_Reseau[[#This Row],[Cell_ID]],'CKadeaTelcoRegistre_Maintenance'!A:A,'CKadeaTelcoRegistre_Maintenance'!D:D,"Non repertorié")</f>
        <v>12.333356999999999</v>
      </c>
      <c r="H143" t="str">
        <f>_xlfn.XLOOKUP(CKadeaTelcoLogs_Reseau[[#This Row],[Cell_ID]],'CKadeaTelcoRegistre_Maintenance'!A:A,'CKadeaTelcoRegistre_Maintenance'!E:E,"Non repertorié")</f>
        <v>3G</v>
      </c>
      <c r="I143" t="str">
        <f>_xlfn.XLOOKUP(CKadeaTelcoLogs_Reseau[[#This Row],[Cell_ID]],'CKadeaTelcoRegistre_Maintenance'!A:A,'CKadeaTelcoRegistre_Maintenance'!F:F,"Non repertorié")</f>
        <v>Ericsson</v>
      </c>
    </row>
    <row r="144" spans="1:9" ht="20.5" customHeight="1" x14ac:dyDescent="0.35">
      <c r="A144" s="1">
        <v>45200.525694444441</v>
      </c>
      <c r="B144" s="5" t="s">
        <v>136</v>
      </c>
      <c r="C144">
        <v>88</v>
      </c>
      <c r="D144" t="s">
        <v>10</v>
      </c>
      <c r="E144" t="str">
        <f>_xlfn.XLOOKUP(CKadeaTelcoLogs_Reseau[[#This Row],[Cell_ID]],'CKadeaTelcoRegistre_Maintenance'!A:A,'CKadeaTelcoRegistre_Maintenance'!B:B,"Non repertorié")</f>
        <v>Kinshasa</v>
      </c>
      <c r="F144">
        <f>_xlfn.XLOOKUP(CKadeaTelcoLogs_Reseau[[#This Row],[Cell_ID]],'CKadeaTelcoRegistre_Maintenance'!A:A,'CKadeaTelcoRegistre_Maintenance'!C:C,"Non repertorié")</f>
        <v>-1.6097570000000001</v>
      </c>
      <c r="G144">
        <f>_xlfn.XLOOKUP(CKadeaTelcoLogs_Reseau[[#This Row],[Cell_ID]],'CKadeaTelcoRegistre_Maintenance'!A:A,'CKadeaTelcoRegistre_Maintenance'!D:D,"Non repertorié")</f>
        <v>30.661662</v>
      </c>
      <c r="H144" t="str">
        <f>_xlfn.XLOOKUP(CKadeaTelcoLogs_Reseau[[#This Row],[Cell_ID]],'CKadeaTelcoRegistre_Maintenance'!A:A,'CKadeaTelcoRegistre_Maintenance'!E:E,"Non repertorié")</f>
        <v>4G</v>
      </c>
      <c r="I144" t="str">
        <f>_xlfn.XLOOKUP(CKadeaTelcoLogs_Reseau[[#This Row],[Cell_ID]],'CKadeaTelcoRegistre_Maintenance'!A:A,'CKadeaTelcoRegistre_Maintenance'!F:F,"Non repertorié")</f>
        <v>Ericsson</v>
      </c>
    </row>
    <row r="145" spans="1:9" ht="20.5" customHeight="1" x14ac:dyDescent="0.35">
      <c r="A145" s="1">
        <v>45218.875694444447</v>
      </c>
      <c r="B145" s="5" t="s">
        <v>137</v>
      </c>
      <c r="C145">
        <v>39</v>
      </c>
      <c r="D145" t="s">
        <v>5</v>
      </c>
      <c r="E145" t="str">
        <f>_xlfn.XLOOKUP(CKadeaTelcoLogs_Reseau[[#This Row],[Cell_ID]],'CKadeaTelcoRegistre_Maintenance'!A:A,'CKadeaTelcoRegistre_Maintenance'!B:B,"Non repertorié")</f>
        <v>Non repertorié</v>
      </c>
      <c r="F145" t="str">
        <f>_xlfn.XLOOKUP(CKadeaTelcoLogs_Reseau[[#This Row],[Cell_ID]],'CKadeaTelcoRegistre_Maintenance'!A:A,'CKadeaTelcoRegistre_Maintenance'!C:C,"Non repertorié")</f>
        <v>Non repertorié</v>
      </c>
      <c r="G145" t="str">
        <f>_xlfn.XLOOKUP(CKadeaTelcoLogs_Reseau[[#This Row],[Cell_ID]],'CKadeaTelcoRegistre_Maintenance'!A:A,'CKadeaTelcoRegistre_Maintenance'!D:D,"Non repertorié")</f>
        <v>Non repertorié</v>
      </c>
      <c r="H145" t="str">
        <f>_xlfn.XLOOKUP(CKadeaTelcoLogs_Reseau[[#This Row],[Cell_ID]],'CKadeaTelcoRegistre_Maintenance'!A:A,'CKadeaTelcoRegistre_Maintenance'!E:E,"Non repertorié")</f>
        <v>Non repertorié</v>
      </c>
      <c r="I145" t="str">
        <f>_xlfn.XLOOKUP(CKadeaTelcoLogs_Reseau[[#This Row],[Cell_ID]],'CKadeaTelcoRegistre_Maintenance'!A:A,'CKadeaTelcoRegistre_Maintenance'!F:F,"Non repertorié")</f>
        <v>Non repertorié</v>
      </c>
    </row>
    <row r="146" spans="1:9" ht="20.5" customHeight="1" x14ac:dyDescent="0.35">
      <c r="A146" s="1">
        <v>45202.852083333331</v>
      </c>
      <c r="B146" s="5" t="s">
        <v>138</v>
      </c>
      <c r="C146">
        <v>83</v>
      </c>
      <c r="D146" t="s">
        <v>5</v>
      </c>
      <c r="E146" t="str">
        <f>_xlfn.XLOOKUP(CKadeaTelcoLogs_Reseau[[#This Row],[Cell_ID]],'CKadeaTelcoRegistre_Maintenance'!A:A,'CKadeaTelcoRegistre_Maintenance'!B:B,"Non repertorié")</f>
        <v>Mai-Ndombe</v>
      </c>
      <c r="F146">
        <f>_xlfn.XLOOKUP(CKadeaTelcoLogs_Reseau[[#This Row],[Cell_ID]],'CKadeaTelcoRegistre_Maintenance'!A:A,'CKadeaTelcoRegistre_Maintenance'!C:C,"Non repertorié")</f>
        <v>-1.607639</v>
      </c>
      <c r="G146">
        <f>_xlfn.XLOOKUP(CKadeaTelcoLogs_Reseau[[#This Row],[Cell_ID]],'CKadeaTelcoRegistre_Maintenance'!A:A,'CKadeaTelcoRegistre_Maintenance'!D:D,"Non repertorié")</f>
        <v>17.003636</v>
      </c>
      <c r="H146" t="str">
        <f>_xlfn.XLOOKUP(CKadeaTelcoLogs_Reseau[[#This Row],[Cell_ID]],'CKadeaTelcoRegistre_Maintenance'!A:A,'CKadeaTelcoRegistre_Maintenance'!E:E,"Non repertorié")</f>
        <v>4G</v>
      </c>
      <c r="I146" t="str">
        <f>_xlfn.XLOOKUP(CKadeaTelcoLogs_Reseau[[#This Row],[Cell_ID]],'CKadeaTelcoRegistre_Maintenance'!A:A,'CKadeaTelcoRegistre_Maintenance'!F:F,"Non repertorié")</f>
        <v>Ericsson</v>
      </c>
    </row>
    <row r="147" spans="1:9" ht="20.5" customHeight="1" x14ac:dyDescent="0.35">
      <c r="A147" s="1">
        <v>45204.59097222222</v>
      </c>
      <c r="B147" s="5" t="s">
        <v>139</v>
      </c>
      <c r="C147">
        <v>108</v>
      </c>
      <c r="D147" t="s">
        <v>8</v>
      </c>
      <c r="E147" t="str">
        <f>_xlfn.XLOOKUP(CKadeaTelcoLogs_Reseau[[#This Row],[Cell_ID]],'CKadeaTelcoRegistre_Maintenance'!A:A,'CKadeaTelcoRegistre_Maintenance'!B:B,"Non repertorié")</f>
        <v>Kwilu</v>
      </c>
      <c r="F147">
        <f>_xlfn.XLOOKUP(CKadeaTelcoLogs_Reseau[[#This Row],[Cell_ID]],'CKadeaTelcoRegistre_Maintenance'!A:A,'CKadeaTelcoRegistre_Maintenance'!C:C,"Non repertorié")</f>
        <v>-8.5675749999999997</v>
      </c>
      <c r="G147">
        <f>_xlfn.XLOOKUP(CKadeaTelcoLogs_Reseau[[#This Row],[Cell_ID]],'CKadeaTelcoRegistre_Maintenance'!A:A,'CKadeaTelcoRegistre_Maintenance'!D:D,"Non repertorié")</f>
        <v>26.994581</v>
      </c>
      <c r="H147" t="str">
        <f>_xlfn.XLOOKUP(CKadeaTelcoLogs_Reseau[[#This Row],[Cell_ID]],'CKadeaTelcoRegistre_Maintenance'!A:A,'CKadeaTelcoRegistre_Maintenance'!E:E,"Non repertorié")</f>
        <v>3G</v>
      </c>
      <c r="I147" t="str">
        <f>_xlfn.XLOOKUP(CKadeaTelcoLogs_Reseau[[#This Row],[Cell_ID]],'CKadeaTelcoRegistre_Maintenance'!A:A,'CKadeaTelcoRegistre_Maintenance'!F:F,"Non repertorié")</f>
        <v>Nokia</v>
      </c>
    </row>
    <row r="148" spans="1:9" ht="20.5" customHeight="1" x14ac:dyDescent="0.35">
      <c r="A148" s="1">
        <v>45201.35</v>
      </c>
      <c r="B148" s="5" t="s">
        <v>140</v>
      </c>
      <c r="C148">
        <v>73</v>
      </c>
      <c r="D148" t="s">
        <v>5</v>
      </c>
      <c r="E148" t="str">
        <f>_xlfn.XLOOKUP(CKadeaTelcoLogs_Reseau[[#This Row],[Cell_ID]],'CKadeaTelcoRegistre_Maintenance'!A:A,'CKadeaTelcoRegistre_Maintenance'!B:B,"Non repertorié")</f>
        <v>Non repertorié</v>
      </c>
      <c r="F148" t="str">
        <f>_xlfn.XLOOKUP(CKadeaTelcoLogs_Reseau[[#This Row],[Cell_ID]],'CKadeaTelcoRegistre_Maintenance'!A:A,'CKadeaTelcoRegistre_Maintenance'!C:C,"Non repertorié")</f>
        <v>Non repertorié</v>
      </c>
      <c r="G148" t="str">
        <f>_xlfn.XLOOKUP(CKadeaTelcoLogs_Reseau[[#This Row],[Cell_ID]],'CKadeaTelcoRegistre_Maintenance'!A:A,'CKadeaTelcoRegistre_Maintenance'!D:D,"Non repertorié")</f>
        <v>Non repertorié</v>
      </c>
      <c r="H148" t="str">
        <f>_xlfn.XLOOKUP(CKadeaTelcoLogs_Reseau[[#This Row],[Cell_ID]],'CKadeaTelcoRegistre_Maintenance'!A:A,'CKadeaTelcoRegistre_Maintenance'!E:E,"Non repertorié")</f>
        <v>Non repertorié</v>
      </c>
      <c r="I148" t="str">
        <f>_xlfn.XLOOKUP(CKadeaTelcoLogs_Reseau[[#This Row],[Cell_ID]],'CKadeaTelcoRegistre_Maintenance'!A:A,'CKadeaTelcoRegistre_Maintenance'!F:F,"Non repertorié")</f>
        <v>Non repertorié</v>
      </c>
    </row>
    <row r="149" spans="1:9" ht="20.5" customHeight="1" x14ac:dyDescent="0.35">
      <c r="A149" s="1">
        <v>45210.270138888889</v>
      </c>
      <c r="B149" s="5" t="s">
        <v>141</v>
      </c>
      <c r="C149">
        <v>104</v>
      </c>
      <c r="D149" t="s">
        <v>10</v>
      </c>
      <c r="E149" t="str">
        <f>_xlfn.XLOOKUP(CKadeaTelcoLogs_Reseau[[#This Row],[Cell_ID]],'CKadeaTelcoRegistre_Maintenance'!A:A,'CKadeaTelcoRegistre_Maintenance'!B:B,"Non repertorié")</f>
        <v>Non repertorié</v>
      </c>
      <c r="F149" t="str">
        <f>_xlfn.XLOOKUP(CKadeaTelcoLogs_Reseau[[#This Row],[Cell_ID]],'CKadeaTelcoRegistre_Maintenance'!A:A,'CKadeaTelcoRegistre_Maintenance'!C:C,"Non repertorié")</f>
        <v>Non repertorié</v>
      </c>
      <c r="G149" t="str">
        <f>_xlfn.XLOOKUP(CKadeaTelcoLogs_Reseau[[#This Row],[Cell_ID]],'CKadeaTelcoRegistre_Maintenance'!A:A,'CKadeaTelcoRegistre_Maintenance'!D:D,"Non repertorié")</f>
        <v>Non repertorié</v>
      </c>
      <c r="H149" t="str">
        <f>_xlfn.XLOOKUP(CKadeaTelcoLogs_Reseau[[#This Row],[Cell_ID]],'CKadeaTelcoRegistre_Maintenance'!A:A,'CKadeaTelcoRegistre_Maintenance'!E:E,"Non repertorié")</f>
        <v>Non repertorié</v>
      </c>
      <c r="I149" t="str">
        <f>_xlfn.XLOOKUP(CKadeaTelcoLogs_Reseau[[#This Row],[Cell_ID]],'CKadeaTelcoRegistre_Maintenance'!A:A,'CKadeaTelcoRegistre_Maintenance'!F:F,"Non repertorié")</f>
        <v>Non repertorié</v>
      </c>
    </row>
    <row r="150" spans="1:9" ht="20.5" customHeight="1" x14ac:dyDescent="0.35">
      <c r="A150" s="1">
        <v>45210.45</v>
      </c>
      <c r="B150" s="5" t="s">
        <v>142</v>
      </c>
      <c r="C150">
        <v>66</v>
      </c>
      <c r="D150" t="s">
        <v>5</v>
      </c>
      <c r="E150" t="str">
        <f>_xlfn.XLOOKUP(CKadeaTelcoLogs_Reseau[[#This Row],[Cell_ID]],'CKadeaTelcoRegistre_Maintenance'!A:A,'CKadeaTelcoRegistre_Maintenance'!B:B,"Non repertorié")</f>
        <v>Lualaba</v>
      </c>
      <c r="F150">
        <f>_xlfn.XLOOKUP(CKadeaTelcoLogs_Reseau[[#This Row],[Cell_ID]],'CKadeaTelcoRegistre_Maintenance'!A:A,'CKadeaTelcoRegistre_Maintenance'!C:C,"Non repertorié")</f>
        <v>-9.7803979999999999</v>
      </c>
      <c r="G150">
        <f>_xlfn.XLOOKUP(CKadeaTelcoLogs_Reseau[[#This Row],[Cell_ID]],'CKadeaTelcoRegistre_Maintenance'!A:A,'CKadeaTelcoRegistre_Maintenance'!D:D,"Non repertorié")</f>
        <v>17.686595000000001</v>
      </c>
      <c r="H150" t="str">
        <f>_xlfn.XLOOKUP(CKadeaTelcoLogs_Reseau[[#This Row],[Cell_ID]],'CKadeaTelcoRegistre_Maintenance'!A:A,'CKadeaTelcoRegistre_Maintenance'!E:E,"Non repertorié")</f>
        <v>4G</v>
      </c>
      <c r="I150" t="str">
        <f>_xlfn.XLOOKUP(CKadeaTelcoLogs_Reseau[[#This Row],[Cell_ID]],'CKadeaTelcoRegistre_Maintenance'!A:A,'CKadeaTelcoRegistre_Maintenance'!F:F,"Non repertorié")</f>
        <v>Ericsson</v>
      </c>
    </row>
    <row r="151" spans="1:9" ht="20.5" customHeight="1" x14ac:dyDescent="0.35">
      <c r="A151" s="1">
        <v>45228.511805555558</v>
      </c>
      <c r="B151" s="5" t="s">
        <v>143</v>
      </c>
      <c r="C151">
        <v>64</v>
      </c>
      <c r="D151" t="s">
        <v>8</v>
      </c>
      <c r="E151" t="str">
        <f>_xlfn.XLOOKUP(CKadeaTelcoLogs_Reseau[[#This Row],[Cell_ID]],'CKadeaTelcoRegistre_Maintenance'!A:A,'CKadeaTelcoRegistre_Maintenance'!B:B,"Non repertorié")</f>
        <v>Haut-Uele</v>
      </c>
      <c r="F151">
        <f>_xlfn.XLOOKUP(CKadeaTelcoLogs_Reseau[[#This Row],[Cell_ID]],'CKadeaTelcoRegistre_Maintenance'!A:A,'CKadeaTelcoRegistre_Maintenance'!C:C,"Non repertorié")</f>
        <v>-4.4351269999999996</v>
      </c>
      <c r="G151">
        <f>_xlfn.XLOOKUP(CKadeaTelcoLogs_Reseau[[#This Row],[Cell_ID]],'CKadeaTelcoRegistre_Maintenance'!A:A,'CKadeaTelcoRegistre_Maintenance'!D:D,"Non repertorié")</f>
        <v>24.825467</v>
      </c>
      <c r="H151" t="str">
        <f>_xlfn.XLOOKUP(CKadeaTelcoLogs_Reseau[[#This Row],[Cell_ID]],'CKadeaTelcoRegistre_Maintenance'!A:A,'CKadeaTelcoRegistre_Maintenance'!E:E,"Non repertorié")</f>
        <v>4G</v>
      </c>
      <c r="I151" t="str">
        <f>_xlfn.XLOOKUP(CKadeaTelcoLogs_Reseau[[#This Row],[Cell_ID]],'CKadeaTelcoRegistre_Maintenance'!A:A,'CKadeaTelcoRegistre_Maintenance'!F:F,"Non repertorié")</f>
        <v>Huawei</v>
      </c>
    </row>
    <row r="152" spans="1:9" ht="20.5" customHeight="1" x14ac:dyDescent="0.35">
      <c r="A152" s="1">
        <v>45224.552777777775</v>
      </c>
      <c r="B152" s="5" t="s">
        <v>144</v>
      </c>
      <c r="C152">
        <v>60</v>
      </c>
      <c r="D152" t="s">
        <v>8</v>
      </c>
      <c r="E152" t="str">
        <f>_xlfn.XLOOKUP(CKadeaTelcoLogs_Reseau[[#This Row],[Cell_ID]],'CKadeaTelcoRegistre_Maintenance'!A:A,'CKadeaTelcoRegistre_Maintenance'!B:B,"Non repertorié")</f>
        <v>Tanganyika</v>
      </c>
      <c r="F152">
        <f>_xlfn.XLOOKUP(CKadeaTelcoLogs_Reseau[[#This Row],[Cell_ID]],'CKadeaTelcoRegistre_Maintenance'!A:A,'CKadeaTelcoRegistre_Maintenance'!C:C,"Non repertorié")</f>
        <v>-10.439686999999999</v>
      </c>
      <c r="G152">
        <f>_xlfn.XLOOKUP(CKadeaTelcoLogs_Reseau[[#This Row],[Cell_ID]],'CKadeaTelcoRegistre_Maintenance'!A:A,'CKadeaTelcoRegistre_Maintenance'!D:D,"Non repertorié")</f>
        <v>20.714210000000001</v>
      </c>
      <c r="H152" t="str">
        <f>_xlfn.XLOOKUP(CKadeaTelcoLogs_Reseau[[#This Row],[Cell_ID]],'CKadeaTelcoRegistre_Maintenance'!A:A,'CKadeaTelcoRegistre_Maintenance'!E:E,"Non repertorié")</f>
        <v>4G</v>
      </c>
      <c r="I152" t="str">
        <f>_xlfn.XLOOKUP(CKadeaTelcoLogs_Reseau[[#This Row],[Cell_ID]],'CKadeaTelcoRegistre_Maintenance'!A:A,'CKadeaTelcoRegistre_Maintenance'!F:F,"Non repertorié")</f>
        <v>ZTE</v>
      </c>
    </row>
    <row r="153" spans="1:9" ht="20.5" customHeight="1" x14ac:dyDescent="0.35">
      <c r="A153" s="1">
        <v>45226.104166666664</v>
      </c>
      <c r="B153" s="5" t="s">
        <v>145</v>
      </c>
      <c r="C153">
        <v>110</v>
      </c>
      <c r="D153" t="s">
        <v>8</v>
      </c>
      <c r="E153" t="str">
        <f>_xlfn.XLOOKUP(CKadeaTelcoLogs_Reseau[[#This Row],[Cell_ID]],'CKadeaTelcoRegistre_Maintenance'!A:A,'CKadeaTelcoRegistre_Maintenance'!B:B,"Non repertorié")</f>
        <v>Tshuapa</v>
      </c>
      <c r="F153">
        <f>_xlfn.XLOOKUP(CKadeaTelcoLogs_Reseau[[#This Row],[Cell_ID]],'CKadeaTelcoRegistre_Maintenance'!A:A,'CKadeaTelcoRegistre_Maintenance'!C:C,"Non repertorié")</f>
        <v>-2.3677800000000002</v>
      </c>
      <c r="G153">
        <f>_xlfn.XLOOKUP(CKadeaTelcoLogs_Reseau[[#This Row],[Cell_ID]],'CKadeaTelcoRegistre_Maintenance'!A:A,'CKadeaTelcoRegistre_Maintenance'!D:D,"Non repertorié")</f>
        <v>18.790323999999998</v>
      </c>
      <c r="H153" t="str">
        <f>_xlfn.XLOOKUP(CKadeaTelcoLogs_Reseau[[#This Row],[Cell_ID]],'CKadeaTelcoRegistre_Maintenance'!A:A,'CKadeaTelcoRegistre_Maintenance'!E:E,"Non repertorié")</f>
        <v>5G</v>
      </c>
      <c r="I153" t="str">
        <f>_xlfn.XLOOKUP(CKadeaTelcoLogs_Reseau[[#This Row],[Cell_ID]],'CKadeaTelcoRegistre_Maintenance'!A:A,'CKadeaTelcoRegistre_Maintenance'!F:F,"Non repertorié")</f>
        <v>Huawei</v>
      </c>
    </row>
    <row r="154" spans="1:9" ht="20.5" customHeight="1" x14ac:dyDescent="0.35">
      <c r="A154" s="1">
        <v>45200.981944444444</v>
      </c>
      <c r="B154" s="5" t="s">
        <v>39</v>
      </c>
      <c r="C154">
        <v>98</v>
      </c>
      <c r="D154" t="s">
        <v>5</v>
      </c>
      <c r="E154" t="str">
        <f>_xlfn.XLOOKUP(CKadeaTelcoLogs_Reseau[[#This Row],[Cell_ID]],'CKadeaTelcoRegistre_Maintenance'!A:A,'CKadeaTelcoRegistre_Maintenance'!B:B,"Non repertorié")</f>
        <v>Non repertorié</v>
      </c>
      <c r="F154" t="str">
        <f>_xlfn.XLOOKUP(CKadeaTelcoLogs_Reseau[[#This Row],[Cell_ID]],'CKadeaTelcoRegistre_Maintenance'!A:A,'CKadeaTelcoRegistre_Maintenance'!C:C,"Non repertorié")</f>
        <v>Non repertorié</v>
      </c>
      <c r="G154" t="str">
        <f>_xlfn.XLOOKUP(CKadeaTelcoLogs_Reseau[[#This Row],[Cell_ID]],'CKadeaTelcoRegistre_Maintenance'!A:A,'CKadeaTelcoRegistre_Maintenance'!D:D,"Non repertorié")</f>
        <v>Non repertorié</v>
      </c>
      <c r="H154" t="str">
        <f>_xlfn.XLOOKUP(CKadeaTelcoLogs_Reseau[[#This Row],[Cell_ID]],'CKadeaTelcoRegistre_Maintenance'!A:A,'CKadeaTelcoRegistre_Maintenance'!E:E,"Non repertorié")</f>
        <v>Non repertorié</v>
      </c>
      <c r="I154" t="str">
        <f>_xlfn.XLOOKUP(CKadeaTelcoLogs_Reseau[[#This Row],[Cell_ID]],'CKadeaTelcoRegistre_Maintenance'!A:A,'CKadeaTelcoRegistre_Maintenance'!F:F,"Non repertorié")</f>
        <v>Non repertorié</v>
      </c>
    </row>
    <row r="155" spans="1:9" ht="20.5" customHeight="1" x14ac:dyDescent="0.35">
      <c r="A155" s="1">
        <v>45201.468055555553</v>
      </c>
      <c r="B155" s="5" t="s">
        <v>146</v>
      </c>
      <c r="C155">
        <v>80</v>
      </c>
      <c r="D155" t="s">
        <v>5</v>
      </c>
      <c r="E155" t="str">
        <f>_xlfn.XLOOKUP(CKadeaTelcoLogs_Reseau[[#This Row],[Cell_ID]],'CKadeaTelcoRegistre_Maintenance'!A:A,'CKadeaTelcoRegistre_Maintenance'!B:B,"Non repertorié")</f>
        <v>Haut-Katanga</v>
      </c>
      <c r="F155">
        <f>_xlfn.XLOOKUP(CKadeaTelcoLogs_Reseau[[#This Row],[Cell_ID]],'CKadeaTelcoRegistre_Maintenance'!A:A,'CKadeaTelcoRegistre_Maintenance'!C:C,"Non repertorié")</f>
        <v>-3.3890790000000002</v>
      </c>
      <c r="G155">
        <f>_xlfn.XLOOKUP(CKadeaTelcoLogs_Reseau[[#This Row],[Cell_ID]],'CKadeaTelcoRegistre_Maintenance'!A:A,'CKadeaTelcoRegistre_Maintenance'!D:D,"Non repertorié")</f>
        <v>18.374571</v>
      </c>
      <c r="H155" t="str">
        <f>_xlfn.XLOOKUP(CKadeaTelcoLogs_Reseau[[#This Row],[Cell_ID]],'CKadeaTelcoRegistre_Maintenance'!A:A,'CKadeaTelcoRegistre_Maintenance'!E:E,"Non repertorié")</f>
        <v>5G</v>
      </c>
      <c r="I155" t="str">
        <f>_xlfn.XLOOKUP(CKadeaTelcoLogs_Reseau[[#This Row],[Cell_ID]],'CKadeaTelcoRegistre_Maintenance'!A:A,'CKadeaTelcoRegistre_Maintenance'!F:F,"Non repertorié")</f>
        <v>ZTE</v>
      </c>
    </row>
    <row r="156" spans="1:9" ht="20.5" customHeight="1" x14ac:dyDescent="0.35">
      <c r="A156" s="1">
        <v>45220.117361111108</v>
      </c>
      <c r="B156" s="5" t="s">
        <v>147</v>
      </c>
      <c r="C156">
        <v>39</v>
      </c>
      <c r="D156" t="s">
        <v>5</v>
      </c>
      <c r="E156" t="str">
        <f>_xlfn.XLOOKUP(CKadeaTelcoLogs_Reseau[[#This Row],[Cell_ID]],'CKadeaTelcoRegistre_Maintenance'!A:A,'CKadeaTelcoRegistre_Maintenance'!B:B,"Non repertorié")</f>
        <v>Non repertorié</v>
      </c>
      <c r="F156" t="str">
        <f>_xlfn.XLOOKUP(CKadeaTelcoLogs_Reseau[[#This Row],[Cell_ID]],'CKadeaTelcoRegistre_Maintenance'!A:A,'CKadeaTelcoRegistre_Maintenance'!C:C,"Non repertorié")</f>
        <v>Non repertorié</v>
      </c>
      <c r="G156" t="str">
        <f>_xlfn.XLOOKUP(CKadeaTelcoLogs_Reseau[[#This Row],[Cell_ID]],'CKadeaTelcoRegistre_Maintenance'!A:A,'CKadeaTelcoRegistre_Maintenance'!D:D,"Non repertorié")</f>
        <v>Non repertorié</v>
      </c>
      <c r="H156" t="str">
        <f>_xlfn.XLOOKUP(CKadeaTelcoLogs_Reseau[[#This Row],[Cell_ID]],'CKadeaTelcoRegistre_Maintenance'!A:A,'CKadeaTelcoRegistre_Maintenance'!E:E,"Non repertorié")</f>
        <v>Non repertorié</v>
      </c>
      <c r="I156" t="str">
        <f>_xlfn.XLOOKUP(CKadeaTelcoLogs_Reseau[[#This Row],[Cell_ID]],'CKadeaTelcoRegistre_Maintenance'!A:A,'CKadeaTelcoRegistre_Maintenance'!F:F,"Non repertorié")</f>
        <v>Non repertorié</v>
      </c>
    </row>
    <row r="157" spans="1:9" ht="20.5" customHeight="1" x14ac:dyDescent="0.35">
      <c r="A157" s="1">
        <v>45230.834722222222</v>
      </c>
      <c r="B157" s="5" t="s">
        <v>49</v>
      </c>
      <c r="C157">
        <v>46</v>
      </c>
      <c r="D157" t="s">
        <v>8</v>
      </c>
      <c r="E157" t="str">
        <f>_xlfn.XLOOKUP(CKadeaTelcoLogs_Reseau[[#This Row],[Cell_ID]],'CKadeaTelcoRegistre_Maintenance'!A:A,'CKadeaTelcoRegistre_Maintenance'!B:B,"Non repertorié")</f>
        <v>Non repertorié</v>
      </c>
      <c r="F157" t="str">
        <f>_xlfn.XLOOKUP(CKadeaTelcoLogs_Reseau[[#This Row],[Cell_ID]],'CKadeaTelcoRegistre_Maintenance'!A:A,'CKadeaTelcoRegistre_Maintenance'!C:C,"Non repertorié")</f>
        <v>Non repertorié</v>
      </c>
      <c r="G157" t="str">
        <f>_xlfn.XLOOKUP(CKadeaTelcoLogs_Reseau[[#This Row],[Cell_ID]],'CKadeaTelcoRegistre_Maintenance'!A:A,'CKadeaTelcoRegistre_Maintenance'!D:D,"Non repertorié")</f>
        <v>Non repertorié</v>
      </c>
      <c r="H157" t="str">
        <f>_xlfn.XLOOKUP(CKadeaTelcoLogs_Reseau[[#This Row],[Cell_ID]],'CKadeaTelcoRegistre_Maintenance'!A:A,'CKadeaTelcoRegistre_Maintenance'!E:E,"Non repertorié")</f>
        <v>Non repertorié</v>
      </c>
      <c r="I157" t="str">
        <f>_xlfn.XLOOKUP(CKadeaTelcoLogs_Reseau[[#This Row],[Cell_ID]],'CKadeaTelcoRegistre_Maintenance'!A:A,'CKadeaTelcoRegistre_Maintenance'!F:F,"Non repertorié")</f>
        <v>Non repertorié</v>
      </c>
    </row>
    <row r="158" spans="1:9" ht="20.5" customHeight="1" x14ac:dyDescent="0.35">
      <c r="A158" s="1">
        <v>45224.010416666664</v>
      </c>
      <c r="B158" s="5" t="s">
        <v>81</v>
      </c>
      <c r="C158">
        <v>114</v>
      </c>
      <c r="D158" t="s">
        <v>10</v>
      </c>
      <c r="E158" t="str">
        <f>_xlfn.XLOOKUP(CKadeaTelcoLogs_Reseau[[#This Row],[Cell_ID]],'CKadeaTelcoRegistre_Maintenance'!A:A,'CKadeaTelcoRegistre_Maintenance'!B:B,"Non repertorié")</f>
        <v>Kwango</v>
      </c>
      <c r="F158">
        <f>_xlfn.XLOOKUP(CKadeaTelcoLogs_Reseau[[#This Row],[Cell_ID]],'CKadeaTelcoRegistre_Maintenance'!A:A,'CKadeaTelcoRegistre_Maintenance'!C:C,"Non repertorié")</f>
        <v>-9.7712979999999998</v>
      </c>
      <c r="G158">
        <f>_xlfn.XLOOKUP(CKadeaTelcoLogs_Reseau[[#This Row],[Cell_ID]],'CKadeaTelcoRegistre_Maintenance'!A:A,'CKadeaTelcoRegistre_Maintenance'!D:D,"Non repertorié")</f>
        <v>19.827895999999999</v>
      </c>
      <c r="H158" t="str">
        <f>_xlfn.XLOOKUP(CKadeaTelcoLogs_Reseau[[#This Row],[Cell_ID]],'CKadeaTelcoRegistre_Maintenance'!A:A,'CKadeaTelcoRegistre_Maintenance'!E:E,"Non repertorié")</f>
        <v>3G</v>
      </c>
      <c r="I158" t="str">
        <f>_xlfn.XLOOKUP(CKadeaTelcoLogs_Reseau[[#This Row],[Cell_ID]],'CKadeaTelcoRegistre_Maintenance'!A:A,'CKadeaTelcoRegistre_Maintenance'!F:F,"Non repertorié")</f>
        <v>ZTE</v>
      </c>
    </row>
    <row r="159" spans="1:9" ht="20.5" customHeight="1" x14ac:dyDescent="0.35">
      <c r="A159" s="1">
        <v>45206.027083333334</v>
      </c>
      <c r="B159" s="5" t="s">
        <v>148</v>
      </c>
      <c r="C159">
        <v>36</v>
      </c>
      <c r="D159" t="s">
        <v>10</v>
      </c>
      <c r="E159" t="str">
        <f>_xlfn.XLOOKUP(CKadeaTelcoLogs_Reseau[[#This Row],[Cell_ID]],'CKadeaTelcoRegistre_Maintenance'!A:A,'CKadeaTelcoRegistre_Maintenance'!B:B,"Non repertorié")</f>
        <v>Kasai-Central</v>
      </c>
      <c r="F159">
        <f>_xlfn.XLOOKUP(CKadeaTelcoLogs_Reseau[[#This Row],[Cell_ID]],'CKadeaTelcoRegistre_Maintenance'!A:A,'CKadeaTelcoRegistre_Maintenance'!C:C,"Non repertorié")</f>
        <v>-3.111418</v>
      </c>
      <c r="G159">
        <f>_xlfn.XLOOKUP(CKadeaTelcoLogs_Reseau[[#This Row],[Cell_ID]],'CKadeaTelcoRegistre_Maintenance'!A:A,'CKadeaTelcoRegistre_Maintenance'!D:D,"Non repertorié")</f>
        <v>14.144854</v>
      </c>
      <c r="H159" t="str">
        <f>_xlfn.XLOOKUP(CKadeaTelcoLogs_Reseau[[#This Row],[Cell_ID]],'CKadeaTelcoRegistre_Maintenance'!A:A,'CKadeaTelcoRegistre_Maintenance'!E:E,"Non repertorié")</f>
        <v>4G</v>
      </c>
      <c r="I159" t="str">
        <f>_xlfn.XLOOKUP(CKadeaTelcoLogs_Reseau[[#This Row],[Cell_ID]],'CKadeaTelcoRegistre_Maintenance'!A:A,'CKadeaTelcoRegistre_Maintenance'!F:F,"Non repertorié")</f>
        <v>ZTE</v>
      </c>
    </row>
    <row r="160" spans="1:9" ht="20.5" customHeight="1" x14ac:dyDescent="0.35">
      <c r="A160" s="1">
        <v>45204.297222222223</v>
      </c>
      <c r="B160" s="5" t="s">
        <v>149</v>
      </c>
      <c r="C160">
        <v>111</v>
      </c>
      <c r="D160" t="s">
        <v>8</v>
      </c>
      <c r="E160" t="str">
        <f>_xlfn.XLOOKUP(CKadeaTelcoLogs_Reseau[[#This Row],[Cell_ID]],'CKadeaTelcoRegistre_Maintenance'!A:A,'CKadeaTelcoRegistre_Maintenance'!B:B,"Non repertorié")</f>
        <v>Nord-Ubangi</v>
      </c>
      <c r="F160">
        <f>_xlfn.XLOOKUP(CKadeaTelcoLogs_Reseau[[#This Row],[Cell_ID]],'CKadeaTelcoRegistre_Maintenance'!A:A,'CKadeaTelcoRegistre_Maintenance'!C:C,"Non repertorié")</f>
        <v>-1.342476</v>
      </c>
      <c r="G160">
        <f>_xlfn.XLOOKUP(CKadeaTelcoLogs_Reseau[[#This Row],[Cell_ID]],'CKadeaTelcoRegistre_Maintenance'!A:A,'CKadeaTelcoRegistre_Maintenance'!D:D,"Non repertorié")</f>
        <v>15.986086</v>
      </c>
      <c r="H160" t="str">
        <f>_xlfn.XLOOKUP(CKadeaTelcoLogs_Reseau[[#This Row],[Cell_ID]],'CKadeaTelcoRegistre_Maintenance'!A:A,'CKadeaTelcoRegistre_Maintenance'!E:E,"Non repertorié")</f>
        <v>4G</v>
      </c>
      <c r="I160" t="str">
        <f>_xlfn.XLOOKUP(CKadeaTelcoLogs_Reseau[[#This Row],[Cell_ID]],'CKadeaTelcoRegistre_Maintenance'!A:A,'CKadeaTelcoRegistre_Maintenance'!F:F,"Non repertorié")</f>
        <v>Ericsson</v>
      </c>
    </row>
    <row r="161" spans="1:9" ht="20.5" customHeight="1" x14ac:dyDescent="0.35">
      <c r="A161" s="1">
        <v>45215.879861111112</v>
      </c>
      <c r="B161" s="5" t="s">
        <v>150</v>
      </c>
      <c r="C161">
        <v>16</v>
      </c>
      <c r="D161" t="s">
        <v>8</v>
      </c>
      <c r="E161" t="str">
        <f>_xlfn.XLOOKUP(CKadeaTelcoLogs_Reseau[[#This Row],[Cell_ID]],'CKadeaTelcoRegistre_Maintenance'!A:A,'CKadeaTelcoRegistre_Maintenance'!B:B,"Non repertorié")</f>
        <v>Non repertorié</v>
      </c>
      <c r="F161" t="str">
        <f>_xlfn.XLOOKUP(CKadeaTelcoLogs_Reseau[[#This Row],[Cell_ID]],'CKadeaTelcoRegistre_Maintenance'!A:A,'CKadeaTelcoRegistre_Maintenance'!C:C,"Non repertorié")</f>
        <v>Non repertorié</v>
      </c>
      <c r="G161" t="str">
        <f>_xlfn.XLOOKUP(CKadeaTelcoLogs_Reseau[[#This Row],[Cell_ID]],'CKadeaTelcoRegistre_Maintenance'!A:A,'CKadeaTelcoRegistre_Maintenance'!D:D,"Non repertorié")</f>
        <v>Non repertorié</v>
      </c>
      <c r="H161" t="str">
        <f>_xlfn.XLOOKUP(CKadeaTelcoLogs_Reseau[[#This Row],[Cell_ID]],'CKadeaTelcoRegistre_Maintenance'!A:A,'CKadeaTelcoRegistre_Maintenance'!E:E,"Non repertorié")</f>
        <v>Non repertorié</v>
      </c>
      <c r="I161" t="str">
        <f>_xlfn.XLOOKUP(CKadeaTelcoLogs_Reseau[[#This Row],[Cell_ID]],'CKadeaTelcoRegistre_Maintenance'!A:A,'CKadeaTelcoRegistre_Maintenance'!F:F,"Non repertorié")</f>
        <v>Non repertorié</v>
      </c>
    </row>
    <row r="162" spans="1:9" ht="20.5" customHeight="1" x14ac:dyDescent="0.35">
      <c r="A162" s="1">
        <v>45218.270138888889</v>
      </c>
      <c r="B162" s="5" t="s">
        <v>151</v>
      </c>
      <c r="C162">
        <v>40</v>
      </c>
      <c r="D162" t="s">
        <v>8</v>
      </c>
      <c r="E162" t="str">
        <f>_xlfn.XLOOKUP(CKadeaTelcoLogs_Reseau[[#This Row],[Cell_ID]],'CKadeaTelcoRegistre_Maintenance'!A:A,'CKadeaTelcoRegistre_Maintenance'!B:B,"Non repertorié")</f>
        <v>Haut-Uele</v>
      </c>
      <c r="F162">
        <f>_xlfn.XLOOKUP(CKadeaTelcoLogs_Reseau[[#This Row],[Cell_ID]],'CKadeaTelcoRegistre_Maintenance'!A:A,'CKadeaTelcoRegistre_Maintenance'!C:C,"Non repertorié")</f>
        <v>-1.8045979999999999</v>
      </c>
      <c r="G162">
        <f>_xlfn.XLOOKUP(CKadeaTelcoLogs_Reseau[[#This Row],[Cell_ID]],'CKadeaTelcoRegistre_Maintenance'!A:A,'CKadeaTelcoRegistre_Maintenance'!D:D,"Non repertorié")</f>
        <v>12.511096999999999</v>
      </c>
      <c r="H162" t="str">
        <f>_xlfn.XLOOKUP(CKadeaTelcoLogs_Reseau[[#This Row],[Cell_ID]],'CKadeaTelcoRegistre_Maintenance'!A:A,'CKadeaTelcoRegistre_Maintenance'!E:E,"Non repertorié")</f>
        <v>3G</v>
      </c>
      <c r="I162" t="str">
        <f>_xlfn.XLOOKUP(CKadeaTelcoLogs_Reseau[[#This Row],[Cell_ID]],'CKadeaTelcoRegistre_Maintenance'!A:A,'CKadeaTelcoRegistre_Maintenance'!F:F,"Non repertorié")</f>
        <v>Huawei</v>
      </c>
    </row>
    <row r="163" spans="1:9" ht="20.5" customHeight="1" x14ac:dyDescent="0.35">
      <c r="A163" s="1">
        <v>45222.367361111108</v>
      </c>
      <c r="B163" s="5" t="s">
        <v>152</v>
      </c>
      <c r="C163">
        <v>117</v>
      </c>
      <c r="D163" t="s">
        <v>8</v>
      </c>
      <c r="E163" t="str">
        <f>_xlfn.XLOOKUP(CKadeaTelcoLogs_Reseau[[#This Row],[Cell_ID]],'CKadeaTelcoRegistre_Maintenance'!A:A,'CKadeaTelcoRegistre_Maintenance'!B:B,"Non repertorié")</f>
        <v>Non repertorié</v>
      </c>
      <c r="F163" t="str">
        <f>_xlfn.XLOOKUP(CKadeaTelcoLogs_Reseau[[#This Row],[Cell_ID]],'CKadeaTelcoRegistre_Maintenance'!A:A,'CKadeaTelcoRegistre_Maintenance'!C:C,"Non repertorié")</f>
        <v>Non repertorié</v>
      </c>
      <c r="G163" t="str">
        <f>_xlfn.XLOOKUP(CKadeaTelcoLogs_Reseau[[#This Row],[Cell_ID]],'CKadeaTelcoRegistre_Maintenance'!A:A,'CKadeaTelcoRegistre_Maintenance'!D:D,"Non repertorié")</f>
        <v>Non repertorié</v>
      </c>
      <c r="H163" t="str">
        <f>_xlfn.XLOOKUP(CKadeaTelcoLogs_Reseau[[#This Row],[Cell_ID]],'CKadeaTelcoRegistre_Maintenance'!A:A,'CKadeaTelcoRegistre_Maintenance'!E:E,"Non repertorié")</f>
        <v>Non repertorié</v>
      </c>
      <c r="I163" t="str">
        <f>_xlfn.XLOOKUP(CKadeaTelcoLogs_Reseau[[#This Row],[Cell_ID]],'CKadeaTelcoRegistre_Maintenance'!A:A,'CKadeaTelcoRegistre_Maintenance'!F:F,"Non repertorié")</f>
        <v>Non repertorié</v>
      </c>
    </row>
    <row r="164" spans="1:9" ht="20.5" customHeight="1" x14ac:dyDescent="0.35">
      <c r="A164" s="1">
        <v>45211.234722222223</v>
      </c>
      <c r="B164" s="5" t="s">
        <v>153</v>
      </c>
      <c r="C164">
        <v>62</v>
      </c>
      <c r="D164" t="s">
        <v>10</v>
      </c>
      <c r="E164" t="str">
        <f>_xlfn.XLOOKUP(CKadeaTelcoLogs_Reseau[[#This Row],[Cell_ID]],'CKadeaTelcoRegistre_Maintenance'!A:A,'CKadeaTelcoRegistre_Maintenance'!B:B,"Non repertorié")</f>
        <v>Nord-Kivu</v>
      </c>
      <c r="F164">
        <f>_xlfn.XLOOKUP(CKadeaTelcoLogs_Reseau[[#This Row],[Cell_ID]],'CKadeaTelcoRegistre_Maintenance'!A:A,'CKadeaTelcoRegistre_Maintenance'!C:C,"Non repertorié")</f>
        <v>-2.3102109999999998</v>
      </c>
      <c r="G164">
        <f>_xlfn.XLOOKUP(CKadeaTelcoLogs_Reseau[[#This Row],[Cell_ID]],'CKadeaTelcoRegistre_Maintenance'!A:A,'CKadeaTelcoRegistre_Maintenance'!D:D,"Non repertorié")</f>
        <v>12.362488000000001</v>
      </c>
      <c r="H164" t="str">
        <f>_xlfn.XLOOKUP(CKadeaTelcoLogs_Reseau[[#This Row],[Cell_ID]],'CKadeaTelcoRegistre_Maintenance'!A:A,'CKadeaTelcoRegistre_Maintenance'!E:E,"Non repertorié")</f>
        <v>5G</v>
      </c>
      <c r="I164" t="str">
        <f>_xlfn.XLOOKUP(CKadeaTelcoLogs_Reseau[[#This Row],[Cell_ID]],'CKadeaTelcoRegistre_Maintenance'!A:A,'CKadeaTelcoRegistre_Maintenance'!F:F,"Non repertorié")</f>
        <v>Nokia</v>
      </c>
    </row>
    <row r="165" spans="1:9" ht="20.5" customHeight="1" x14ac:dyDescent="0.35">
      <c r="A165" s="1">
        <v>45219.989583333336</v>
      </c>
      <c r="B165" s="5" t="s">
        <v>154</v>
      </c>
      <c r="C165">
        <v>36</v>
      </c>
      <c r="D165" t="s">
        <v>5</v>
      </c>
      <c r="E165" t="str">
        <f>_xlfn.XLOOKUP(CKadeaTelcoLogs_Reseau[[#This Row],[Cell_ID]],'CKadeaTelcoRegistre_Maintenance'!A:A,'CKadeaTelcoRegistre_Maintenance'!B:B,"Non repertorié")</f>
        <v>Non repertorié</v>
      </c>
      <c r="F165" t="str">
        <f>_xlfn.XLOOKUP(CKadeaTelcoLogs_Reseau[[#This Row],[Cell_ID]],'CKadeaTelcoRegistre_Maintenance'!A:A,'CKadeaTelcoRegistre_Maintenance'!C:C,"Non repertorié")</f>
        <v>Non repertorié</v>
      </c>
      <c r="G165" t="str">
        <f>_xlfn.XLOOKUP(CKadeaTelcoLogs_Reseau[[#This Row],[Cell_ID]],'CKadeaTelcoRegistre_Maintenance'!A:A,'CKadeaTelcoRegistre_Maintenance'!D:D,"Non repertorié")</f>
        <v>Non repertorié</v>
      </c>
      <c r="H165" t="str">
        <f>_xlfn.XLOOKUP(CKadeaTelcoLogs_Reseau[[#This Row],[Cell_ID]],'CKadeaTelcoRegistre_Maintenance'!A:A,'CKadeaTelcoRegistre_Maintenance'!E:E,"Non repertorié")</f>
        <v>Non repertorié</v>
      </c>
      <c r="I165" t="str">
        <f>_xlfn.XLOOKUP(CKadeaTelcoLogs_Reseau[[#This Row],[Cell_ID]],'CKadeaTelcoRegistre_Maintenance'!A:A,'CKadeaTelcoRegistre_Maintenance'!F:F,"Non repertorié")</f>
        <v>Non repertorié</v>
      </c>
    </row>
    <row r="166" spans="1:9" ht="20.5" customHeight="1" x14ac:dyDescent="0.35">
      <c r="A166" s="1">
        <v>45203.22152777778</v>
      </c>
      <c r="B166" s="5" t="s">
        <v>155</v>
      </c>
      <c r="C166">
        <v>101</v>
      </c>
      <c r="D166" t="s">
        <v>5</v>
      </c>
      <c r="E166" t="str">
        <f>_xlfn.XLOOKUP(CKadeaTelcoLogs_Reseau[[#This Row],[Cell_ID]],'CKadeaTelcoRegistre_Maintenance'!A:A,'CKadeaTelcoRegistre_Maintenance'!B:B,"Non repertorié")</f>
        <v>Tshopo</v>
      </c>
      <c r="F166">
        <f>_xlfn.XLOOKUP(CKadeaTelcoLogs_Reseau[[#This Row],[Cell_ID]],'CKadeaTelcoRegistre_Maintenance'!A:A,'CKadeaTelcoRegistre_Maintenance'!C:C,"Non repertorié")</f>
        <v>3.0603760000000002</v>
      </c>
      <c r="G166">
        <f>_xlfn.XLOOKUP(CKadeaTelcoLogs_Reseau[[#This Row],[Cell_ID]],'CKadeaTelcoRegistre_Maintenance'!A:A,'CKadeaTelcoRegistre_Maintenance'!D:D,"Non repertorié")</f>
        <v>19.708034000000001</v>
      </c>
      <c r="H166" t="str">
        <f>_xlfn.XLOOKUP(CKadeaTelcoLogs_Reseau[[#This Row],[Cell_ID]],'CKadeaTelcoRegistre_Maintenance'!A:A,'CKadeaTelcoRegistre_Maintenance'!E:E,"Non repertorié")</f>
        <v>3G</v>
      </c>
      <c r="I166" t="str">
        <f>_xlfn.XLOOKUP(CKadeaTelcoLogs_Reseau[[#This Row],[Cell_ID]],'CKadeaTelcoRegistre_Maintenance'!A:A,'CKadeaTelcoRegistre_Maintenance'!F:F,"Non repertorié")</f>
        <v>ZTE</v>
      </c>
    </row>
    <row r="167" spans="1:9" ht="20.5" customHeight="1" x14ac:dyDescent="0.35">
      <c r="A167" s="1">
        <v>45203.750694444447</v>
      </c>
      <c r="B167" s="5" t="s">
        <v>156</v>
      </c>
      <c r="C167">
        <v>64</v>
      </c>
      <c r="D167" t="s">
        <v>10</v>
      </c>
      <c r="E167" t="str">
        <f>_xlfn.XLOOKUP(CKadeaTelcoLogs_Reseau[[#This Row],[Cell_ID]],'CKadeaTelcoRegistre_Maintenance'!A:A,'CKadeaTelcoRegistre_Maintenance'!B:B,"Non repertorié")</f>
        <v>Maniema</v>
      </c>
      <c r="F167">
        <f>_xlfn.XLOOKUP(CKadeaTelcoLogs_Reseau[[#This Row],[Cell_ID]],'CKadeaTelcoRegistre_Maintenance'!A:A,'CKadeaTelcoRegistre_Maintenance'!C:C,"Non repertorié")</f>
        <v>-4.6818410000000004</v>
      </c>
      <c r="G167">
        <f>_xlfn.XLOOKUP(CKadeaTelcoLogs_Reseau[[#This Row],[Cell_ID]],'CKadeaTelcoRegistre_Maintenance'!A:A,'CKadeaTelcoRegistre_Maintenance'!D:D,"Non repertorié")</f>
        <v>17.541618</v>
      </c>
      <c r="H167" t="str">
        <f>_xlfn.XLOOKUP(CKadeaTelcoLogs_Reseau[[#This Row],[Cell_ID]],'CKadeaTelcoRegistre_Maintenance'!A:A,'CKadeaTelcoRegistre_Maintenance'!E:E,"Non repertorié")</f>
        <v>4G</v>
      </c>
      <c r="I167" t="str">
        <f>_xlfn.XLOOKUP(CKadeaTelcoLogs_Reseau[[#This Row],[Cell_ID]],'CKadeaTelcoRegistre_Maintenance'!A:A,'CKadeaTelcoRegistre_Maintenance'!F:F,"Non repertorié")</f>
        <v>Ericsson</v>
      </c>
    </row>
    <row r="168" spans="1:9" ht="20.5" customHeight="1" x14ac:dyDescent="0.35">
      <c r="A168" s="1">
        <v>45229.4</v>
      </c>
      <c r="B168" s="5" t="s">
        <v>157</v>
      </c>
      <c r="C168">
        <v>77</v>
      </c>
      <c r="D168" t="s">
        <v>5</v>
      </c>
      <c r="E168" t="str">
        <f>_xlfn.XLOOKUP(CKadeaTelcoLogs_Reseau[[#This Row],[Cell_ID]],'CKadeaTelcoRegistre_Maintenance'!A:A,'CKadeaTelcoRegistre_Maintenance'!B:B,"Non repertorié")</f>
        <v>Non repertorié</v>
      </c>
      <c r="F168" t="str">
        <f>_xlfn.XLOOKUP(CKadeaTelcoLogs_Reseau[[#This Row],[Cell_ID]],'CKadeaTelcoRegistre_Maintenance'!A:A,'CKadeaTelcoRegistre_Maintenance'!C:C,"Non repertorié")</f>
        <v>Non repertorié</v>
      </c>
      <c r="G168" t="str">
        <f>_xlfn.XLOOKUP(CKadeaTelcoLogs_Reseau[[#This Row],[Cell_ID]],'CKadeaTelcoRegistre_Maintenance'!A:A,'CKadeaTelcoRegistre_Maintenance'!D:D,"Non repertorié")</f>
        <v>Non repertorié</v>
      </c>
      <c r="H168" t="str">
        <f>_xlfn.XLOOKUP(CKadeaTelcoLogs_Reseau[[#This Row],[Cell_ID]],'CKadeaTelcoRegistre_Maintenance'!A:A,'CKadeaTelcoRegistre_Maintenance'!E:E,"Non repertorié")</f>
        <v>Non repertorié</v>
      </c>
      <c r="I168" t="str">
        <f>_xlfn.XLOOKUP(CKadeaTelcoLogs_Reseau[[#This Row],[Cell_ID]],'CKadeaTelcoRegistre_Maintenance'!A:A,'CKadeaTelcoRegistre_Maintenance'!F:F,"Non repertorié")</f>
        <v>Non repertorié</v>
      </c>
    </row>
    <row r="169" spans="1:9" ht="20.5" customHeight="1" x14ac:dyDescent="0.35">
      <c r="A169" s="1">
        <v>45221.517361111109</v>
      </c>
      <c r="B169" s="5" t="s">
        <v>158</v>
      </c>
      <c r="C169">
        <v>83</v>
      </c>
      <c r="D169" t="s">
        <v>10</v>
      </c>
      <c r="E169" t="str">
        <f>_xlfn.XLOOKUP(CKadeaTelcoLogs_Reseau[[#This Row],[Cell_ID]],'CKadeaTelcoRegistre_Maintenance'!A:A,'CKadeaTelcoRegistre_Maintenance'!B:B,"Non repertorié")</f>
        <v>Sud-Kivu</v>
      </c>
      <c r="F169">
        <f>_xlfn.XLOOKUP(CKadeaTelcoLogs_Reseau[[#This Row],[Cell_ID]],'CKadeaTelcoRegistre_Maintenance'!A:A,'CKadeaTelcoRegistre_Maintenance'!C:C,"Non repertorié")</f>
        <v>-2.9651529999999999</v>
      </c>
      <c r="G169">
        <f>_xlfn.XLOOKUP(CKadeaTelcoLogs_Reseau[[#This Row],[Cell_ID]],'CKadeaTelcoRegistre_Maintenance'!A:A,'CKadeaTelcoRegistre_Maintenance'!D:D,"Non repertorié")</f>
        <v>29.79908</v>
      </c>
      <c r="H169" t="str">
        <f>_xlfn.XLOOKUP(CKadeaTelcoLogs_Reseau[[#This Row],[Cell_ID]],'CKadeaTelcoRegistre_Maintenance'!A:A,'CKadeaTelcoRegistre_Maintenance'!E:E,"Non repertorié")</f>
        <v>4G</v>
      </c>
      <c r="I169" t="str">
        <f>_xlfn.XLOOKUP(CKadeaTelcoLogs_Reseau[[#This Row],[Cell_ID]],'CKadeaTelcoRegistre_Maintenance'!A:A,'CKadeaTelcoRegistre_Maintenance'!F:F,"Non repertorié")</f>
        <v>Ericsson</v>
      </c>
    </row>
    <row r="170" spans="1:9" ht="20.5" customHeight="1" x14ac:dyDescent="0.35">
      <c r="A170" s="1">
        <v>45230.925000000003</v>
      </c>
      <c r="B170" s="5" t="s">
        <v>159</v>
      </c>
      <c r="C170">
        <v>90</v>
      </c>
      <c r="D170" t="s">
        <v>5</v>
      </c>
      <c r="E170" t="str">
        <f>_xlfn.XLOOKUP(CKadeaTelcoLogs_Reseau[[#This Row],[Cell_ID]],'CKadeaTelcoRegistre_Maintenance'!A:A,'CKadeaTelcoRegistre_Maintenance'!B:B,"Non repertorié")</f>
        <v>Non repertorié</v>
      </c>
      <c r="F170" t="str">
        <f>_xlfn.XLOOKUP(CKadeaTelcoLogs_Reseau[[#This Row],[Cell_ID]],'CKadeaTelcoRegistre_Maintenance'!A:A,'CKadeaTelcoRegistre_Maintenance'!C:C,"Non repertorié")</f>
        <v>Non repertorié</v>
      </c>
      <c r="G170" t="str">
        <f>_xlfn.XLOOKUP(CKadeaTelcoLogs_Reseau[[#This Row],[Cell_ID]],'CKadeaTelcoRegistre_Maintenance'!A:A,'CKadeaTelcoRegistre_Maintenance'!D:D,"Non repertorié")</f>
        <v>Non repertorié</v>
      </c>
      <c r="H170" t="str">
        <f>_xlfn.XLOOKUP(CKadeaTelcoLogs_Reseau[[#This Row],[Cell_ID]],'CKadeaTelcoRegistre_Maintenance'!A:A,'CKadeaTelcoRegistre_Maintenance'!E:E,"Non repertorié")</f>
        <v>Non repertorié</v>
      </c>
      <c r="I170" t="str">
        <f>_xlfn.XLOOKUP(CKadeaTelcoLogs_Reseau[[#This Row],[Cell_ID]],'CKadeaTelcoRegistre_Maintenance'!A:A,'CKadeaTelcoRegistre_Maintenance'!F:F,"Non repertorié")</f>
        <v>Non repertorié</v>
      </c>
    </row>
    <row r="171" spans="1:9" ht="20.5" customHeight="1" x14ac:dyDescent="0.35">
      <c r="A171" s="1">
        <v>45202.780555555553</v>
      </c>
      <c r="B171" s="5" t="s">
        <v>160</v>
      </c>
      <c r="C171">
        <v>53</v>
      </c>
      <c r="D171" t="s">
        <v>10</v>
      </c>
      <c r="E171" t="str">
        <f>_xlfn.XLOOKUP(CKadeaTelcoLogs_Reseau[[#This Row],[Cell_ID]],'CKadeaTelcoRegistre_Maintenance'!A:A,'CKadeaTelcoRegistre_Maintenance'!B:B,"Non repertorié")</f>
        <v>Maniema</v>
      </c>
      <c r="F171">
        <f>_xlfn.XLOOKUP(CKadeaTelcoLogs_Reseau[[#This Row],[Cell_ID]],'CKadeaTelcoRegistre_Maintenance'!A:A,'CKadeaTelcoRegistre_Maintenance'!C:C,"Non repertorié")</f>
        <v>-2.3743210000000001</v>
      </c>
      <c r="G171">
        <f>_xlfn.XLOOKUP(CKadeaTelcoLogs_Reseau[[#This Row],[Cell_ID]],'CKadeaTelcoRegistre_Maintenance'!A:A,'CKadeaTelcoRegistre_Maintenance'!D:D,"Non repertorié")</f>
        <v>22.399491000000001</v>
      </c>
      <c r="H171" t="str">
        <f>_xlfn.XLOOKUP(CKadeaTelcoLogs_Reseau[[#This Row],[Cell_ID]],'CKadeaTelcoRegistre_Maintenance'!A:A,'CKadeaTelcoRegistre_Maintenance'!E:E,"Non repertorié")</f>
        <v>5G</v>
      </c>
      <c r="I171" t="str">
        <f>_xlfn.XLOOKUP(CKadeaTelcoLogs_Reseau[[#This Row],[Cell_ID]],'CKadeaTelcoRegistre_Maintenance'!A:A,'CKadeaTelcoRegistre_Maintenance'!F:F,"Non repertorié")</f>
        <v>Ericsson</v>
      </c>
    </row>
    <row r="172" spans="1:9" ht="20.5" customHeight="1" x14ac:dyDescent="0.35">
      <c r="A172" s="1">
        <v>45226.84375</v>
      </c>
      <c r="B172" s="5" t="s">
        <v>161</v>
      </c>
      <c r="C172">
        <v>48</v>
      </c>
      <c r="D172" t="s">
        <v>5</v>
      </c>
      <c r="E172" t="str">
        <f>_xlfn.XLOOKUP(CKadeaTelcoLogs_Reseau[[#This Row],[Cell_ID]],'CKadeaTelcoRegistre_Maintenance'!A:A,'CKadeaTelcoRegistre_Maintenance'!B:B,"Non repertorié")</f>
        <v>Non repertorié</v>
      </c>
      <c r="F172" t="str">
        <f>_xlfn.XLOOKUP(CKadeaTelcoLogs_Reseau[[#This Row],[Cell_ID]],'CKadeaTelcoRegistre_Maintenance'!A:A,'CKadeaTelcoRegistre_Maintenance'!C:C,"Non repertorié")</f>
        <v>Non repertorié</v>
      </c>
      <c r="G172" t="str">
        <f>_xlfn.XLOOKUP(CKadeaTelcoLogs_Reseau[[#This Row],[Cell_ID]],'CKadeaTelcoRegistre_Maintenance'!A:A,'CKadeaTelcoRegistre_Maintenance'!D:D,"Non repertorié")</f>
        <v>Non repertorié</v>
      </c>
      <c r="H172" t="str">
        <f>_xlfn.XLOOKUP(CKadeaTelcoLogs_Reseau[[#This Row],[Cell_ID]],'CKadeaTelcoRegistre_Maintenance'!A:A,'CKadeaTelcoRegistre_Maintenance'!E:E,"Non repertorié")</f>
        <v>Non repertorié</v>
      </c>
      <c r="I172" t="str">
        <f>_xlfn.XLOOKUP(CKadeaTelcoLogs_Reseau[[#This Row],[Cell_ID]],'CKadeaTelcoRegistre_Maintenance'!A:A,'CKadeaTelcoRegistre_Maintenance'!F:F,"Non repertorié")</f>
        <v>Non repertorié</v>
      </c>
    </row>
    <row r="173" spans="1:9" ht="20.5" customHeight="1" x14ac:dyDescent="0.35">
      <c r="A173" s="1">
        <v>45203.950694444444</v>
      </c>
      <c r="B173" s="5" t="s">
        <v>162</v>
      </c>
      <c r="C173">
        <v>8</v>
      </c>
      <c r="D173" t="s">
        <v>8</v>
      </c>
      <c r="E173" t="str">
        <f>_xlfn.XLOOKUP(CKadeaTelcoLogs_Reseau[[#This Row],[Cell_ID]],'CKadeaTelcoRegistre_Maintenance'!A:A,'CKadeaTelcoRegistre_Maintenance'!B:B,"Non repertorié")</f>
        <v>Tshuapa</v>
      </c>
      <c r="F173">
        <f>_xlfn.XLOOKUP(CKadeaTelcoLogs_Reseau[[#This Row],[Cell_ID]],'CKadeaTelcoRegistre_Maintenance'!A:A,'CKadeaTelcoRegistre_Maintenance'!C:C,"Non repertorié")</f>
        <v>-0.79406600000000005</v>
      </c>
      <c r="G173">
        <f>_xlfn.XLOOKUP(CKadeaTelcoLogs_Reseau[[#This Row],[Cell_ID]],'CKadeaTelcoRegistre_Maintenance'!A:A,'CKadeaTelcoRegistre_Maintenance'!D:D,"Non repertorié")</f>
        <v>12.534793000000001</v>
      </c>
      <c r="H173" t="str">
        <f>_xlfn.XLOOKUP(CKadeaTelcoLogs_Reseau[[#This Row],[Cell_ID]],'CKadeaTelcoRegistre_Maintenance'!A:A,'CKadeaTelcoRegistre_Maintenance'!E:E,"Non repertorié")</f>
        <v>3G</v>
      </c>
      <c r="I173" t="str">
        <f>_xlfn.XLOOKUP(CKadeaTelcoLogs_Reseau[[#This Row],[Cell_ID]],'CKadeaTelcoRegistre_Maintenance'!A:A,'CKadeaTelcoRegistre_Maintenance'!F:F,"Non repertorié")</f>
        <v>Huawei</v>
      </c>
    </row>
    <row r="174" spans="1:9" ht="20.5" customHeight="1" x14ac:dyDescent="0.35">
      <c r="A174" s="1">
        <v>45209.901388888888</v>
      </c>
      <c r="B174" s="5" t="s">
        <v>163</v>
      </c>
      <c r="C174">
        <v>68</v>
      </c>
      <c r="D174" t="s">
        <v>8</v>
      </c>
      <c r="E174" t="str">
        <f>_xlfn.XLOOKUP(CKadeaTelcoLogs_Reseau[[#This Row],[Cell_ID]],'CKadeaTelcoRegistre_Maintenance'!A:A,'CKadeaTelcoRegistre_Maintenance'!B:B,"Non repertorié")</f>
        <v>Sud-Ubangi</v>
      </c>
      <c r="F174">
        <f>_xlfn.XLOOKUP(CKadeaTelcoLogs_Reseau[[#This Row],[Cell_ID]],'CKadeaTelcoRegistre_Maintenance'!A:A,'CKadeaTelcoRegistre_Maintenance'!C:C,"Non repertorié")</f>
        <v>-8.3241560000000003</v>
      </c>
      <c r="G174">
        <f>_xlfn.XLOOKUP(CKadeaTelcoLogs_Reseau[[#This Row],[Cell_ID]],'CKadeaTelcoRegistre_Maintenance'!A:A,'CKadeaTelcoRegistre_Maintenance'!D:D,"Non repertorié")</f>
        <v>19.543866000000001</v>
      </c>
      <c r="H174" t="str">
        <f>_xlfn.XLOOKUP(CKadeaTelcoLogs_Reseau[[#This Row],[Cell_ID]],'CKadeaTelcoRegistre_Maintenance'!A:A,'CKadeaTelcoRegistre_Maintenance'!E:E,"Non repertorié")</f>
        <v>4G</v>
      </c>
      <c r="I174" t="str">
        <f>_xlfn.XLOOKUP(CKadeaTelcoLogs_Reseau[[#This Row],[Cell_ID]],'CKadeaTelcoRegistre_Maintenance'!A:A,'CKadeaTelcoRegistre_Maintenance'!F:F,"Non repertorié")</f>
        <v>ZTE</v>
      </c>
    </row>
    <row r="175" spans="1:9" ht="20.5" customHeight="1" x14ac:dyDescent="0.35">
      <c r="A175" s="1">
        <v>45225.159722222219</v>
      </c>
      <c r="B175" s="5" t="s">
        <v>164</v>
      </c>
      <c r="C175">
        <v>113</v>
      </c>
      <c r="D175" t="s">
        <v>5</v>
      </c>
      <c r="E175" t="str">
        <f>_xlfn.XLOOKUP(CKadeaTelcoLogs_Reseau[[#This Row],[Cell_ID]],'CKadeaTelcoRegistre_Maintenance'!A:A,'CKadeaTelcoRegistre_Maintenance'!B:B,"Non repertorié")</f>
        <v>Non repertorié</v>
      </c>
      <c r="F175" t="str">
        <f>_xlfn.XLOOKUP(CKadeaTelcoLogs_Reseau[[#This Row],[Cell_ID]],'CKadeaTelcoRegistre_Maintenance'!A:A,'CKadeaTelcoRegistre_Maintenance'!C:C,"Non repertorié")</f>
        <v>Non repertorié</v>
      </c>
      <c r="G175" t="str">
        <f>_xlfn.XLOOKUP(CKadeaTelcoLogs_Reseau[[#This Row],[Cell_ID]],'CKadeaTelcoRegistre_Maintenance'!A:A,'CKadeaTelcoRegistre_Maintenance'!D:D,"Non repertorié")</f>
        <v>Non repertorié</v>
      </c>
      <c r="H175" t="str">
        <f>_xlfn.XLOOKUP(CKadeaTelcoLogs_Reseau[[#This Row],[Cell_ID]],'CKadeaTelcoRegistre_Maintenance'!A:A,'CKadeaTelcoRegistre_Maintenance'!E:E,"Non repertorié")</f>
        <v>Non repertorié</v>
      </c>
      <c r="I175" t="str">
        <f>_xlfn.XLOOKUP(CKadeaTelcoLogs_Reseau[[#This Row],[Cell_ID]],'CKadeaTelcoRegistre_Maintenance'!A:A,'CKadeaTelcoRegistre_Maintenance'!F:F,"Non repertorié")</f>
        <v>Non repertorié</v>
      </c>
    </row>
    <row r="176" spans="1:9" ht="20.5" customHeight="1" x14ac:dyDescent="0.35">
      <c r="A176" s="1">
        <v>45218.056944444441</v>
      </c>
      <c r="B176" s="5" t="s">
        <v>165</v>
      </c>
      <c r="C176">
        <v>46</v>
      </c>
      <c r="D176" t="s">
        <v>10</v>
      </c>
      <c r="E176" t="str">
        <f>_xlfn.XLOOKUP(CKadeaTelcoLogs_Reseau[[#This Row],[Cell_ID]],'CKadeaTelcoRegistre_Maintenance'!A:A,'CKadeaTelcoRegistre_Maintenance'!B:B,"Non repertorié")</f>
        <v>Non repertorié</v>
      </c>
      <c r="F176" t="str">
        <f>_xlfn.XLOOKUP(CKadeaTelcoLogs_Reseau[[#This Row],[Cell_ID]],'CKadeaTelcoRegistre_Maintenance'!A:A,'CKadeaTelcoRegistre_Maintenance'!C:C,"Non repertorié")</f>
        <v>Non repertorié</v>
      </c>
      <c r="G176" t="str">
        <f>_xlfn.XLOOKUP(CKadeaTelcoLogs_Reseau[[#This Row],[Cell_ID]],'CKadeaTelcoRegistre_Maintenance'!A:A,'CKadeaTelcoRegistre_Maintenance'!D:D,"Non repertorié")</f>
        <v>Non repertorié</v>
      </c>
      <c r="H176" t="str">
        <f>_xlfn.XLOOKUP(CKadeaTelcoLogs_Reseau[[#This Row],[Cell_ID]],'CKadeaTelcoRegistre_Maintenance'!A:A,'CKadeaTelcoRegistre_Maintenance'!E:E,"Non repertorié")</f>
        <v>Non repertorié</v>
      </c>
      <c r="I176" t="str">
        <f>_xlfn.XLOOKUP(CKadeaTelcoLogs_Reseau[[#This Row],[Cell_ID]],'CKadeaTelcoRegistre_Maintenance'!A:A,'CKadeaTelcoRegistre_Maintenance'!F:F,"Non repertorié")</f>
        <v>Non repertorié</v>
      </c>
    </row>
    <row r="177" spans="1:9" ht="20.5" customHeight="1" x14ac:dyDescent="0.35">
      <c r="A177" s="1">
        <v>45217.570833333331</v>
      </c>
      <c r="B177" s="5" t="s">
        <v>166</v>
      </c>
      <c r="C177">
        <v>28</v>
      </c>
      <c r="D177" t="s">
        <v>5</v>
      </c>
      <c r="E177" t="str">
        <f>_xlfn.XLOOKUP(CKadeaTelcoLogs_Reseau[[#This Row],[Cell_ID]],'CKadeaTelcoRegistre_Maintenance'!A:A,'CKadeaTelcoRegistre_Maintenance'!B:B,"Non repertorié")</f>
        <v>Non repertorié</v>
      </c>
      <c r="F177" t="str">
        <f>_xlfn.XLOOKUP(CKadeaTelcoLogs_Reseau[[#This Row],[Cell_ID]],'CKadeaTelcoRegistre_Maintenance'!A:A,'CKadeaTelcoRegistre_Maintenance'!C:C,"Non repertorié")</f>
        <v>Non repertorié</v>
      </c>
      <c r="G177" t="str">
        <f>_xlfn.XLOOKUP(CKadeaTelcoLogs_Reseau[[#This Row],[Cell_ID]],'CKadeaTelcoRegistre_Maintenance'!A:A,'CKadeaTelcoRegistre_Maintenance'!D:D,"Non repertorié")</f>
        <v>Non repertorié</v>
      </c>
      <c r="H177" t="str">
        <f>_xlfn.XLOOKUP(CKadeaTelcoLogs_Reseau[[#This Row],[Cell_ID]],'CKadeaTelcoRegistre_Maintenance'!A:A,'CKadeaTelcoRegistre_Maintenance'!E:E,"Non repertorié")</f>
        <v>Non repertorié</v>
      </c>
      <c r="I177" t="str">
        <f>_xlfn.XLOOKUP(CKadeaTelcoLogs_Reseau[[#This Row],[Cell_ID]],'CKadeaTelcoRegistre_Maintenance'!A:A,'CKadeaTelcoRegistre_Maintenance'!F:F,"Non repertorié")</f>
        <v>Non repertorié</v>
      </c>
    </row>
    <row r="178" spans="1:9" ht="20.5" customHeight="1" x14ac:dyDescent="0.35">
      <c r="A178" s="1">
        <v>45211.105555555558</v>
      </c>
      <c r="B178" s="5" t="s">
        <v>34</v>
      </c>
      <c r="C178">
        <v>67</v>
      </c>
      <c r="D178" t="s">
        <v>5</v>
      </c>
      <c r="E178" t="str">
        <f>_xlfn.XLOOKUP(CKadeaTelcoLogs_Reseau[[#This Row],[Cell_ID]],'CKadeaTelcoRegistre_Maintenance'!A:A,'CKadeaTelcoRegistre_Maintenance'!B:B,"Non repertorié")</f>
        <v>Non repertorié</v>
      </c>
      <c r="F178" t="str">
        <f>_xlfn.XLOOKUP(CKadeaTelcoLogs_Reseau[[#This Row],[Cell_ID]],'CKadeaTelcoRegistre_Maintenance'!A:A,'CKadeaTelcoRegistre_Maintenance'!C:C,"Non repertorié")</f>
        <v>Non repertorié</v>
      </c>
      <c r="G178" t="str">
        <f>_xlfn.XLOOKUP(CKadeaTelcoLogs_Reseau[[#This Row],[Cell_ID]],'CKadeaTelcoRegistre_Maintenance'!A:A,'CKadeaTelcoRegistre_Maintenance'!D:D,"Non repertorié")</f>
        <v>Non repertorié</v>
      </c>
      <c r="H178" t="str">
        <f>_xlfn.XLOOKUP(CKadeaTelcoLogs_Reseau[[#This Row],[Cell_ID]],'CKadeaTelcoRegistre_Maintenance'!A:A,'CKadeaTelcoRegistre_Maintenance'!E:E,"Non repertorié")</f>
        <v>Non repertorié</v>
      </c>
      <c r="I178" t="str">
        <f>_xlfn.XLOOKUP(CKadeaTelcoLogs_Reseau[[#This Row],[Cell_ID]],'CKadeaTelcoRegistre_Maintenance'!A:A,'CKadeaTelcoRegistre_Maintenance'!F:F,"Non repertorié")</f>
        <v>Non repertorié</v>
      </c>
    </row>
    <row r="179" spans="1:9" ht="20.5" customHeight="1" x14ac:dyDescent="0.35">
      <c r="A179" s="1">
        <v>45220.416666666664</v>
      </c>
      <c r="B179" s="5" t="s">
        <v>167</v>
      </c>
      <c r="C179">
        <v>32</v>
      </c>
      <c r="D179" t="s">
        <v>8</v>
      </c>
      <c r="E179" t="str">
        <f>_xlfn.XLOOKUP(CKadeaTelcoLogs_Reseau[[#This Row],[Cell_ID]],'CKadeaTelcoRegistre_Maintenance'!A:A,'CKadeaTelcoRegistre_Maintenance'!B:B,"Non repertorié")</f>
        <v>Kinshasa</v>
      </c>
      <c r="F179">
        <f>_xlfn.XLOOKUP(CKadeaTelcoLogs_Reseau[[#This Row],[Cell_ID]],'CKadeaTelcoRegistre_Maintenance'!A:A,'CKadeaTelcoRegistre_Maintenance'!C:C,"Non repertorié")</f>
        <v>-11.991020000000001</v>
      </c>
      <c r="G179">
        <f>_xlfn.XLOOKUP(CKadeaTelcoLogs_Reseau[[#This Row],[Cell_ID]],'CKadeaTelcoRegistre_Maintenance'!A:A,'CKadeaTelcoRegistre_Maintenance'!D:D,"Non repertorié")</f>
        <v>22.514747</v>
      </c>
      <c r="H179" t="str">
        <f>_xlfn.XLOOKUP(CKadeaTelcoLogs_Reseau[[#This Row],[Cell_ID]],'CKadeaTelcoRegistre_Maintenance'!A:A,'CKadeaTelcoRegistre_Maintenance'!E:E,"Non repertorié")</f>
        <v>5G</v>
      </c>
      <c r="I179" t="str">
        <f>_xlfn.XLOOKUP(CKadeaTelcoLogs_Reseau[[#This Row],[Cell_ID]],'CKadeaTelcoRegistre_Maintenance'!A:A,'CKadeaTelcoRegistre_Maintenance'!F:F,"Non repertorié")</f>
        <v>ZTE</v>
      </c>
    </row>
    <row r="180" spans="1:9" ht="20.5" customHeight="1" x14ac:dyDescent="0.35">
      <c r="A180" s="1">
        <v>45227.577777777777</v>
      </c>
      <c r="B180" s="5" t="s">
        <v>168</v>
      </c>
      <c r="C180">
        <v>50</v>
      </c>
      <c r="D180" t="s">
        <v>10</v>
      </c>
      <c r="E180" t="str">
        <f>_xlfn.XLOOKUP(CKadeaTelcoLogs_Reseau[[#This Row],[Cell_ID]],'CKadeaTelcoRegistre_Maintenance'!A:A,'CKadeaTelcoRegistre_Maintenance'!B:B,"Non repertorié")</f>
        <v>Tshopo</v>
      </c>
      <c r="F180">
        <f>_xlfn.XLOOKUP(CKadeaTelcoLogs_Reseau[[#This Row],[Cell_ID]],'CKadeaTelcoRegistre_Maintenance'!A:A,'CKadeaTelcoRegistre_Maintenance'!C:C,"Non repertorié")</f>
        <v>-4.5603610000000003</v>
      </c>
      <c r="G180">
        <f>_xlfn.XLOOKUP(CKadeaTelcoLogs_Reseau[[#This Row],[Cell_ID]],'CKadeaTelcoRegistre_Maintenance'!A:A,'CKadeaTelcoRegistre_Maintenance'!D:D,"Non repertorié")</f>
        <v>24.113918999999999</v>
      </c>
      <c r="H180" t="str">
        <f>_xlfn.XLOOKUP(CKadeaTelcoLogs_Reseau[[#This Row],[Cell_ID]],'CKadeaTelcoRegistre_Maintenance'!A:A,'CKadeaTelcoRegistre_Maintenance'!E:E,"Non repertorié")</f>
        <v>5G</v>
      </c>
      <c r="I180" t="str">
        <f>_xlfn.XLOOKUP(CKadeaTelcoLogs_Reseau[[#This Row],[Cell_ID]],'CKadeaTelcoRegistre_Maintenance'!A:A,'CKadeaTelcoRegistre_Maintenance'!F:F,"Non repertorié")</f>
        <v>ZTE</v>
      </c>
    </row>
    <row r="181" spans="1:9" ht="20.5" customHeight="1" x14ac:dyDescent="0.35">
      <c r="A181" s="1">
        <v>45215.143750000003</v>
      </c>
      <c r="B181" s="5" t="s">
        <v>169</v>
      </c>
      <c r="C181">
        <v>107</v>
      </c>
      <c r="D181" t="s">
        <v>8</v>
      </c>
      <c r="E181" t="str">
        <f>_xlfn.XLOOKUP(CKadeaTelcoLogs_Reseau[[#This Row],[Cell_ID]],'CKadeaTelcoRegistre_Maintenance'!A:A,'CKadeaTelcoRegistre_Maintenance'!B:B,"Non repertorié")</f>
        <v>Non repertorié</v>
      </c>
      <c r="F181" t="str">
        <f>_xlfn.XLOOKUP(CKadeaTelcoLogs_Reseau[[#This Row],[Cell_ID]],'CKadeaTelcoRegistre_Maintenance'!A:A,'CKadeaTelcoRegistre_Maintenance'!C:C,"Non repertorié")</f>
        <v>Non repertorié</v>
      </c>
      <c r="G181" t="str">
        <f>_xlfn.XLOOKUP(CKadeaTelcoLogs_Reseau[[#This Row],[Cell_ID]],'CKadeaTelcoRegistre_Maintenance'!A:A,'CKadeaTelcoRegistre_Maintenance'!D:D,"Non repertorié")</f>
        <v>Non repertorié</v>
      </c>
      <c r="H181" t="str">
        <f>_xlfn.XLOOKUP(CKadeaTelcoLogs_Reseau[[#This Row],[Cell_ID]],'CKadeaTelcoRegistre_Maintenance'!A:A,'CKadeaTelcoRegistre_Maintenance'!E:E,"Non repertorié")</f>
        <v>Non repertorié</v>
      </c>
      <c r="I181" t="str">
        <f>_xlfn.XLOOKUP(CKadeaTelcoLogs_Reseau[[#This Row],[Cell_ID]],'CKadeaTelcoRegistre_Maintenance'!A:A,'CKadeaTelcoRegistre_Maintenance'!F:F,"Non repertorié")</f>
        <v>Non repertorié</v>
      </c>
    </row>
    <row r="182" spans="1:9" ht="20.5" customHeight="1" x14ac:dyDescent="0.35">
      <c r="A182" s="1">
        <v>45230.486111111109</v>
      </c>
      <c r="B182" s="5" t="s">
        <v>170</v>
      </c>
      <c r="C182">
        <v>38</v>
      </c>
      <c r="D182" t="s">
        <v>5</v>
      </c>
      <c r="E182" t="str">
        <f>_xlfn.XLOOKUP(CKadeaTelcoLogs_Reseau[[#This Row],[Cell_ID]],'CKadeaTelcoRegistre_Maintenance'!A:A,'CKadeaTelcoRegistre_Maintenance'!B:B,"Non repertorié")</f>
        <v>Nord-Kivu</v>
      </c>
      <c r="F182">
        <f>_xlfn.XLOOKUP(CKadeaTelcoLogs_Reseau[[#This Row],[Cell_ID]],'CKadeaTelcoRegistre_Maintenance'!A:A,'CKadeaTelcoRegistre_Maintenance'!C:C,"Non repertorié")</f>
        <v>-12.336202</v>
      </c>
      <c r="G182">
        <f>_xlfn.XLOOKUP(CKadeaTelcoLogs_Reseau[[#This Row],[Cell_ID]],'CKadeaTelcoRegistre_Maintenance'!A:A,'CKadeaTelcoRegistre_Maintenance'!D:D,"Non repertorié")</f>
        <v>13.693683999999999</v>
      </c>
      <c r="H182" t="str">
        <f>_xlfn.XLOOKUP(CKadeaTelcoLogs_Reseau[[#This Row],[Cell_ID]],'CKadeaTelcoRegistre_Maintenance'!A:A,'CKadeaTelcoRegistre_Maintenance'!E:E,"Non repertorié")</f>
        <v>5G</v>
      </c>
      <c r="I182" t="str">
        <f>_xlfn.XLOOKUP(CKadeaTelcoLogs_Reseau[[#This Row],[Cell_ID]],'CKadeaTelcoRegistre_Maintenance'!A:A,'CKadeaTelcoRegistre_Maintenance'!F:F,"Non repertorié")</f>
        <v>Huawei</v>
      </c>
    </row>
    <row r="183" spans="1:9" ht="20.5" customHeight="1" x14ac:dyDescent="0.35">
      <c r="A183" s="1">
        <v>45228.614583333336</v>
      </c>
      <c r="B183" s="5" t="s">
        <v>171</v>
      </c>
      <c r="C183">
        <v>48</v>
      </c>
      <c r="D183" t="s">
        <v>8</v>
      </c>
      <c r="E183" t="str">
        <f>_xlfn.XLOOKUP(CKadeaTelcoLogs_Reseau[[#This Row],[Cell_ID]],'CKadeaTelcoRegistre_Maintenance'!A:A,'CKadeaTelcoRegistre_Maintenance'!B:B,"Non repertorié")</f>
        <v>Bas-Uele</v>
      </c>
      <c r="F183">
        <f>_xlfn.XLOOKUP(CKadeaTelcoLogs_Reseau[[#This Row],[Cell_ID]],'CKadeaTelcoRegistre_Maintenance'!A:A,'CKadeaTelcoRegistre_Maintenance'!C:C,"Non repertorié")</f>
        <v>-3.6945459999999999</v>
      </c>
      <c r="G183">
        <f>_xlfn.XLOOKUP(CKadeaTelcoLogs_Reseau[[#This Row],[Cell_ID]],'CKadeaTelcoRegistre_Maintenance'!A:A,'CKadeaTelcoRegistre_Maintenance'!D:D,"Non repertorié")</f>
        <v>16.809108999999999</v>
      </c>
      <c r="H183" t="str">
        <f>_xlfn.XLOOKUP(CKadeaTelcoLogs_Reseau[[#This Row],[Cell_ID]],'CKadeaTelcoRegistre_Maintenance'!A:A,'CKadeaTelcoRegistre_Maintenance'!E:E,"Non repertorié")</f>
        <v>5G</v>
      </c>
      <c r="I183" t="str">
        <f>_xlfn.XLOOKUP(CKadeaTelcoLogs_Reseau[[#This Row],[Cell_ID]],'CKadeaTelcoRegistre_Maintenance'!A:A,'CKadeaTelcoRegistre_Maintenance'!F:F,"Non repertorié")</f>
        <v>ZTE</v>
      </c>
    </row>
    <row r="184" spans="1:9" ht="20.5" customHeight="1" x14ac:dyDescent="0.35">
      <c r="A184" s="1">
        <v>45215.597916666666</v>
      </c>
      <c r="B184" s="5" t="s">
        <v>172</v>
      </c>
      <c r="C184">
        <v>7</v>
      </c>
      <c r="D184" t="s">
        <v>10</v>
      </c>
      <c r="E184" t="str">
        <f>_xlfn.XLOOKUP(CKadeaTelcoLogs_Reseau[[#This Row],[Cell_ID]],'CKadeaTelcoRegistre_Maintenance'!A:A,'CKadeaTelcoRegistre_Maintenance'!B:B,"Non repertorié")</f>
        <v>Non repertorié</v>
      </c>
      <c r="F184" t="str">
        <f>_xlfn.XLOOKUP(CKadeaTelcoLogs_Reseau[[#This Row],[Cell_ID]],'CKadeaTelcoRegistre_Maintenance'!A:A,'CKadeaTelcoRegistre_Maintenance'!C:C,"Non repertorié")</f>
        <v>Non repertorié</v>
      </c>
      <c r="G184" t="str">
        <f>_xlfn.XLOOKUP(CKadeaTelcoLogs_Reseau[[#This Row],[Cell_ID]],'CKadeaTelcoRegistre_Maintenance'!A:A,'CKadeaTelcoRegistre_Maintenance'!D:D,"Non repertorié")</f>
        <v>Non repertorié</v>
      </c>
      <c r="H184" t="str">
        <f>_xlfn.XLOOKUP(CKadeaTelcoLogs_Reseau[[#This Row],[Cell_ID]],'CKadeaTelcoRegistre_Maintenance'!A:A,'CKadeaTelcoRegistre_Maintenance'!E:E,"Non repertorié")</f>
        <v>Non repertorié</v>
      </c>
      <c r="I184" t="str">
        <f>_xlfn.XLOOKUP(CKadeaTelcoLogs_Reseau[[#This Row],[Cell_ID]],'CKadeaTelcoRegistre_Maintenance'!A:A,'CKadeaTelcoRegistre_Maintenance'!F:F,"Non repertorié")</f>
        <v>Non repertorié</v>
      </c>
    </row>
    <row r="185" spans="1:9" ht="20.5" customHeight="1" x14ac:dyDescent="0.35">
      <c r="A185" s="1">
        <v>45205.052777777775</v>
      </c>
      <c r="B185" s="5" t="s">
        <v>38</v>
      </c>
      <c r="C185">
        <v>102</v>
      </c>
      <c r="D185" t="s">
        <v>8</v>
      </c>
      <c r="E185" t="str">
        <f>_xlfn.XLOOKUP(CKadeaTelcoLogs_Reseau[[#This Row],[Cell_ID]],'CKadeaTelcoRegistre_Maintenance'!A:A,'CKadeaTelcoRegistre_Maintenance'!B:B,"Non repertorié")</f>
        <v>Kasai</v>
      </c>
      <c r="F185">
        <f>_xlfn.XLOOKUP(CKadeaTelcoLogs_Reseau[[#This Row],[Cell_ID]],'CKadeaTelcoRegistre_Maintenance'!A:A,'CKadeaTelcoRegistre_Maintenance'!C:C,"Non repertorié")</f>
        <v>-4.9789079999999997</v>
      </c>
      <c r="G185">
        <f>_xlfn.XLOOKUP(CKadeaTelcoLogs_Reseau[[#This Row],[Cell_ID]],'CKadeaTelcoRegistre_Maintenance'!A:A,'CKadeaTelcoRegistre_Maintenance'!D:D,"Non repertorié")</f>
        <v>28.506295000000001</v>
      </c>
      <c r="H185" t="str">
        <f>_xlfn.XLOOKUP(CKadeaTelcoLogs_Reseau[[#This Row],[Cell_ID]],'CKadeaTelcoRegistre_Maintenance'!A:A,'CKadeaTelcoRegistre_Maintenance'!E:E,"Non repertorié")</f>
        <v>4G</v>
      </c>
      <c r="I185" t="str">
        <f>_xlfn.XLOOKUP(CKadeaTelcoLogs_Reseau[[#This Row],[Cell_ID]],'CKadeaTelcoRegistre_Maintenance'!A:A,'CKadeaTelcoRegistre_Maintenance'!F:F,"Non repertorié")</f>
        <v>Huawei</v>
      </c>
    </row>
    <row r="186" spans="1:9" ht="20.5" customHeight="1" x14ac:dyDescent="0.35">
      <c r="A186" s="1">
        <v>45230.629861111112</v>
      </c>
      <c r="B186" s="5" t="s">
        <v>173</v>
      </c>
      <c r="C186">
        <v>91</v>
      </c>
      <c r="D186" t="s">
        <v>5</v>
      </c>
      <c r="E186" t="str">
        <f>_xlfn.XLOOKUP(CKadeaTelcoLogs_Reseau[[#This Row],[Cell_ID]],'CKadeaTelcoRegistre_Maintenance'!A:A,'CKadeaTelcoRegistre_Maintenance'!B:B,"Non repertorié")</f>
        <v>Non repertorié</v>
      </c>
      <c r="F186" t="str">
        <f>_xlfn.XLOOKUP(CKadeaTelcoLogs_Reseau[[#This Row],[Cell_ID]],'CKadeaTelcoRegistre_Maintenance'!A:A,'CKadeaTelcoRegistre_Maintenance'!C:C,"Non repertorié")</f>
        <v>Non repertorié</v>
      </c>
      <c r="G186" t="str">
        <f>_xlfn.XLOOKUP(CKadeaTelcoLogs_Reseau[[#This Row],[Cell_ID]],'CKadeaTelcoRegistre_Maintenance'!A:A,'CKadeaTelcoRegistre_Maintenance'!D:D,"Non repertorié")</f>
        <v>Non repertorié</v>
      </c>
      <c r="H186" t="str">
        <f>_xlfn.XLOOKUP(CKadeaTelcoLogs_Reseau[[#This Row],[Cell_ID]],'CKadeaTelcoRegistre_Maintenance'!A:A,'CKadeaTelcoRegistre_Maintenance'!E:E,"Non repertorié")</f>
        <v>Non repertorié</v>
      </c>
      <c r="I186" t="str">
        <f>_xlfn.XLOOKUP(CKadeaTelcoLogs_Reseau[[#This Row],[Cell_ID]],'CKadeaTelcoRegistre_Maintenance'!A:A,'CKadeaTelcoRegistre_Maintenance'!F:F,"Non repertorié")</f>
        <v>Non repertorié</v>
      </c>
    </row>
    <row r="187" spans="1:9" ht="20.5" customHeight="1" x14ac:dyDescent="0.35">
      <c r="A187" s="1">
        <v>45226.100694444445</v>
      </c>
      <c r="B187" s="5" t="s">
        <v>174</v>
      </c>
      <c r="C187">
        <v>110</v>
      </c>
      <c r="D187" t="s">
        <v>8</v>
      </c>
      <c r="E187" t="str">
        <f>_xlfn.XLOOKUP(CKadeaTelcoLogs_Reseau[[#This Row],[Cell_ID]],'CKadeaTelcoRegistre_Maintenance'!A:A,'CKadeaTelcoRegistre_Maintenance'!B:B,"Non repertorié")</f>
        <v>Lomami</v>
      </c>
      <c r="F187">
        <f>_xlfn.XLOOKUP(CKadeaTelcoLogs_Reseau[[#This Row],[Cell_ID]],'CKadeaTelcoRegistre_Maintenance'!A:A,'CKadeaTelcoRegistre_Maintenance'!C:C,"Non repertorié")</f>
        <v>-2.2681789999999999</v>
      </c>
      <c r="G187">
        <f>_xlfn.XLOOKUP(CKadeaTelcoLogs_Reseau[[#This Row],[Cell_ID]],'CKadeaTelcoRegistre_Maintenance'!A:A,'CKadeaTelcoRegistre_Maintenance'!D:D,"Non repertorié")</f>
        <v>25.699068</v>
      </c>
      <c r="H187" t="str">
        <f>_xlfn.XLOOKUP(CKadeaTelcoLogs_Reseau[[#This Row],[Cell_ID]],'CKadeaTelcoRegistre_Maintenance'!A:A,'CKadeaTelcoRegistre_Maintenance'!E:E,"Non repertorié")</f>
        <v>3G</v>
      </c>
      <c r="I187" t="str">
        <f>_xlfn.XLOOKUP(CKadeaTelcoLogs_Reseau[[#This Row],[Cell_ID]],'CKadeaTelcoRegistre_Maintenance'!A:A,'CKadeaTelcoRegistre_Maintenance'!F:F,"Non repertorié")</f>
        <v>ZTE</v>
      </c>
    </row>
    <row r="188" spans="1:9" ht="20.5" customHeight="1" x14ac:dyDescent="0.35">
      <c r="A188" s="1">
        <v>45215.10833333333</v>
      </c>
      <c r="B188" s="5" t="s">
        <v>175</v>
      </c>
      <c r="C188">
        <v>39</v>
      </c>
      <c r="D188" t="s">
        <v>10</v>
      </c>
      <c r="E188" t="str">
        <f>_xlfn.XLOOKUP(CKadeaTelcoLogs_Reseau[[#This Row],[Cell_ID]],'CKadeaTelcoRegistre_Maintenance'!A:A,'CKadeaTelcoRegistre_Maintenance'!B:B,"Non repertorié")</f>
        <v>Non repertorié</v>
      </c>
      <c r="F188" t="str">
        <f>_xlfn.XLOOKUP(CKadeaTelcoLogs_Reseau[[#This Row],[Cell_ID]],'CKadeaTelcoRegistre_Maintenance'!A:A,'CKadeaTelcoRegistre_Maintenance'!C:C,"Non repertorié")</f>
        <v>Non repertorié</v>
      </c>
      <c r="G188" t="str">
        <f>_xlfn.XLOOKUP(CKadeaTelcoLogs_Reseau[[#This Row],[Cell_ID]],'CKadeaTelcoRegistre_Maintenance'!A:A,'CKadeaTelcoRegistre_Maintenance'!D:D,"Non repertorié")</f>
        <v>Non repertorié</v>
      </c>
      <c r="H188" t="str">
        <f>_xlfn.XLOOKUP(CKadeaTelcoLogs_Reseau[[#This Row],[Cell_ID]],'CKadeaTelcoRegistre_Maintenance'!A:A,'CKadeaTelcoRegistre_Maintenance'!E:E,"Non repertorié")</f>
        <v>Non repertorié</v>
      </c>
      <c r="I188" t="str">
        <f>_xlfn.XLOOKUP(CKadeaTelcoLogs_Reseau[[#This Row],[Cell_ID]],'CKadeaTelcoRegistre_Maintenance'!A:A,'CKadeaTelcoRegistre_Maintenance'!F:F,"Non repertorié")</f>
        <v>Non repertorié</v>
      </c>
    </row>
    <row r="189" spans="1:9" ht="20.5" customHeight="1" x14ac:dyDescent="0.35">
      <c r="A189" s="1">
        <v>45220.877083333333</v>
      </c>
      <c r="B189" s="5" t="s">
        <v>176</v>
      </c>
      <c r="C189">
        <v>78</v>
      </c>
      <c r="D189" t="s">
        <v>5</v>
      </c>
      <c r="E189" t="str">
        <f>_xlfn.XLOOKUP(CKadeaTelcoLogs_Reseau[[#This Row],[Cell_ID]],'CKadeaTelcoRegistre_Maintenance'!A:A,'CKadeaTelcoRegistre_Maintenance'!B:B,"Non repertorié")</f>
        <v>Kinshasa</v>
      </c>
      <c r="F189">
        <f>_xlfn.XLOOKUP(CKadeaTelcoLogs_Reseau[[#This Row],[Cell_ID]],'CKadeaTelcoRegistre_Maintenance'!A:A,'CKadeaTelcoRegistre_Maintenance'!C:C,"Non repertorié")</f>
        <v>-7.5418399999999997</v>
      </c>
      <c r="G189">
        <f>_xlfn.XLOOKUP(CKadeaTelcoLogs_Reseau[[#This Row],[Cell_ID]],'CKadeaTelcoRegistre_Maintenance'!A:A,'CKadeaTelcoRegistre_Maintenance'!D:D,"Non repertorié")</f>
        <v>16.931206</v>
      </c>
      <c r="H189" t="str">
        <f>_xlfn.XLOOKUP(CKadeaTelcoLogs_Reseau[[#This Row],[Cell_ID]],'CKadeaTelcoRegistre_Maintenance'!A:A,'CKadeaTelcoRegistre_Maintenance'!E:E,"Non repertorié")</f>
        <v>3G</v>
      </c>
      <c r="I189" t="str">
        <f>_xlfn.XLOOKUP(CKadeaTelcoLogs_Reseau[[#This Row],[Cell_ID]],'CKadeaTelcoRegistre_Maintenance'!A:A,'CKadeaTelcoRegistre_Maintenance'!F:F,"Non repertorié")</f>
        <v>Nokia</v>
      </c>
    </row>
    <row r="190" spans="1:9" ht="20.5" customHeight="1" x14ac:dyDescent="0.35">
      <c r="A190" s="1">
        <v>45204.20208333333</v>
      </c>
      <c r="B190" s="5" t="s">
        <v>177</v>
      </c>
      <c r="C190">
        <v>10</v>
      </c>
      <c r="D190" t="s">
        <v>5</v>
      </c>
      <c r="E190" t="str">
        <f>_xlfn.XLOOKUP(CKadeaTelcoLogs_Reseau[[#This Row],[Cell_ID]],'CKadeaTelcoRegistre_Maintenance'!A:A,'CKadeaTelcoRegistre_Maintenance'!B:B,"Non repertorié")</f>
        <v>Non repertorié</v>
      </c>
      <c r="F190" t="str">
        <f>_xlfn.XLOOKUP(CKadeaTelcoLogs_Reseau[[#This Row],[Cell_ID]],'CKadeaTelcoRegistre_Maintenance'!A:A,'CKadeaTelcoRegistre_Maintenance'!C:C,"Non repertorié")</f>
        <v>Non repertorié</v>
      </c>
      <c r="G190" t="str">
        <f>_xlfn.XLOOKUP(CKadeaTelcoLogs_Reseau[[#This Row],[Cell_ID]],'CKadeaTelcoRegistre_Maintenance'!A:A,'CKadeaTelcoRegistre_Maintenance'!D:D,"Non repertorié")</f>
        <v>Non repertorié</v>
      </c>
      <c r="H190" t="str">
        <f>_xlfn.XLOOKUP(CKadeaTelcoLogs_Reseau[[#This Row],[Cell_ID]],'CKadeaTelcoRegistre_Maintenance'!A:A,'CKadeaTelcoRegistre_Maintenance'!E:E,"Non repertorié")</f>
        <v>Non repertorié</v>
      </c>
      <c r="I190" t="str">
        <f>_xlfn.XLOOKUP(CKadeaTelcoLogs_Reseau[[#This Row],[Cell_ID]],'CKadeaTelcoRegistre_Maintenance'!A:A,'CKadeaTelcoRegistre_Maintenance'!F:F,"Non repertorié")</f>
        <v>Non repertorié</v>
      </c>
    </row>
    <row r="191" spans="1:9" ht="20.5" customHeight="1" x14ac:dyDescent="0.35">
      <c r="A191" s="1">
        <v>45218.378472222219</v>
      </c>
      <c r="B191" s="5" t="s">
        <v>178</v>
      </c>
      <c r="C191">
        <v>102</v>
      </c>
      <c r="D191" t="s">
        <v>5</v>
      </c>
      <c r="E191" t="str">
        <f>_xlfn.XLOOKUP(CKadeaTelcoLogs_Reseau[[#This Row],[Cell_ID]],'CKadeaTelcoRegistre_Maintenance'!A:A,'CKadeaTelcoRegistre_Maintenance'!B:B,"Non repertorié")</f>
        <v>Kasai-Central</v>
      </c>
      <c r="F191">
        <f>_xlfn.XLOOKUP(CKadeaTelcoLogs_Reseau[[#This Row],[Cell_ID]],'CKadeaTelcoRegistre_Maintenance'!A:A,'CKadeaTelcoRegistre_Maintenance'!C:C,"Non repertorié")</f>
        <v>-4.4451280000000004</v>
      </c>
      <c r="G191">
        <f>_xlfn.XLOOKUP(CKadeaTelcoLogs_Reseau[[#This Row],[Cell_ID]],'CKadeaTelcoRegistre_Maintenance'!A:A,'CKadeaTelcoRegistre_Maintenance'!D:D,"Non repertorié")</f>
        <v>16.536944999999999</v>
      </c>
      <c r="H191" t="str">
        <f>_xlfn.XLOOKUP(CKadeaTelcoLogs_Reseau[[#This Row],[Cell_ID]],'CKadeaTelcoRegistre_Maintenance'!A:A,'CKadeaTelcoRegistre_Maintenance'!E:E,"Non repertorié")</f>
        <v>4G</v>
      </c>
      <c r="I191" t="str">
        <f>_xlfn.XLOOKUP(CKadeaTelcoLogs_Reseau[[#This Row],[Cell_ID]],'CKadeaTelcoRegistre_Maintenance'!A:A,'CKadeaTelcoRegistre_Maintenance'!F:F,"Non repertorié")</f>
        <v>Ericsson</v>
      </c>
    </row>
    <row r="192" spans="1:9" ht="20.5" customHeight="1" x14ac:dyDescent="0.35">
      <c r="A192" s="1">
        <v>45207.149305555555</v>
      </c>
      <c r="B192" s="5" t="s">
        <v>179</v>
      </c>
      <c r="C192">
        <v>101</v>
      </c>
      <c r="D192" t="s">
        <v>10</v>
      </c>
      <c r="E192" t="str">
        <f>_xlfn.XLOOKUP(CKadeaTelcoLogs_Reseau[[#This Row],[Cell_ID]],'CKadeaTelcoRegistre_Maintenance'!A:A,'CKadeaTelcoRegistre_Maintenance'!B:B,"Non repertorié")</f>
        <v>Lualaba</v>
      </c>
      <c r="F192">
        <f>_xlfn.XLOOKUP(CKadeaTelcoLogs_Reseau[[#This Row],[Cell_ID]],'CKadeaTelcoRegistre_Maintenance'!A:A,'CKadeaTelcoRegistre_Maintenance'!C:C,"Non repertorié")</f>
        <v>-10.872631999999999</v>
      </c>
      <c r="G192">
        <f>_xlfn.XLOOKUP(CKadeaTelcoLogs_Reseau[[#This Row],[Cell_ID]],'CKadeaTelcoRegistre_Maintenance'!A:A,'CKadeaTelcoRegistre_Maintenance'!D:D,"Non repertorié")</f>
        <v>12.773279</v>
      </c>
      <c r="H192" t="str">
        <f>_xlfn.XLOOKUP(CKadeaTelcoLogs_Reseau[[#This Row],[Cell_ID]],'CKadeaTelcoRegistre_Maintenance'!A:A,'CKadeaTelcoRegistre_Maintenance'!E:E,"Non repertorié")</f>
        <v>3G</v>
      </c>
      <c r="I192" t="str">
        <f>_xlfn.XLOOKUP(CKadeaTelcoLogs_Reseau[[#This Row],[Cell_ID]],'CKadeaTelcoRegistre_Maintenance'!A:A,'CKadeaTelcoRegistre_Maintenance'!F:F,"Non repertorié")</f>
        <v>ZTE</v>
      </c>
    </row>
    <row r="193" spans="1:9" ht="20.5" customHeight="1" x14ac:dyDescent="0.35">
      <c r="A193" s="1">
        <v>45224.568055555559</v>
      </c>
      <c r="B193" s="5" t="s">
        <v>180</v>
      </c>
      <c r="C193">
        <v>27</v>
      </c>
      <c r="D193" t="s">
        <v>5</v>
      </c>
      <c r="E193" t="str">
        <f>_xlfn.XLOOKUP(CKadeaTelcoLogs_Reseau[[#This Row],[Cell_ID]],'CKadeaTelcoRegistre_Maintenance'!A:A,'CKadeaTelcoRegistre_Maintenance'!B:B,"Non repertorié")</f>
        <v>Mai-Ndombe</v>
      </c>
      <c r="F193">
        <f>_xlfn.XLOOKUP(CKadeaTelcoLogs_Reseau[[#This Row],[Cell_ID]],'CKadeaTelcoRegistre_Maintenance'!A:A,'CKadeaTelcoRegistre_Maintenance'!C:C,"Non repertorié")</f>
        <v>-10.442425</v>
      </c>
      <c r="G193">
        <f>_xlfn.XLOOKUP(CKadeaTelcoLogs_Reseau[[#This Row],[Cell_ID]],'CKadeaTelcoRegistre_Maintenance'!A:A,'CKadeaTelcoRegistre_Maintenance'!D:D,"Non repertorié")</f>
        <v>23.243632000000002</v>
      </c>
      <c r="H193" t="str">
        <f>_xlfn.XLOOKUP(CKadeaTelcoLogs_Reseau[[#This Row],[Cell_ID]],'CKadeaTelcoRegistre_Maintenance'!A:A,'CKadeaTelcoRegistre_Maintenance'!E:E,"Non repertorié")</f>
        <v>4G</v>
      </c>
      <c r="I193" t="str">
        <f>_xlfn.XLOOKUP(CKadeaTelcoLogs_Reseau[[#This Row],[Cell_ID]],'CKadeaTelcoRegistre_Maintenance'!A:A,'CKadeaTelcoRegistre_Maintenance'!F:F,"Non repertorié")</f>
        <v>Nokia</v>
      </c>
    </row>
    <row r="194" spans="1:9" ht="20.5" customHeight="1" x14ac:dyDescent="0.35">
      <c r="A194" s="1">
        <v>45219.801388888889</v>
      </c>
      <c r="B194" s="5" t="s">
        <v>181</v>
      </c>
      <c r="C194">
        <v>65</v>
      </c>
      <c r="D194" t="s">
        <v>8</v>
      </c>
      <c r="E194" t="str">
        <f>_xlfn.XLOOKUP(CKadeaTelcoLogs_Reseau[[#This Row],[Cell_ID]],'CKadeaTelcoRegistre_Maintenance'!A:A,'CKadeaTelcoRegistre_Maintenance'!B:B,"Non repertorié")</f>
        <v>Tshuapa</v>
      </c>
      <c r="F194">
        <f>_xlfn.XLOOKUP(CKadeaTelcoLogs_Reseau[[#This Row],[Cell_ID]],'CKadeaTelcoRegistre_Maintenance'!A:A,'CKadeaTelcoRegistre_Maintenance'!C:C,"Non repertorié")</f>
        <v>0.52897499999999997</v>
      </c>
      <c r="G194">
        <f>_xlfn.XLOOKUP(CKadeaTelcoLogs_Reseau[[#This Row],[Cell_ID]],'CKadeaTelcoRegistre_Maintenance'!A:A,'CKadeaTelcoRegistre_Maintenance'!D:D,"Non repertorié")</f>
        <v>13.849651</v>
      </c>
      <c r="H194" t="str">
        <f>_xlfn.XLOOKUP(CKadeaTelcoLogs_Reseau[[#This Row],[Cell_ID]],'CKadeaTelcoRegistre_Maintenance'!A:A,'CKadeaTelcoRegistre_Maintenance'!E:E,"Non repertorié")</f>
        <v>3G</v>
      </c>
      <c r="I194" t="str">
        <f>_xlfn.XLOOKUP(CKadeaTelcoLogs_Reseau[[#This Row],[Cell_ID]],'CKadeaTelcoRegistre_Maintenance'!A:A,'CKadeaTelcoRegistre_Maintenance'!F:F,"Non repertorié")</f>
        <v>ZTE</v>
      </c>
    </row>
    <row r="195" spans="1:9" ht="20.5" customHeight="1" x14ac:dyDescent="0.35">
      <c r="A195" s="1">
        <v>45224.683333333334</v>
      </c>
      <c r="B195" s="5" t="s">
        <v>182</v>
      </c>
      <c r="C195">
        <v>71</v>
      </c>
      <c r="D195" t="s">
        <v>5</v>
      </c>
      <c r="E195" t="str">
        <f>_xlfn.XLOOKUP(CKadeaTelcoLogs_Reseau[[#This Row],[Cell_ID]],'CKadeaTelcoRegistre_Maintenance'!A:A,'CKadeaTelcoRegistre_Maintenance'!B:B,"Non repertorié")</f>
        <v>Non repertorié</v>
      </c>
      <c r="F195" t="str">
        <f>_xlfn.XLOOKUP(CKadeaTelcoLogs_Reseau[[#This Row],[Cell_ID]],'CKadeaTelcoRegistre_Maintenance'!A:A,'CKadeaTelcoRegistre_Maintenance'!C:C,"Non repertorié")</f>
        <v>Non repertorié</v>
      </c>
      <c r="G195" t="str">
        <f>_xlfn.XLOOKUP(CKadeaTelcoLogs_Reseau[[#This Row],[Cell_ID]],'CKadeaTelcoRegistre_Maintenance'!A:A,'CKadeaTelcoRegistre_Maintenance'!D:D,"Non repertorié")</f>
        <v>Non repertorié</v>
      </c>
      <c r="H195" t="str">
        <f>_xlfn.XLOOKUP(CKadeaTelcoLogs_Reseau[[#This Row],[Cell_ID]],'CKadeaTelcoRegistre_Maintenance'!A:A,'CKadeaTelcoRegistre_Maintenance'!E:E,"Non repertorié")</f>
        <v>Non repertorié</v>
      </c>
      <c r="I195" t="str">
        <f>_xlfn.XLOOKUP(CKadeaTelcoLogs_Reseau[[#This Row],[Cell_ID]],'CKadeaTelcoRegistre_Maintenance'!A:A,'CKadeaTelcoRegistre_Maintenance'!F:F,"Non repertorié")</f>
        <v>Non repertorié</v>
      </c>
    </row>
    <row r="196" spans="1:9" ht="20.5" customHeight="1" x14ac:dyDescent="0.35">
      <c r="A196" s="1">
        <v>45214.59652777778</v>
      </c>
      <c r="B196" s="5" t="s">
        <v>183</v>
      </c>
      <c r="C196">
        <v>88</v>
      </c>
      <c r="D196" t="s">
        <v>10</v>
      </c>
      <c r="E196" t="str">
        <f>_xlfn.XLOOKUP(CKadeaTelcoLogs_Reseau[[#This Row],[Cell_ID]],'CKadeaTelcoRegistre_Maintenance'!A:A,'CKadeaTelcoRegistre_Maintenance'!B:B,"Non repertorié")</f>
        <v>Non repertorié</v>
      </c>
      <c r="F196" t="str">
        <f>_xlfn.XLOOKUP(CKadeaTelcoLogs_Reseau[[#This Row],[Cell_ID]],'CKadeaTelcoRegistre_Maintenance'!A:A,'CKadeaTelcoRegistre_Maintenance'!C:C,"Non repertorié")</f>
        <v>Non repertorié</v>
      </c>
      <c r="G196" t="str">
        <f>_xlfn.XLOOKUP(CKadeaTelcoLogs_Reseau[[#This Row],[Cell_ID]],'CKadeaTelcoRegistre_Maintenance'!A:A,'CKadeaTelcoRegistre_Maintenance'!D:D,"Non repertorié")</f>
        <v>Non repertorié</v>
      </c>
      <c r="H196" t="str">
        <f>_xlfn.XLOOKUP(CKadeaTelcoLogs_Reseau[[#This Row],[Cell_ID]],'CKadeaTelcoRegistre_Maintenance'!A:A,'CKadeaTelcoRegistre_Maintenance'!E:E,"Non repertorié")</f>
        <v>Non repertorié</v>
      </c>
      <c r="I196" t="str">
        <f>_xlfn.XLOOKUP(CKadeaTelcoLogs_Reseau[[#This Row],[Cell_ID]],'CKadeaTelcoRegistre_Maintenance'!A:A,'CKadeaTelcoRegistre_Maintenance'!F:F,"Non repertorié")</f>
        <v>Non repertorié</v>
      </c>
    </row>
    <row r="197" spans="1:9" ht="20.5" customHeight="1" x14ac:dyDescent="0.35">
      <c r="A197" s="1">
        <v>45227.768750000003</v>
      </c>
      <c r="B197" s="5" t="s">
        <v>184</v>
      </c>
      <c r="C197">
        <v>61</v>
      </c>
      <c r="D197" t="s">
        <v>8</v>
      </c>
      <c r="E197" t="str">
        <f>_xlfn.XLOOKUP(CKadeaTelcoLogs_Reseau[[#This Row],[Cell_ID]],'CKadeaTelcoRegistre_Maintenance'!A:A,'CKadeaTelcoRegistre_Maintenance'!B:B,"Non repertorié")</f>
        <v>Non repertorié</v>
      </c>
      <c r="F197" t="str">
        <f>_xlfn.XLOOKUP(CKadeaTelcoLogs_Reseau[[#This Row],[Cell_ID]],'CKadeaTelcoRegistre_Maintenance'!A:A,'CKadeaTelcoRegistre_Maintenance'!C:C,"Non repertorié")</f>
        <v>Non repertorié</v>
      </c>
      <c r="G197" t="str">
        <f>_xlfn.XLOOKUP(CKadeaTelcoLogs_Reseau[[#This Row],[Cell_ID]],'CKadeaTelcoRegistre_Maintenance'!A:A,'CKadeaTelcoRegistre_Maintenance'!D:D,"Non repertorié")</f>
        <v>Non repertorié</v>
      </c>
      <c r="H197" t="str">
        <f>_xlfn.XLOOKUP(CKadeaTelcoLogs_Reseau[[#This Row],[Cell_ID]],'CKadeaTelcoRegistre_Maintenance'!A:A,'CKadeaTelcoRegistre_Maintenance'!E:E,"Non repertorié")</f>
        <v>Non repertorié</v>
      </c>
      <c r="I197" t="str">
        <f>_xlfn.XLOOKUP(CKadeaTelcoLogs_Reseau[[#This Row],[Cell_ID]],'CKadeaTelcoRegistre_Maintenance'!A:A,'CKadeaTelcoRegistre_Maintenance'!F:F,"Non repertorié")</f>
        <v>Non repertorié</v>
      </c>
    </row>
    <row r="198" spans="1:9" ht="20.5" customHeight="1" x14ac:dyDescent="0.35">
      <c r="A198" s="1">
        <v>45209.777083333334</v>
      </c>
      <c r="B198" s="5" t="s">
        <v>185</v>
      </c>
      <c r="C198">
        <v>40</v>
      </c>
      <c r="D198" t="s">
        <v>10</v>
      </c>
      <c r="E198" t="str">
        <f>_xlfn.XLOOKUP(CKadeaTelcoLogs_Reseau[[#This Row],[Cell_ID]],'CKadeaTelcoRegistre_Maintenance'!A:A,'CKadeaTelcoRegistre_Maintenance'!B:B,"Non repertorié")</f>
        <v>Lualaba</v>
      </c>
      <c r="F198">
        <f>_xlfn.XLOOKUP(CKadeaTelcoLogs_Reseau[[#This Row],[Cell_ID]],'CKadeaTelcoRegistre_Maintenance'!A:A,'CKadeaTelcoRegistre_Maintenance'!C:C,"Non repertorié")</f>
        <v>-9.5243310000000001</v>
      </c>
      <c r="G198">
        <f>_xlfn.XLOOKUP(CKadeaTelcoLogs_Reseau[[#This Row],[Cell_ID]],'CKadeaTelcoRegistre_Maintenance'!A:A,'CKadeaTelcoRegistre_Maintenance'!D:D,"Non repertorié")</f>
        <v>30.541212000000002</v>
      </c>
      <c r="H198" t="str">
        <f>_xlfn.XLOOKUP(CKadeaTelcoLogs_Reseau[[#This Row],[Cell_ID]],'CKadeaTelcoRegistre_Maintenance'!A:A,'CKadeaTelcoRegistre_Maintenance'!E:E,"Non repertorié")</f>
        <v>3G</v>
      </c>
      <c r="I198" t="str">
        <f>_xlfn.XLOOKUP(CKadeaTelcoLogs_Reseau[[#This Row],[Cell_ID]],'CKadeaTelcoRegistre_Maintenance'!A:A,'CKadeaTelcoRegistre_Maintenance'!F:F,"Non repertorié")</f>
        <v>Ericsson</v>
      </c>
    </row>
    <row r="199" spans="1:9" ht="20.5" customHeight="1" x14ac:dyDescent="0.35">
      <c r="A199" s="1">
        <v>45201.824305555558</v>
      </c>
      <c r="B199" s="5" t="s">
        <v>186</v>
      </c>
      <c r="C199">
        <v>28</v>
      </c>
      <c r="D199" t="s">
        <v>8</v>
      </c>
      <c r="E199" t="str">
        <f>_xlfn.XLOOKUP(CKadeaTelcoLogs_Reseau[[#This Row],[Cell_ID]],'CKadeaTelcoRegistre_Maintenance'!A:A,'CKadeaTelcoRegistre_Maintenance'!B:B,"Non repertorié")</f>
        <v>Mai-Ndombe</v>
      </c>
      <c r="F199">
        <f>_xlfn.XLOOKUP(CKadeaTelcoLogs_Reseau[[#This Row],[Cell_ID]],'CKadeaTelcoRegistre_Maintenance'!A:A,'CKadeaTelcoRegistre_Maintenance'!C:C,"Non repertorié")</f>
        <v>-9.3652280000000001</v>
      </c>
      <c r="G199">
        <f>_xlfn.XLOOKUP(CKadeaTelcoLogs_Reseau[[#This Row],[Cell_ID]],'CKadeaTelcoRegistre_Maintenance'!A:A,'CKadeaTelcoRegistre_Maintenance'!D:D,"Non repertorié")</f>
        <v>18.674116000000001</v>
      </c>
      <c r="H199" t="str">
        <f>_xlfn.XLOOKUP(CKadeaTelcoLogs_Reseau[[#This Row],[Cell_ID]],'CKadeaTelcoRegistre_Maintenance'!A:A,'CKadeaTelcoRegistre_Maintenance'!E:E,"Non repertorié")</f>
        <v>4G</v>
      </c>
      <c r="I199" t="str">
        <f>_xlfn.XLOOKUP(CKadeaTelcoLogs_Reseau[[#This Row],[Cell_ID]],'CKadeaTelcoRegistre_Maintenance'!A:A,'CKadeaTelcoRegistre_Maintenance'!F:F,"Non repertorié")</f>
        <v>Huawei</v>
      </c>
    </row>
    <row r="200" spans="1:9" ht="20.5" customHeight="1" x14ac:dyDescent="0.35">
      <c r="A200" s="1">
        <v>45203.277777777781</v>
      </c>
      <c r="B200" s="5" t="s">
        <v>187</v>
      </c>
      <c r="C200">
        <v>79</v>
      </c>
      <c r="D200" t="s">
        <v>8</v>
      </c>
      <c r="E200" t="str">
        <f>_xlfn.XLOOKUP(CKadeaTelcoLogs_Reseau[[#This Row],[Cell_ID]],'CKadeaTelcoRegistre_Maintenance'!A:A,'CKadeaTelcoRegistre_Maintenance'!B:B,"Non repertorié")</f>
        <v>Non repertorié</v>
      </c>
      <c r="F200" t="str">
        <f>_xlfn.XLOOKUP(CKadeaTelcoLogs_Reseau[[#This Row],[Cell_ID]],'CKadeaTelcoRegistre_Maintenance'!A:A,'CKadeaTelcoRegistre_Maintenance'!C:C,"Non repertorié")</f>
        <v>Non repertorié</v>
      </c>
      <c r="G200" t="str">
        <f>_xlfn.XLOOKUP(CKadeaTelcoLogs_Reseau[[#This Row],[Cell_ID]],'CKadeaTelcoRegistre_Maintenance'!A:A,'CKadeaTelcoRegistre_Maintenance'!D:D,"Non repertorié")</f>
        <v>Non repertorié</v>
      </c>
      <c r="H200" t="str">
        <f>_xlfn.XLOOKUP(CKadeaTelcoLogs_Reseau[[#This Row],[Cell_ID]],'CKadeaTelcoRegistre_Maintenance'!A:A,'CKadeaTelcoRegistre_Maintenance'!E:E,"Non repertorié")</f>
        <v>Non repertorié</v>
      </c>
      <c r="I200" t="str">
        <f>_xlfn.XLOOKUP(CKadeaTelcoLogs_Reseau[[#This Row],[Cell_ID]],'CKadeaTelcoRegistre_Maintenance'!A:A,'CKadeaTelcoRegistre_Maintenance'!F:F,"Non repertorié")</f>
        <v>Non repertorié</v>
      </c>
    </row>
    <row r="201" spans="1:9" ht="20.5" customHeight="1" x14ac:dyDescent="0.35">
      <c r="A201" s="1">
        <v>45206.362500000003</v>
      </c>
      <c r="B201" s="5" t="s">
        <v>188</v>
      </c>
      <c r="C201">
        <v>60</v>
      </c>
      <c r="D201" t="s">
        <v>10</v>
      </c>
      <c r="E201" t="str">
        <f>_xlfn.XLOOKUP(CKadeaTelcoLogs_Reseau[[#This Row],[Cell_ID]],'CKadeaTelcoRegistre_Maintenance'!A:A,'CKadeaTelcoRegistre_Maintenance'!B:B,"Non repertorié")</f>
        <v>Maniema</v>
      </c>
      <c r="F201">
        <f>_xlfn.XLOOKUP(CKadeaTelcoLogs_Reseau[[#This Row],[Cell_ID]],'CKadeaTelcoRegistre_Maintenance'!A:A,'CKadeaTelcoRegistre_Maintenance'!C:C,"Non repertorié")</f>
        <v>-4.2645619999999997</v>
      </c>
      <c r="G201">
        <f>_xlfn.XLOOKUP(CKadeaTelcoLogs_Reseau[[#This Row],[Cell_ID]],'CKadeaTelcoRegistre_Maintenance'!A:A,'CKadeaTelcoRegistre_Maintenance'!D:D,"Non repertorié")</f>
        <v>18.960726000000001</v>
      </c>
      <c r="H201" t="str">
        <f>_xlfn.XLOOKUP(CKadeaTelcoLogs_Reseau[[#This Row],[Cell_ID]],'CKadeaTelcoRegistre_Maintenance'!A:A,'CKadeaTelcoRegistre_Maintenance'!E:E,"Non repertorié")</f>
        <v>4G</v>
      </c>
      <c r="I201" t="str">
        <f>_xlfn.XLOOKUP(CKadeaTelcoLogs_Reseau[[#This Row],[Cell_ID]],'CKadeaTelcoRegistre_Maintenance'!A:A,'CKadeaTelcoRegistre_Maintenance'!F:F,"Non repertorié")</f>
        <v>Huawei</v>
      </c>
    </row>
    <row r="202" spans="1:9" ht="20.5" customHeight="1" x14ac:dyDescent="0.35">
      <c r="A202" s="1">
        <v>45202.21875</v>
      </c>
      <c r="B202" s="5" t="s">
        <v>189</v>
      </c>
      <c r="C202">
        <v>86</v>
      </c>
      <c r="D202" t="s">
        <v>10</v>
      </c>
      <c r="E202" t="str">
        <f>_xlfn.XLOOKUP(CKadeaTelcoLogs_Reseau[[#This Row],[Cell_ID]],'CKadeaTelcoRegistre_Maintenance'!A:A,'CKadeaTelcoRegistre_Maintenance'!B:B,"Non repertorié")</f>
        <v>Haut-Lomami</v>
      </c>
      <c r="F202">
        <f>_xlfn.XLOOKUP(CKadeaTelcoLogs_Reseau[[#This Row],[Cell_ID]],'CKadeaTelcoRegistre_Maintenance'!A:A,'CKadeaTelcoRegistre_Maintenance'!C:C,"Non repertorié")</f>
        <v>-12.112682</v>
      </c>
      <c r="G202">
        <f>_xlfn.XLOOKUP(CKadeaTelcoLogs_Reseau[[#This Row],[Cell_ID]],'CKadeaTelcoRegistre_Maintenance'!A:A,'CKadeaTelcoRegistre_Maintenance'!D:D,"Non repertorié")</f>
        <v>19.972052000000001</v>
      </c>
      <c r="H202" t="str">
        <f>_xlfn.XLOOKUP(CKadeaTelcoLogs_Reseau[[#This Row],[Cell_ID]],'CKadeaTelcoRegistre_Maintenance'!A:A,'CKadeaTelcoRegistre_Maintenance'!E:E,"Non repertorié")</f>
        <v>4G</v>
      </c>
      <c r="I202" t="str">
        <f>_xlfn.XLOOKUP(CKadeaTelcoLogs_Reseau[[#This Row],[Cell_ID]],'CKadeaTelcoRegistre_Maintenance'!A:A,'CKadeaTelcoRegistre_Maintenance'!F:F,"Non repertorié")</f>
        <v>Huawei</v>
      </c>
    </row>
    <row r="203" spans="1:9" ht="20.5" customHeight="1" x14ac:dyDescent="0.35">
      <c r="A203" s="1">
        <v>45205.711111111108</v>
      </c>
      <c r="B203" s="5" t="s">
        <v>190</v>
      </c>
      <c r="C203">
        <v>109</v>
      </c>
      <c r="D203" t="s">
        <v>10</v>
      </c>
      <c r="E203" t="str">
        <f>_xlfn.XLOOKUP(CKadeaTelcoLogs_Reseau[[#This Row],[Cell_ID]],'CKadeaTelcoRegistre_Maintenance'!A:A,'CKadeaTelcoRegistre_Maintenance'!B:B,"Non repertorié")</f>
        <v>Non repertorié</v>
      </c>
      <c r="F203" t="str">
        <f>_xlfn.XLOOKUP(CKadeaTelcoLogs_Reseau[[#This Row],[Cell_ID]],'CKadeaTelcoRegistre_Maintenance'!A:A,'CKadeaTelcoRegistre_Maintenance'!C:C,"Non repertorié")</f>
        <v>Non repertorié</v>
      </c>
      <c r="G203" t="str">
        <f>_xlfn.XLOOKUP(CKadeaTelcoLogs_Reseau[[#This Row],[Cell_ID]],'CKadeaTelcoRegistre_Maintenance'!A:A,'CKadeaTelcoRegistre_Maintenance'!D:D,"Non repertorié")</f>
        <v>Non repertorié</v>
      </c>
      <c r="H203" t="str">
        <f>_xlfn.XLOOKUP(CKadeaTelcoLogs_Reseau[[#This Row],[Cell_ID]],'CKadeaTelcoRegistre_Maintenance'!A:A,'CKadeaTelcoRegistre_Maintenance'!E:E,"Non repertorié")</f>
        <v>Non repertorié</v>
      </c>
      <c r="I203" t="str">
        <f>_xlfn.XLOOKUP(CKadeaTelcoLogs_Reseau[[#This Row],[Cell_ID]],'CKadeaTelcoRegistre_Maintenance'!A:A,'CKadeaTelcoRegistre_Maintenance'!F:F,"Non repertorié")</f>
        <v>Non repertorié</v>
      </c>
    </row>
    <row r="204" spans="1:9" ht="20.5" customHeight="1" x14ac:dyDescent="0.35">
      <c r="A204" s="1">
        <v>45205.018055555556</v>
      </c>
      <c r="B204" s="5" t="s">
        <v>191</v>
      </c>
      <c r="C204">
        <v>67</v>
      </c>
      <c r="D204" t="s">
        <v>10</v>
      </c>
      <c r="E204" t="str">
        <f>_xlfn.XLOOKUP(CKadeaTelcoLogs_Reseau[[#This Row],[Cell_ID]],'CKadeaTelcoRegistre_Maintenance'!A:A,'CKadeaTelcoRegistre_Maintenance'!B:B,"Non repertorié")</f>
        <v>Bas-Uele</v>
      </c>
      <c r="F204">
        <f>_xlfn.XLOOKUP(CKadeaTelcoLogs_Reseau[[#This Row],[Cell_ID]],'CKadeaTelcoRegistre_Maintenance'!A:A,'CKadeaTelcoRegistre_Maintenance'!C:C,"Non repertorié")</f>
        <v>1.5278670000000001</v>
      </c>
      <c r="G204">
        <f>_xlfn.XLOOKUP(CKadeaTelcoLogs_Reseau[[#This Row],[Cell_ID]],'CKadeaTelcoRegistre_Maintenance'!A:A,'CKadeaTelcoRegistre_Maintenance'!D:D,"Non repertorié")</f>
        <v>13.899388999999999</v>
      </c>
      <c r="H204" t="str">
        <f>_xlfn.XLOOKUP(CKadeaTelcoLogs_Reseau[[#This Row],[Cell_ID]],'CKadeaTelcoRegistre_Maintenance'!A:A,'CKadeaTelcoRegistre_Maintenance'!E:E,"Non repertorié")</f>
        <v>3G</v>
      </c>
      <c r="I204" t="str">
        <f>_xlfn.XLOOKUP(CKadeaTelcoLogs_Reseau[[#This Row],[Cell_ID]],'CKadeaTelcoRegistre_Maintenance'!A:A,'CKadeaTelcoRegistre_Maintenance'!F:F,"Non repertorié")</f>
        <v>Huawei</v>
      </c>
    </row>
    <row r="205" spans="1:9" ht="20.5" customHeight="1" x14ac:dyDescent="0.35">
      <c r="A205" s="1">
        <v>45214.943055555559</v>
      </c>
      <c r="B205" s="5" t="s">
        <v>192</v>
      </c>
      <c r="C205">
        <v>16</v>
      </c>
      <c r="D205" t="s">
        <v>5</v>
      </c>
      <c r="E205" t="str">
        <f>_xlfn.XLOOKUP(CKadeaTelcoLogs_Reseau[[#This Row],[Cell_ID]],'CKadeaTelcoRegistre_Maintenance'!A:A,'CKadeaTelcoRegistre_Maintenance'!B:B,"Non repertorié")</f>
        <v>Haut-Lomami</v>
      </c>
      <c r="F205">
        <f>_xlfn.XLOOKUP(CKadeaTelcoLogs_Reseau[[#This Row],[Cell_ID]],'CKadeaTelcoRegistre_Maintenance'!A:A,'CKadeaTelcoRegistre_Maintenance'!C:C,"Non repertorié")</f>
        <v>1.210869</v>
      </c>
      <c r="G205">
        <f>_xlfn.XLOOKUP(CKadeaTelcoLogs_Reseau[[#This Row],[Cell_ID]],'CKadeaTelcoRegistre_Maintenance'!A:A,'CKadeaTelcoRegistre_Maintenance'!D:D,"Non repertorié")</f>
        <v>25.598741</v>
      </c>
      <c r="H205" t="str">
        <f>_xlfn.XLOOKUP(CKadeaTelcoLogs_Reseau[[#This Row],[Cell_ID]],'CKadeaTelcoRegistre_Maintenance'!A:A,'CKadeaTelcoRegistre_Maintenance'!E:E,"Non repertorié")</f>
        <v>4G</v>
      </c>
      <c r="I205" t="str">
        <f>_xlfn.XLOOKUP(CKadeaTelcoLogs_Reseau[[#This Row],[Cell_ID]],'CKadeaTelcoRegistre_Maintenance'!A:A,'CKadeaTelcoRegistre_Maintenance'!F:F,"Non repertorié")</f>
        <v>Ericsson</v>
      </c>
    </row>
    <row r="206" spans="1:9" ht="20.5" customHeight="1" x14ac:dyDescent="0.35">
      <c r="A206" s="1">
        <v>45215.376388888886</v>
      </c>
      <c r="B206" s="5" t="s">
        <v>22</v>
      </c>
      <c r="C206">
        <v>65</v>
      </c>
      <c r="D206" t="s">
        <v>10</v>
      </c>
      <c r="E206" t="str">
        <f>_xlfn.XLOOKUP(CKadeaTelcoLogs_Reseau[[#This Row],[Cell_ID]],'CKadeaTelcoRegistre_Maintenance'!A:A,'CKadeaTelcoRegistre_Maintenance'!B:B,"Non repertorié")</f>
        <v>Lomami</v>
      </c>
      <c r="F206">
        <f>_xlfn.XLOOKUP(CKadeaTelcoLogs_Reseau[[#This Row],[Cell_ID]],'CKadeaTelcoRegistre_Maintenance'!A:A,'CKadeaTelcoRegistre_Maintenance'!C:C,"Non repertorié")</f>
        <v>-2.2371569999999998</v>
      </c>
      <c r="G206">
        <f>_xlfn.XLOOKUP(CKadeaTelcoLogs_Reseau[[#This Row],[Cell_ID]],'CKadeaTelcoRegistre_Maintenance'!A:A,'CKadeaTelcoRegistre_Maintenance'!D:D,"Non repertorié")</f>
        <v>25.926188</v>
      </c>
      <c r="H206" t="str">
        <f>_xlfn.XLOOKUP(CKadeaTelcoLogs_Reseau[[#This Row],[Cell_ID]],'CKadeaTelcoRegistre_Maintenance'!A:A,'CKadeaTelcoRegistre_Maintenance'!E:E,"Non repertorié")</f>
        <v>3G</v>
      </c>
      <c r="I206" t="str">
        <f>_xlfn.XLOOKUP(CKadeaTelcoLogs_Reseau[[#This Row],[Cell_ID]],'CKadeaTelcoRegistre_Maintenance'!A:A,'CKadeaTelcoRegistre_Maintenance'!F:F,"Non repertorié")</f>
        <v>Nokia</v>
      </c>
    </row>
    <row r="207" spans="1:9" ht="20.5" customHeight="1" x14ac:dyDescent="0.35">
      <c r="A207" s="1">
        <v>45207.40625</v>
      </c>
      <c r="B207" s="5" t="s">
        <v>72</v>
      </c>
      <c r="C207">
        <v>49</v>
      </c>
      <c r="D207" t="s">
        <v>8</v>
      </c>
      <c r="E207" t="str">
        <f>_xlfn.XLOOKUP(CKadeaTelcoLogs_Reseau[[#This Row],[Cell_ID]],'CKadeaTelcoRegistre_Maintenance'!A:A,'CKadeaTelcoRegistre_Maintenance'!B:B,"Non repertorié")</f>
        <v>Non repertorié</v>
      </c>
      <c r="F207" t="str">
        <f>_xlfn.XLOOKUP(CKadeaTelcoLogs_Reseau[[#This Row],[Cell_ID]],'CKadeaTelcoRegistre_Maintenance'!A:A,'CKadeaTelcoRegistre_Maintenance'!C:C,"Non repertorié")</f>
        <v>Non repertorié</v>
      </c>
      <c r="G207" t="str">
        <f>_xlfn.XLOOKUP(CKadeaTelcoLogs_Reseau[[#This Row],[Cell_ID]],'CKadeaTelcoRegistre_Maintenance'!A:A,'CKadeaTelcoRegistre_Maintenance'!D:D,"Non repertorié")</f>
        <v>Non repertorié</v>
      </c>
      <c r="H207" t="str">
        <f>_xlfn.XLOOKUP(CKadeaTelcoLogs_Reseau[[#This Row],[Cell_ID]],'CKadeaTelcoRegistre_Maintenance'!A:A,'CKadeaTelcoRegistre_Maintenance'!E:E,"Non repertorié")</f>
        <v>Non repertorié</v>
      </c>
      <c r="I207" t="str">
        <f>_xlfn.XLOOKUP(CKadeaTelcoLogs_Reseau[[#This Row],[Cell_ID]],'CKadeaTelcoRegistre_Maintenance'!A:A,'CKadeaTelcoRegistre_Maintenance'!F:F,"Non repertorié")</f>
        <v>Non repertorié</v>
      </c>
    </row>
    <row r="208" spans="1:9" ht="20.5" customHeight="1" x14ac:dyDescent="0.35">
      <c r="A208" s="1">
        <v>45209.954861111109</v>
      </c>
      <c r="B208" s="5" t="s">
        <v>193</v>
      </c>
      <c r="C208">
        <v>57</v>
      </c>
      <c r="D208" t="s">
        <v>5</v>
      </c>
      <c r="E208" t="str">
        <f>_xlfn.XLOOKUP(CKadeaTelcoLogs_Reseau[[#This Row],[Cell_ID]],'CKadeaTelcoRegistre_Maintenance'!A:A,'CKadeaTelcoRegistre_Maintenance'!B:B,"Non repertorié")</f>
        <v>Non repertorié</v>
      </c>
      <c r="F208" t="str">
        <f>_xlfn.XLOOKUP(CKadeaTelcoLogs_Reseau[[#This Row],[Cell_ID]],'CKadeaTelcoRegistre_Maintenance'!A:A,'CKadeaTelcoRegistre_Maintenance'!C:C,"Non repertorié")</f>
        <v>Non repertorié</v>
      </c>
      <c r="G208" t="str">
        <f>_xlfn.XLOOKUP(CKadeaTelcoLogs_Reseau[[#This Row],[Cell_ID]],'CKadeaTelcoRegistre_Maintenance'!A:A,'CKadeaTelcoRegistre_Maintenance'!D:D,"Non repertorié")</f>
        <v>Non repertorié</v>
      </c>
      <c r="H208" t="str">
        <f>_xlfn.XLOOKUP(CKadeaTelcoLogs_Reseau[[#This Row],[Cell_ID]],'CKadeaTelcoRegistre_Maintenance'!A:A,'CKadeaTelcoRegistre_Maintenance'!E:E,"Non repertorié")</f>
        <v>Non repertorié</v>
      </c>
      <c r="I208" t="str">
        <f>_xlfn.XLOOKUP(CKadeaTelcoLogs_Reseau[[#This Row],[Cell_ID]],'CKadeaTelcoRegistre_Maintenance'!A:A,'CKadeaTelcoRegistre_Maintenance'!F:F,"Non repertorié")</f>
        <v>Non repertorié</v>
      </c>
    </row>
    <row r="209" spans="1:9" ht="20.5" customHeight="1" x14ac:dyDescent="0.35">
      <c r="A209" s="1">
        <v>45214.113194444442</v>
      </c>
      <c r="B209" s="5" t="s">
        <v>60</v>
      </c>
      <c r="C209">
        <v>47</v>
      </c>
      <c r="D209" t="s">
        <v>10</v>
      </c>
      <c r="E209" t="str">
        <f>_xlfn.XLOOKUP(CKadeaTelcoLogs_Reseau[[#This Row],[Cell_ID]],'CKadeaTelcoRegistre_Maintenance'!A:A,'CKadeaTelcoRegistre_Maintenance'!B:B,"Non repertorié")</f>
        <v>Non repertorié</v>
      </c>
      <c r="F209" t="str">
        <f>_xlfn.XLOOKUP(CKadeaTelcoLogs_Reseau[[#This Row],[Cell_ID]],'CKadeaTelcoRegistre_Maintenance'!A:A,'CKadeaTelcoRegistre_Maintenance'!C:C,"Non repertorié")</f>
        <v>Non repertorié</v>
      </c>
      <c r="G209" t="str">
        <f>_xlfn.XLOOKUP(CKadeaTelcoLogs_Reseau[[#This Row],[Cell_ID]],'CKadeaTelcoRegistre_Maintenance'!A:A,'CKadeaTelcoRegistre_Maintenance'!D:D,"Non repertorié")</f>
        <v>Non repertorié</v>
      </c>
      <c r="H209" t="str">
        <f>_xlfn.XLOOKUP(CKadeaTelcoLogs_Reseau[[#This Row],[Cell_ID]],'CKadeaTelcoRegistre_Maintenance'!A:A,'CKadeaTelcoRegistre_Maintenance'!E:E,"Non repertorié")</f>
        <v>Non repertorié</v>
      </c>
      <c r="I209" t="str">
        <f>_xlfn.XLOOKUP(CKadeaTelcoLogs_Reseau[[#This Row],[Cell_ID]],'CKadeaTelcoRegistre_Maintenance'!A:A,'CKadeaTelcoRegistre_Maintenance'!F:F,"Non repertorié")</f>
        <v>Non repertorié</v>
      </c>
    </row>
    <row r="210" spans="1:9" ht="20.5" customHeight="1" x14ac:dyDescent="0.35">
      <c r="A210" s="1">
        <v>45207.368055555555</v>
      </c>
      <c r="B210" s="5" t="s">
        <v>194</v>
      </c>
      <c r="C210">
        <v>46</v>
      </c>
      <c r="D210" t="s">
        <v>5</v>
      </c>
      <c r="E210" t="str">
        <f>_xlfn.XLOOKUP(CKadeaTelcoLogs_Reseau[[#This Row],[Cell_ID]],'CKadeaTelcoRegistre_Maintenance'!A:A,'CKadeaTelcoRegistre_Maintenance'!B:B,"Non repertorié")</f>
        <v>Tanganyika</v>
      </c>
      <c r="F210">
        <f>_xlfn.XLOOKUP(CKadeaTelcoLogs_Reseau[[#This Row],[Cell_ID]],'CKadeaTelcoRegistre_Maintenance'!A:A,'CKadeaTelcoRegistre_Maintenance'!C:C,"Non repertorié")</f>
        <v>-10.481026999999999</v>
      </c>
      <c r="G210">
        <f>_xlfn.XLOOKUP(CKadeaTelcoLogs_Reseau[[#This Row],[Cell_ID]],'CKadeaTelcoRegistre_Maintenance'!A:A,'CKadeaTelcoRegistre_Maintenance'!D:D,"Non repertorié")</f>
        <v>18.160464000000001</v>
      </c>
      <c r="H210" t="str">
        <f>_xlfn.XLOOKUP(CKadeaTelcoLogs_Reseau[[#This Row],[Cell_ID]],'CKadeaTelcoRegistre_Maintenance'!A:A,'CKadeaTelcoRegistre_Maintenance'!E:E,"Non repertorié")</f>
        <v>5G</v>
      </c>
      <c r="I210" t="str">
        <f>_xlfn.XLOOKUP(CKadeaTelcoLogs_Reseau[[#This Row],[Cell_ID]],'CKadeaTelcoRegistre_Maintenance'!A:A,'CKadeaTelcoRegistre_Maintenance'!F:F,"Non repertorié")</f>
        <v>Huawei</v>
      </c>
    </row>
    <row r="211" spans="1:9" ht="20.5" customHeight="1" x14ac:dyDescent="0.35">
      <c r="A211" s="1">
        <v>45225.859027777777</v>
      </c>
      <c r="B211" s="5" t="s">
        <v>195</v>
      </c>
      <c r="C211">
        <v>90</v>
      </c>
      <c r="D211" t="s">
        <v>8</v>
      </c>
      <c r="E211" t="str">
        <f>_xlfn.XLOOKUP(CKadeaTelcoLogs_Reseau[[#This Row],[Cell_ID]],'CKadeaTelcoRegistre_Maintenance'!A:A,'CKadeaTelcoRegistre_Maintenance'!B:B,"Non repertorié")</f>
        <v>Non repertorié</v>
      </c>
      <c r="F211" t="str">
        <f>_xlfn.XLOOKUP(CKadeaTelcoLogs_Reseau[[#This Row],[Cell_ID]],'CKadeaTelcoRegistre_Maintenance'!A:A,'CKadeaTelcoRegistre_Maintenance'!C:C,"Non repertorié")</f>
        <v>Non repertorié</v>
      </c>
      <c r="G211" t="str">
        <f>_xlfn.XLOOKUP(CKadeaTelcoLogs_Reseau[[#This Row],[Cell_ID]],'CKadeaTelcoRegistre_Maintenance'!A:A,'CKadeaTelcoRegistre_Maintenance'!D:D,"Non repertorié")</f>
        <v>Non repertorié</v>
      </c>
      <c r="H211" t="str">
        <f>_xlfn.XLOOKUP(CKadeaTelcoLogs_Reseau[[#This Row],[Cell_ID]],'CKadeaTelcoRegistre_Maintenance'!A:A,'CKadeaTelcoRegistre_Maintenance'!E:E,"Non repertorié")</f>
        <v>Non repertorié</v>
      </c>
      <c r="I211" t="str">
        <f>_xlfn.XLOOKUP(CKadeaTelcoLogs_Reseau[[#This Row],[Cell_ID]],'CKadeaTelcoRegistre_Maintenance'!A:A,'CKadeaTelcoRegistre_Maintenance'!F:F,"Non repertorié")</f>
        <v>Non repertorié</v>
      </c>
    </row>
    <row r="212" spans="1:9" ht="20.5" customHeight="1" x14ac:dyDescent="0.35">
      <c r="A212" s="1">
        <v>45221.268750000003</v>
      </c>
      <c r="B212" s="5" t="s">
        <v>196</v>
      </c>
      <c r="C212">
        <v>18</v>
      </c>
      <c r="D212" t="s">
        <v>8</v>
      </c>
      <c r="E212" t="str">
        <f>_xlfn.XLOOKUP(CKadeaTelcoLogs_Reseau[[#This Row],[Cell_ID]],'CKadeaTelcoRegistre_Maintenance'!A:A,'CKadeaTelcoRegistre_Maintenance'!B:B,"Non repertorié")</f>
        <v>Nord-Kivu</v>
      </c>
      <c r="F212">
        <f>_xlfn.XLOOKUP(CKadeaTelcoLogs_Reseau[[#This Row],[Cell_ID]],'CKadeaTelcoRegistre_Maintenance'!A:A,'CKadeaTelcoRegistre_Maintenance'!C:C,"Non repertorié")</f>
        <v>-1.8555980000000001</v>
      </c>
      <c r="G212">
        <f>_xlfn.XLOOKUP(CKadeaTelcoLogs_Reseau[[#This Row],[Cell_ID]],'CKadeaTelcoRegistre_Maintenance'!A:A,'CKadeaTelcoRegistre_Maintenance'!D:D,"Non repertorié")</f>
        <v>30.421918000000002</v>
      </c>
      <c r="H212" t="str">
        <f>_xlfn.XLOOKUP(CKadeaTelcoLogs_Reseau[[#This Row],[Cell_ID]],'CKadeaTelcoRegistre_Maintenance'!A:A,'CKadeaTelcoRegistre_Maintenance'!E:E,"Non repertorié")</f>
        <v>3G</v>
      </c>
      <c r="I212" t="str">
        <f>_xlfn.XLOOKUP(CKadeaTelcoLogs_Reseau[[#This Row],[Cell_ID]],'CKadeaTelcoRegistre_Maintenance'!A:A,'CKadeaTelcoRegistre_Maintenance'!F:F,"Non repertorié")</f>
        <v>ZTE</v>
      </c>
    </row>
    <row r="213" spans="1:9" ht="20.5" customHeight="1" x14ac:dyDescent="0.35">
      <c r="A213" s="1">
        <v>45203.718055555553</v>
      </c>
      <c r="B213" s="5" t="s">
        <v>197</v>
      </c>
      <c r="C213">
        <v>114</v>
      </c>
      <c r="D213" t="s">
        <v>8</v>
      </c>
      <c r="E213" t="str">
        <f>_xlfn.XLOOKUP(CKadeaTelcoLogs_Reseau[[#This Row],[Cell_ID]],'CKadeaTelcoRegistre_Maintenance'!A:A,'CKadeaTelcoRegistre_Maintenance'!B:B,"Non repertorié")</f>
        <v>Non repertorié</v>
      </c>
      <c r="F213" t="str">
        <f>_xlfn.XLOOKUP(CKadeaTelcoLogs_Reseau[[#This Row],[Cell_ID]],'CKadeaTelcoRegistre_Maintenance'!A:A,'CKadeaTelcoRegistre_Maintenance'!C:C,"Non repertorié")</f>
        <v>Non repertorié</v>
      </c>
      <c r="G213" t="str">
        <f>_xlfn.XLOOKUP(CKadeaTelcoLogs_Reseau[[#This Row],[Cell_ID]],'CKadeaTelcoRegistre_Maintenance'!A:A,'CKadeaTelcoRegistre_Maintenance'!D:D,"Non repertorié")</f>
        <v>Non repertorié</v>
      </c>
      <c r="H213" t="str">
        <f>_xlfn.XLOOKUP(CKadeaTelcoLogs_Reseau[[#This Row],[Cell_ID]],'CKadeaTelcoRegistre_Maintenance'!A:A,'CKadeaTelcoRegistre_Maintenance'!E:E,"Non repertorié")</f>
        <v>Non repertorié</v>
      </c>
      <c r="I213" t="str">
        <f>_xlfn.XLOOKUP(CKadeaTelcoLogs_Reseau[[#This Row],[Cell_ID]],'CKadeaTelcoRegistre_Maintenance'!A:A,'CKadeaTelcoRegistre_Maintenance'!F:F,"Non repertorié")</f>
        <v>Non repertorié</v>
      </c>
    </row>
    <row r="214" spans="1:9" ht="20.5" customHeight="1" x14ac:dyDescent="0.35">
      <c r="A214" s="1">
        <v>45220.206944444442</v>
      </c>
      <c r="B214" s="5" t="s">
        <v>198</v>
      </c>
      <c r="C214">
        <v>25</v>
      </c>
      <c r="D214" t="s">
        <v>5</v>
      </c>
      <c r="E214" t="str">
        <f>_xlfn.XLOOKUP(CKadeaTelcoLogs_Reseau[[#This Row],[Cell_ID]],'CKadeaTelcoRegistre_Maintenance'!A:A,'CKadeaTelcoRegistre_Maintenance'!B:B,"Non repertorié")</f>
        <v>Equateur</v>
      </c>
      <c r="F214">
        <f>_xlfn.XLOOKUP(CKadeaTelcoLogs_Reseau[[#This Row],[Cell_ID]],'CKadeaTelcoRegistre_Maintenance'!A:A,'CKadeaTelcoRegistre_Maintenance'!C:C,"Non repertorié")</f>
        <v>3.3289240000000002</v>
      </c>
      <c r="G214">
        <f>_xlfn.XLOOKUP(CKadeaTelcoLogs_Reseau[[#This Row],[Cell_ID]],'CKadeaTelcoRegistre_Maintenance'!A:A,'CKadeaTelcoRegistre_Maintenance'!D:D,"Non repertorié")</f>
        <v>24.412261000000001</v>
      </c>
      <c r="H214" t="str">
        <f>_xlfn.XLOOKUP(CKadeaTelcoLogs_Reseau[[#This Row],[Cell_ID]],'CKadeaTelcoRegistre_Maintenance'!A:A,'CKadeaTelcoRegistre_Maintenance'!E:E,"Non repertorié")</f>
        <v>5G</v>
      </c>
      <c r="I214" t="str">
        <f>_xlfn.XLOOKUP(CKadeaTelcoLogs_Reseau[[#This Row],[Cell_ID]],'CKadeaTelcoRegistre_Maintenance'!A:A,'CKadeaTelcoRegistre_Maintenance'!F:F,"Non repertorié")</f>
        <v>Nokia</v>
      </c>
    </row>
    <row r="215" spans="1:9" ht="20.5" customHeight="1" x14ac:dyDescent="0.35">
      <c r="A215" s="1">
        <v>45208.169444444444</v>
      </c>
      <c r="B215" s="5" t="s">
        <v>199</v>
      </c>
      <c r="C215">
        <v>47</v>
      </c>
      <c r="D215" t="s">
        <v>5</v>
      </c>
      <c r="E215" t="str">
        <f>_xlfn.XLOOKUP(CKadeaTelcoLogs_Reseau[[#This Row],[Cell_ID]],'CKadeaTelcoRegistre_Maintenance'!A:A,'CKadeaTelcoRegistre_Maintenance'!B:B,"Non repertorié")</f>
        <v>Kasai</v>
      </c>
      <c r="F215">
        <f>_xlfn.XLOOKUP(CKadeaTelcoLogs_Reseau[[#This Row],[Cell_ID]],'CKadeaTelcoRegistre_Maintenance'!A:A,'CKadeaTelcoRegistre_Maintenance'!C:C,"Non repertorié")</f>
        <v>-4.351254</v>
      </c>
      <c r="G215">
        <f>_xlfn.XLOOKUP(CKadeaTelcoLogs_Reseau[[#This Row],[Cell_ID]],'CKadeaTelcoRegistre_Maintenance'!A:A,'CKadeaTelcoRegistre_Maintenance'!D:D,"Non repertorié")</f>
        <v>30.097408999999999</v>
      </c>
      <c r="H215" t="str">
        <f>_xlfn.XLOOKUP(CKadeaTelcoLogs_Reseau[[#This Row],[Cell_ID]],'CKadeaTelcoRegistre_Maintenance'!A:A,'CKadeaTelcoRegistre_Maintenance'!E:E,"Non repertorié")</f>
        <v>5G</v>
      </c>
      <c r="I215" t="str">
        <f>_xlfn.XLOOKUP(CKadeaTelcoLogs_Reseau[[#This Row],[Cell_ID]],'CKadeaTelcoRegistre_Maintenance'!A:A,'CKadeaTelcoRegistre_Maintenance'!F:F,"Non repertorié")</f>
        <v>Nokia</v>
      </c>
    </row>
    <row r="216" spans="1:9" ht="20.5" customHeight="1" x14ac:dyDescent="0.35">
      <c r="A216" s="1">
        <v>45201.243055555555</v>
      </c>
      <c r="B216" s="5" t="s">
        <v>200</v>
      </c>
      <c r="C216">
        <v>57</v>
      </c>
      <c r="D216" t="s">
        <v>10</v>
      </c>
      <c r="E216" t="str">
        <f>_xlfn.XLOOKUP(CKadeaTelcoLogs_Reseau[[#This Row],[Cell_ID]],'CKadeaTelcoRegistre_Maintenance'!A:A,'CKadeaTelcoRegistre_Maintenance'!B:B,"Non repertorié")</f>
        <v>Non repertorié</v>
      </c>
      <c r="F216" t="str">
        <f>_xlfn.XLOOKUP(CKadeaTelcoLogs_Reseau[[#This Row],[Cell_ID]],'CKadeaTelcoRegistre_Maintenance'!A:A,'CKadeaTelcoRegistre_Maintenance'!C:C,"Non repertorié")</f>
        <v>Non repertorié</v>
      </c>
      <c r="G216" t="str">
        <f>_xlfn.XLOOKUP(CKadeaTelcoLogs_Reseau[[#This Row],[Cell_ID]],'CKadeaTelcoRegistre_Maintenance'!A:A,'CKadeaTelcoRegistre_Maintenance'!D:D,"Non repertorié")</f>
        <v>Non repertorié</v>
      </c>
      <c r="H216" t="str">
        <f>_xlfn.XLOOKUP(CKadeaTelcoLogs_Reseau[[#This Row],[Cell_ID]],'CKadeaTelcoRegistre_Maintenance'!A:A,'CKadeaTelcoRegistre_Maintenance'!E:E,"Non repertorié")</f>
        <v>Non repertorié</v>
      </c>
      <c r="I216" t="str">
        <f>_xlfn.XLOOKUP(CKadeaTelcoLogs_Reseau[[#This Row],[Cell_ID]],'CKadeaTelcoRegistre_Maintenance'!A:A,'CKadeaTelcoRegistre_Maintenance'!F:F,"Non repertorié")</f>
        <v>Non repertorié</v>
      </c>
    </row>
    <row r="217" spans="1:9" ht="20.5" customHeight="1" x14ac:dyDescent="0.35">
      <c r="A217" s="1">
        <v>45209.824305555558</v>
      </c>
      <c r="B217" s="5" t="s">
        <v>133</v>
      </c>
      <c r="C217">
        <v>93</v>
      </c>
      <c r="D217" t="s">
        <v>10</v>
      </c>
      <c r="E217" t="str">
        <f>_xlfn.XLOOKUP(CKadeaTelcoLogs_Reseau[[#This Row],[Cell_ID]],'CKadeaTelcoRegistre_Maintenance'!A:A,'CKadeaTelcoRegistre_Maintenance'!B:B,"Non repertorié")</f>
        <v>Kasai-Central</v>
      </c>
      <c r="F217">
        <f>_xlfn.XLOOKUP(CKadeaTelcoLogs_Reseau[[#This Row],[Cell_ID]],'CKadeaTelcoRegistre_Maintenance'!A:A,'CKadeaTelcoRegistre_Maintenance'!C:C,"Non repertorié")</f>
        <v>-10.414493</v>
      </c>
      <c r="G217">
        <f>_xlfn.XLOOKUP(CKadeaTelcoLogs_Reseau[[#This Row],[Cell_ID]],'CKadeaTelcoRegistre_Maintenance'!A:A,'CKadeaTelcoRegistre_Maintenance'!D:D,"Non repertorié")</f>
        <v>12.333356999999999</v>
      </c>
      <c r="H217" t="str">
        <f>_xlfn.XLOOKUP(CKadeaTelcoLogs_Reseau[[#This Row],[Cell_ID]],'CKadeaTelcoRegistre_Maintenance'!A:A,'CKadeaTelcoRegistre_Maintenance'!E:E,"Non repertorié")</f>
        <v>3G</v>
      </c>
      <c r="I217" t="str">
        <f>_xlfn.XLOOKUP(CKadeaTelcoLogs_Reseau[[#This Row],[Cell_ID]],'CKadeaTelcoRegistre_Maintenance'!A:A,'CKadeaTelcoRegistre_Maintenance'!F:F,"Non repertorié")</f>
        <v>Ericsson</v>
      </c>
    </row>
    <row r="218" spans="1:9" ht="20.5" customHeight="1" x14ac:dyDescent="0.35">
      <c r="A218" s="1">
        <v>45226.790277777778</v>
      </c>
      <c r="B218" s="5" t="s">
        <v>201</v>
      </c>
      <c r="C218">
        <v>68</v>
      </c>
      <c r="D218" t="s">
        <v>10</v>
      </c>
      <c r="E218" t="str">
        <f>_xlfn.XLOOKUP(CKadeaTelcoLogs_Reseau[[#This Row],[Cell_ID]],'CKadeaTelcoRegistre_Maintenance'!A:A,'CKadeaTelcoRegistre_Maintenance'!B:B,"Non repertorié")</f>
        <v>Equateur</v>
      </c>
      <c r="F218">
        <f>_xlfn.XLOOKUP(CKadeaTelcoLogs_Reseau[[#This Row],[Cell_ID]],'CKadeaTelcoRegistre_Maintenance'!A:A,'CKadeaTelcoRegistre_Maintenance'!C:C,"Non repertorié")</f>
        <v>-0.37665700000000002</v>
      </c>
      <c r="G218">
        <f>_xlfn.XLOOKUP(CKadeaTelcoLogs_Reseau[[#This Row],[Cell_ID]],'CKadeaTelcoRegistre_Maintenance'!A:A,'CKadeaTelcoRegistre_Maintenance'!D:D,"Non repertorié")</f>
        <v>25.154807999999999</v>
      </c>
      <c r="H218" t="str">
        <f>_xlfn.XLOOKUP(CKadeaTelcoLogs_Reseau[[#This Row],[Cell_ID]],'CKadeaTelcoRegistre_Maintenance'!A:A,'CKadeaTelcoRegistre_Maintenance'!E:E,"Non repertorié")</f>
        <v>3G</v>
      </c>
      <c r="I218" t="str">
        <f>_xlfn.XLOOKUP(CKadeaTelcoLogs_Reseau[[#This Row],[Cell_ID]],'CKadeaTelcoRegistre_Maintenance'!A:A,'CKadeaTelcoRegistre_Maintenance'!F:F,"Non repertorié")</f>
        <v>Nokia</v>
      </c>
    </row>
    <row r="219" spans="1:9" ht="20.5" customHeight="1" x14ac:dyDescent="0.35">
      <c r="A219" s="1">
        <v>45209.588194444441</v>
      </c>
      <c r="B219" s="5" t="s">
        <v>124</v>
      </c>
      <c r="C219">
        <v>41</v>
      </c>
      <c r="D219" t="s">
        <v>8</v>
      </c>
      <c r="E219" t="str">
        <f>_xlfn.XLOOKUP(CKadeaTelcoLogs_Reseau[[#This Row],[Cell_ID]],'CKadeaTelcoRegistre_Maintenance'!A:A,'CKadeaTelcoRegistre_Maintenance'!B:B,"Non repertorié")</f>
        <v>Non repertorié</v>
      </c>
      <c r="F219" t="str">
        <f>_xlfn.XLOOKUP(CKadeaTelcoLogs_Reseau[[#This Row],[Cell_ID]],'CKadeaTelcoRegistre_Maintenance'!A:A,'CKadeaTelcoRegistre_Maintenance'!C:C,"Non repertorié")</f>
        <v>Non repertorié</v>
      </c>
      <c r="G219" t="str">
        <f>_xlfn.XLOOKUP(CKadeaTelcoLogs_Reseau[[#This Row],[Cell_ID]],'CKadeaTelcoRegistre_Maintenance'!A:A,'CKadeaTelcoRegistre_Maintenance'!D:D,"Non repertorié")</f>
        <v>Non repertorié</v>
      </c>
      <c r="H219" t="str">
        <f>_xlfn.XLOOKUP(CKadeaTelcoLogs_Reseau[[#This Row],[Cell_ID]],'CKadeaTelcoRegistre_Maintenance'!A:A,'CKadeaTelcoRegistre_Maintenance'!E:E,"Non repertorié")</f>
        <v>Non repertorié</v>
      </c>
      <c r="I219" t="str">
        <f>_xlfn.XLOOKUP(CKadeaTelcoLogs_Reseau[[#This Row],[Cell_ID]],'CKadeaTelcoRegistre_Maintenance'!A:A,'CKadeaTelcoRegistre_Maintenance'!F:F,"Non repertorié")</f>
        <v>Non repertorié</v>
      </c>
    </row>
    <row r="220" spans="1:9" ht="20.5" customHeight="1" x14ac:dyDescent="0.35">
      <c r="A220" s="1">
        <v>45214.929861111108</v>
      </c>
      <c r="B220" s="5" t="s">
        <v>202</v>
      </c>
      <c r="C220">
        <v>89</v>
      </c>
      <c r="D220" t="s">
        <v>10</v>
      </c>
      <c r="E220" t="str">
        <f>_xlfn.XLOOKUP(CKadeaTelcoLogs_Reseau[[#This Row],[Cell_ID]],'CKadeaTelcoRegistre_Maintenance'!A:A,'CKadeaTelcoRegistre_Maintenance'!B:B,"Non repertorié")</f>
        <v>Non repertorié</v>
      </c>
      <c r="F220" t="str">
        <f>_xlfn.XLOOKUP(CKadeaTelcoLogs_Reseau[[#This Row],[Cell_ID]],'CKadeaTelcoRegistre_Maintenance'!A:A,'CKadeaTelcoRegistre_Maintenance'!C:C,"Non repertorié")</f>
        <v>Non repertorié</v>
      </c>
      <c r="G220" t="str">
        <f>_xlfn.XLOOKUP(CKadeaTelcoLogs_Reseau[[#This Row],[Cell_ID]],'CKadeaTelcoRegistre_Maintenance'!A:A,'CKadeaTelcoRegistre_Maintenance'!D:D,"Non repertorié")</f>
        <v>Non repertorié</v>
      </c>
      <c r="H220" t="str">
        <f>_xlfn.XLOOKUP(CKadeaTelcoLogs_Reseau[[#This Row],[Cell_ID]],'CKadeaTelcoRegistre_Maintenance'!A:A,'CKadeaTelcoRegistre_Maintenance'!E:E,"Non repertorié")</f>
        <v>Non repertorié</v>
      </c>
      <c r="I220" t="str">
        <f>_xlfn.XLOOKUP(CKadeaTelcoLogs_Reseau[[#This Row],[Cell_ID]],'CKadeaTelcoRegistre_Maintenance'!A:A,'CKadeaTelcoRegistre_Maintenance'!F:F,"Non repertorié")</f>
        <v>Non repertorié</v>
      </c>
    </row>
    <row r="221" spans="1:9" ht="20.5" customHeight="1" x14ac:dyDescent="0.35">
      <c r="A221" s="1">
        <v>45222.511805555558</v>
      </c>
      <c r="B221" s="5" t="s">
        <v>203</v>
      </c>
      <c r="C221">
        <v>56</v>
      </c>
      <c r="D221" t="s">
        <v>5</v>
      </c>
      <c r="E221" t="str">
        <f>_xlfn.XLOOKUP(CKadeaTelcoLogs_Reseau[[#This Row],[Cell_ID]],'CKadeaTelcoRegistre_Maintenance'!A:A,'CKadeaTelcoRegistre_Maintenance'!B:B,"Non repertorié")</f>
        <v>Non repertorié</v>
      </c>
      <c r="F221" t="str">
        <f>_xlfn.XLOOKUP(CKadeaTelcoLogs_Reseau[[#This Row],[Cell_ID]],'CKadeaTelcoRegistre_Maintenance'!A:A,'CKadeaTelcoRegistre_Maintenance'!C:C,"Non repertorié")</f>
        <v>Non repertorié</v>
      </c>
      <c r="G221" t="str">
        <f>_xlfn.XLOOKUP(CKadeaTelcoLogs_Reseau[[#This Row],[Cell_ID]],'CKadeaTelcoRegistre_Maintenance'!A:A,'CKadeaTelcoRegistre_Maintenance'!D:D,"Non repertorié")</f>
        <v>Non repertorié</v>
      </c>
      <c r="H221" t="str">
        <f>_xlfn.XLOOKUP(CKadeaTelcoLogs_Reseau[[#This Row],[Cell_ID]],'CKadeaTelcoRegistre_Maintenance'!A:A,'CKadeaTelcoRegistre_Maintenance'!E:E,"Non repertorié")</f>
        <v>Non repertorié</v>
      </c>
      <c r="I221" t="str">
        <f>_xlfn.XLOOKUP(CKadeaTelcoLogs_Reseau[[#This Row],[Cell_ID]],'CKadeaTelcoRegistre_Maintenance'!A:A,'CKadeaTelcoRegistre_Maintenance'!F:F,"Non repertorié")</f>
        <v>Non repertorié</v>
      </c>
    </row>
    <row r="222" spans="1:9" ht="20.5" customHeight="1" x14ac:dyDescent="0.35">
      <c r="A222" s="1">
        <v>45216.729861111111</v>
      </c>
      <c r="B222" s="5" t="s">
        <v>204</v>
      </c>
      <c r="C222">
        <v>109</v>
      </c>
      <c r="D222" t="s">
        <v>10</v>
      </c>
      <c r="E222" t="str">
        <f>_xlfn.XLOOKUP(CKadeaTelcoLogs_Reseau[[#This Row],[Cell_ID]],'CKadeaTelcoRegistre_Maintenance'!A:A,'CKadeaTelcoRegistre_Maintenance'!B:B,"Non repertorié")</f>
        <v>Kasai-Oriental</v>
      </c>
      <c r="F222">
        <f>_xlfn.XLOOKUP(CKadeaTelcoLogs_Reseau[[#This Row],[Cell_ID]],'CKadeaTelcoRegistre_Maintenance'!A:A,'CKadeaTelcoRegistre_Maintenance'!C:C,"Non repertorié")</f>
        <v>0.639208</v>
      </c>
      <c r="G222">
        <f>_xlfn.XLOOKUP(CKadeaTelcoLogs_Reseau[[#This Row],[Cell_ID]],'CKadeaTelcoRegistre_Maintenance'!A:A,'CKadeaTelcoRegistre_Maintenance'!D:D,"Non repertorié")</f>
        <v>20.701739</v>
      </c>
      <c r="H222" t="str">
        <f>_xlfn.XLOOKUP(CKadeaTelcoLogs_Reseau[[#This Row],[Cell_ID]],'CKadeaTelcoRegistre_Maintenance'!A:A,'CKadeaTelcoRegistre_Maintenance'!E:E,"Non repertorié")</f>
        <v>4G</v>
      </c>
      <c r="I222" t="str">
        <f>_xlfn.XLOOKUP(CKadeaTelcoLogs_Reseau[[#This Row],[Cell_ID]],'CKadeaTelcoRegistre_Maintenance'!A:A,'CKadeaTelcoRegistre_Maintenance'!F:F,"Non repertorié")</f>
        <v>Huawei</v>
      </c>
    </row>
    <row r="223" spans="1:9" ht="20.5" customHeight="1" x14ac:dyDescent="0.35">
      <c r="A223" s="1">
        <v>45214.109722222223</v>
      </c>
      <c r="B223" s="5" t="s">
        <v>205</v>
      </c>
      <c r="C223">
        <v>102</v>
      </c>
      <c r="D223" t="s">
        <v>8</v>
      </c>
      <c r="E223" t="str">
        <f>_xlfn.XLOOKUP(CKadeaTelcoLogs_Reseau[[#This Row],[Cell_ID]],'CKadeaTelcoRegistre_Maintenance'!A:A,'CKadeaTelcoRegistre_Maintenance'!B:B,"Non repertorié")</f>
        <v>Non repertorié</v>
      </c>
      <c r="F223" t="str">
        <f>_xlfn.XLOOKUP(CKadeaTelcoLogs_Reseau[[#This Row],[Cell_ID]],'CKadeaTelcoRegistre_Maintenance'!A:A,'CKadeaTelcoRegistre_Maintenance'!C:C,"Non repertorié")</f>
        <v>Non repertorié</v>
      </c>
      <c r="G223" t="str">
        <f>_xlfn.XLOOKUP(CKadeaTelcoLogs_Reseau[[#This Row],[Cell_ID]],'CKadeaTelcoRegistre_Maintenance'!A:A,'CKadeaTelcoRegistre_Maintenance'!D:D,"Non repertorié")</f>
        <v>Non repertorié</v>
      </c>
      <c r="H223" t="str">
        <f>_xlfn.XLOOKUP(CKadeaTelcoLogs_Reseau[[#This Row],[Cell_ID]],'CKadeaTelcoRegistre_Maintenance'!A:A,'CKadeaTelcoRegistre_Maintenance'!E:E,"Non repertorié")</f>
        <v>Non repertorié</v>
      </c>
      <c r="I223" t="str">
        <f>_xlfn.XLOOKUP(CKadeaTelcoLogs_Reseau[[#This Row],[Cell_ID]],'CKadeaTelcoRegistre_Maintenance'!A:A,'CKadeaTelcoRegistre_Maintenance'!F:F,"Non repertorié")</f>
        <v>Non repertorié</v>
      </c>
    </row>
    <row r="224" spans="1:9" ht="20.5" customHeight="1" x14ac:dyDescent="0.35">
      <c r="A224" s="1">
        <v>45201.574305555558</v>
      </c>
      <c r="B224" s="5" t="s">
        <v>26</v>
      </c>
      <c r="C224">
        <v>75</v>
      </c>
      <c r="D224" t="s">
        <v>10</v>
      </c>
      <c r="E224" t="str">
        <f>_xlfn.XLOOKUP(CKadeaTelcoLogs_Reseau[[#This Row],[Cell_ID]],'CKadeaTelcoRegistre_Maintenance'!A:A,'CKadeaTelcoRegistre_Maintenance'!B:B,"Non repertorié")</f>
        <v>Haut-Katanga</v>
      </c>
      <c r="F224">
        <f>_xlfn.XLOOKUP(CKadeaTelcoLogs_Reseau[[#This Row],[Cell_ID]],'CKadeaTelcoRegistre_Maintenance'!A:A,'CKadeaTelcoRegistre_Maintenance'!C:C,"Non repertorié")</f>
        <v>0.172153</v>
      </c>
      <c r="G224">
        <f>_xlfn.XLOOKUP(CKadeaTelcoLogs_Reseau[[#This Row],[Cell_ID]],'CKadeaTelcoRegistre_Maintenance'!A:A,'CKadeaTelcoRegistre_Maintenance'!D:D,"Non repertorié")</f>
        <v>21.091376</v>
      </c>
      <c r="H224" t="str">
        <f>_xlfn.XLOOKUP(CKadeaTelcoLogs_Reseau[[#This Row],[Cell_ID]],'CKadeaTelcoRegistre_Maintenance'!A:A,'CKadeaTelcoRegistre_Maintenance'!E:E,"Non repertorié")</f>
        <v>3G</v>
      </c>
      <c r="I224" t="str">
        <f>_xlfn.XLOOKUP(CKadeaTelcoLogs_Reseau[[#This Row],[Cell_ID]],'CKadeaTelcoRegistre_Maintenance'!A:A,'CKadeaTelcoRegistre_Maintenance'!F:F,"Non repertorié")</f>
        <v>Ericsson</v>
      </c>
    </row>
    <row r="225" spans="1:9" ht="20.5" customHeight="1" x14ac:dyDescent="0.35">
      <c r="A225" s="1">
        <v>45210.802777777775</v>
      </c>
      <c r="B225" s="5" t="s">
        <v>206</v>
      </c>
      <c r="C225">
        <v>9</v>
      </c>
      <c r="D225" t="s">
        <v>8</v>
      </c>
      <c r="E225" t="str">
        <f>_xlfn.XLOOKUP(CKadeaTelcoLogs_Reseau[[#This Row],[Cell_ID]],'CKadeaTelcoRegistre_Maintenance'!A:A,'CKadeaTelcoRegistre_Maintenance'!B:B,"Non repertorié")</f>
        <v>Non repertorié</v>
      </c>
      <c r="F225" t="str">
        <f>_xlfn.XLOOKUP(CKadeaTelcoLogs_Reseau[[#This Row],[Cell_ID]],'CKadeaTelcoRegistre_Maintenance'!A:A,'CKadeaTelcoRegistre_Maintenance'!C:C,"Non repertorié")</f>
        <v>Non repertorié</v>
      </c>
      <c r="G225" t="str">
        <f>_xlfn.XLOOKUP(CKadeaTelcoLogs_Reseau[[#This Row],[Cell_ID]],'CKadeaTelcoRegistre_Maintenance'!A:A,'CKadeaTelcoRegistre_Maintenance'!D:D,"Non repertorié")</f>
        <v>Non repertorié</v>
      </c>
      <c r="H225" t="str">
        <f>_xlfn.XLOOKUP(CKadeaTelcoLogs_Reseau[[#This Row],[Cell_ID]],'CKadeaTelcoRegistre_Maintenance'!A:A,'CKadeaTelcoRegistre_Maintenance'!E:E,"Non repertorié")</f>
        <v>Non repertorié</v>
      </c>
      <c r="I225" t="str">
        <f>_xlfn.XLOOKUP(CKadeaTelcoLogs_Reseau[[#This Row],[Cell_ID]],'CKadeaTelcoRegistre_Maintenance'!A:A,'CKadeaTelcoRegistre_Maintenance'!F:F,"Non repertorié")</f>
        <v>Non repertorié</v>
      </c>
    </row>
    <row r="226" spans="1:9" ht="20.5" customHeight="1" x14ac:dyDescent="0.35">
      <c r="A226" s="1">
        <v>45200.093055555553</v>
      </c>
      <c r="B226" s="5" t="s">
        <v>47</v>
      </c>
      <c r="C226">
        <v>63</v>
      </c>
      <c r="D226" t="s">
        <v>8</v>
      </c>
      <c r="E226" t="str">
        <f>_xlfn.XLOOKUP(CKadeaTelcoLogs_Reseau[[#This Row],[Cell_ID]],'CKadeaTelcoRegistre_Maintenance'!A:A,'CKadeaTelcoRegistre_Maintenance'!B:B,"Non repertorié")</f>
        <v>Non repertorié</v>
      </c>
      <c r="F226" t="str">
        <f>_xlfn.XLOOKUP(CKadeaTelcoLogs_Reseau[[#This Row],[Cell_ID]],'CKadeaTelcoRegistre_Maintenance'!A:A,'CKadeaTelcoRegistre_Maintenance'!C:C,"Non repertorié")</f>
        <v>Non repertorié</v>
      </c>
      <c r="G226" t="str">
        <f>_xlfn.XLOOKUP(CKadeaTelcoLogs_Reseau[[#This Row],[Cell_ID]],'CKadeaTelcoRegistre_Maintenance'!A:A,'CKadeaTelcoRegistre_Maintenance'!D:D,"Non repertorié")</f>
        <v>Non repertorié</v>
      </c>
      <c r="H226" t="str">
        <f>_xlfn.XLOOKUP(CKadeaTelcoLogs_Reseau[[#This Row],[Cell_ID]],'CKadeaTelcoRegistre_Maintenance'!A:A,'CKadeaTelcoRegistre_Maintenance'!E:E,"Non repertorié")</f>
        <v>Non repertorié</v>
      </c>
      <c r="I226" t="str">
        <f>_xlfn.XLOOKUP(CKadeaTelcoLogs_Reseau[[#This Row],[Cell_ID]],'CKadeaTelcoRegistre_Maintenance'!A:A,'CKadeaTelcoRegistre_Maintenance'!F:F,"Non repertorié")</f>
        <v>Non repertorié</v>
      </c>
    </row>
    <row r="227" spans="1:9" ht="20.5" customHeight="1" x14ac:dyDescent="0.35">
      <c r="A227" s="1">
        <v>45230.911805555559</v>
      </c>
      <c r="B227" s="5" t="s">
        <v>207</v>
      </c>
      <c r="C227">
        <v>16</v>
      </c>
      <c r="D227" t="s">
        <v>8</v>
      </c>
      <c r="E227" t="str">
        <f>_xlfn.XLOOKUP(CKadeaTelcoLogs_Reseau[[#This Row],[Cell_ID]],'CKadeaTelcoRegistre_Maintenance'!A:A,'CKadeaTelcoRegistre_Maintenance'!B:B,"Non repertorié")</f>
        <v>Non repertorié</v>
      </c>
      <c r="F227" t="str">
        <f>_xlfn.XLOOKUP(CKadeaTelcoLogs_Reseau[[#This Row],[Cell_ID]],'CKadeaTelcoRegistre_Maintenance'!A:A,'CKadeaTelcoRegistre_Maintenance'!C:C,"Non repertorié")</f>
        <v>Non repertorié</v>
      </c>
      <c r="G227" t="str">
        <f>_xlfn.XLOOKUP(CKadeaTelcoLogs_Reseau[[#This Row],[Cell_ID]],'CKadeaTelcoRegistre_Maintenance'!A:A,'CKadeaTelcoRegistre_Maintenance'!D:D,"Non repertorié")</f>
        <v>Non repertorié</v>
      </c>
      <c r="H227" t="str">
        <f>_xlfn.XLOOKUP(CKadeaTelcoLogs_Reseau[[#This Row],[Cell_ID]],'CKadeaTelcoRegistre_Maintenance'!A:A,'CKadeaTelcoRegistre_Maintenance'!E:E,"Non repertorié")</f>
        <v>Non repertorié</v>
      </c>
      <c r="I227" t="str">
        <f>_xlfn.XLOOKUP(CKadeaTelcoLogs_Reseau[[#This Row],[Cell_ID]],'CKadeaTelcoRegistre_Maintenance'!A:A,'CKadeaTelcoRegistre_Maintenance'!F:F,"Non repertorié")</f>
        <v>Non repertorié</v>
      </c>
    </row>
    <row r="228" spans="1:9" ht="20.5" customHeight="1" x14ac:dyDescent="0.35">
      <c r="A228" s="1">
        <v>45227.775694444441</v>
      </c>
      <c r="B228" s="5" t="s">
        <v>112</v>
      </c>
      <c r="C228">
        <v>45</v>
      </c>
      <c r="D228" t="s">
        <v>10</v>
      </c>
      <c r="E228" t="str">
        <f>_xlfn.XLOOKUP(CKadeaTelcoLogs_Reseau[[#This Row],[Cell_ID]],'CKadeaTelcoRegistre_Maintenance'!A:A,'CKadeaTelcoRegistre_Maintenance'!B:B,"Non repertorié")</f>
        <v>Non repertorié</v>
      </c>
      <c r="F228" t="str">
        <f>_xlfn.XLOOKUP(CKadeaTelcoLogs_Reseau[[#This Row],[Cell_ID]],'CKadeaTelcoRegistre_Maintenance'!A:A,'CKadeaTelcoRegistre_Maintenance'!C:C,"Non repertorié")</f>
        <v>Non repertorié</v>
      </c>
      <c r="G228" t="str">
        <f>_xlfn.XLOOKUP(CKadeaTelcoLogs_Reseau[[#This Row],[Cell_ID]],'CKadeaTelcoRegistre_Maintenance'!A:A,'CKadeaTelcoRegistre_Maintenance'!D:D,"Non repertorié")</f>
        <v>Non repertorié</v>
      </c>
      <c r="H228" t="str">
        <f>_xlfn.XLOOKUP(CKadeaTelcoLogs_Reseau[[#This Row],[Cell_ID]],'CKadeaTelcoRegistre_Maintenance'!A:A,'CKadeaTelcoRegistre_Maintenance'!E:E,"Non repertorié")</f>
        <v>Non repertorié</v>
      </c>
      <c r="I228" t="str">
        <f>_xlfn.XLOOKUP(CKadeaTelcoLogs_Reseau[[#This Row],[Cell_ID]],'CKadeaTelcoRegistre_Maintenance'!A:A,'CKadeaTelcoRegistre_Maintenance'!F:F,"Non repertorié")</f>
        <v>Non repertorié</v>
      </c>
    </row>
    <row r="229" spans="1:9" ht="20.5" customHeight="1" x14ac:dyDescent="0.35">
      <c r="A229" s="1">
        <v>45212.624305555553</v>
      </c>
      <c r="B229" s="5" t="s">
        <v>208</v>
      </c>
      <c r="C229">
        <v>113</v>
      </c>
      <c r="D229" t="s">
        <v>10</v>
      </c>
      <c r="E229" t="str">
        <f>_xlfn.XLOOKUP(CKadeaTelcoLogs_Reseau[[#This Row],[Cell_ID]],'CKadeaTelcoRegistre_Maintenance'!A:A,'CKadeaTelcoRegistre_Maintenance'!B:B,"Non repertorié")</f>
        <v>Non repertorié</v>
      </c>
      <c r="F229" t="str">
        <f>_xlfn.XLOOKUP(CKadeaTelcoLogs_Reseau[[#This Row],[Cell_ID]],'CKadeaTelcoRegistre_Maintenance'!A:A,'CKadeaTelcoRegistre_Maintenance'!C:C,"Non repertorié")</f>
        <v>Non repertorié</v>
      </c>
      <c r="G229" t="str">
        <f>_xlfn.XLOOKUP(CKadeaTelcoLogs_Reseau[[#This Row],[Cell_ID]],'CKadeaTelcoRegistre_Maintenance'!A:A,'CKadeaTelcoRegistre_Maintenance'!D:D,"Non repertorié")</f>
        <v>Non repertorié</v>
      </c>
      <c r="H229" t="str">
        <f>_xlfn.XLOOKUP(CKadeaTelcoLogs_Reseau[[#This Row],[Cell_ID]],'CKadeaTelcoRegistre_Maintenance'!A:A,'CKadeaTelcoRegistre_Maintenance'!E:E,"Non repertorié")</f>
        <v>Non repertorié</v>
      </c>
      <c r="I229" t="str">
        <f>_xlfn.XLOOKUP(CKadeaTelcoLogs_Reseau[[#This Row],[Cell_ID]],'CKadeaTelcoRegistre_Maintenance'!A:A,'CKadeaTelcoRegistre_Maintenance'!F:F,"Non repertorié")</f>
        <v>Non repertorié</v>
      </c>
    </row>
    <row r="230" spans="1:9" ht="20.5" customHeight="1" x14ac:dyDescent="0.35">
      <c r="A230" s="1">
        <v>45210.280555555553</v>
      </c>
      <c r="B230" s="5" t="s">
        <v>209</v>
      </c>
      <c r="C230">
        <v>43</v>
      </c>
      <c r="D230" t="s">
        <v>8</v>
      </c>
      <c r="E230" t="str">
        <f>_xlfn.XLOOKUP(CKadeaTelcoLogs_Reseau[[#This Row],[Cell_ID]],'CKadeaTelcoRegistre_Maintenance'!A:A,'CKadeaTelcoRegistre_Maintenance'!B:B,"Non repertorié")</f>
        <v>Sud-Ubangi</v>
      </c>
      <c r="F230">
        <f>_xlfn.XLOOKUP(CKadeaTelcoLogs_Reseau[[#This Row],[Cell_ID]],'CKadeaTelcoRegistre_Maintenance'!A:A,'CKadeaTelcoRegistre_Maintenance'!C:C,"Non repertorié")</f>
        <v>-12.342053999999999</v>
      </c>
      <c r="G230">
        <f>_xlfn.XLOOKUP(CKadeaTelcoLogs_Reseau[[#This Row],[Cell_ID]],'CKadeaTelcoRegistre_Maintenance'!A:A,'CKadeaTelcoRegistre_Maintenance'!D:D,"Non repertorié")</f>
        <v>18.756862000000002</v>
      </c>
      <c r="H230" t="str">
        <f>_xlfn.XLOOKUP(CKadeaTelcoLogs_Reseau[[#This Row],[Cell_ID]],'CKadeaTelcoRegistre_Maintenance'!A:A,'CKadeaTelcoRegistre_Maintenance'!E:E,"Non repertorié")</f>
        <v>3G</v>
      </c>
      <c r="I230" t="str">
        <f>_xlfn.XLOOKUP(CKadeaTelcoLogs_Reseau[[#This Row],[Cell_ID]],'CKadeaTelcoRegistre_Maintenance'!A:A,'CKadeaTelcoRegistre_Maintenance'!F:F,"Non repertorié")</f>
        <v>Ericsson</v>
      </c>
    </row>
    <row r="231" spans="1:9" ht="20.5" customHeight="1" x14ac:dyDescent="0.35">
      <c r="A231" s="1">
        <v>45207.543055555558</v>
      </c>
      <c r="B231" s="5" t="s">
        <v>210</v>
      </c>
      <c r="C231">
        <v>54</v>
      </c>
      <c r="D231" t="s">
        <v>5</v>
      </c>
      <c r="E231" t="str">
        <f>_xlfn.XLOOKUP(CKadeaTelcoLogs_Reseau[[#This Row],[Cell_ID]],'CKadeaTelcoRegistre_Maintenance'!A:A,'CKadeaTelcoRegistre_Maintenance'!B:B,"Non repertorié")</f>
        <v>Non repertorié</v>
      </c>
      <c r="F231" t="str">
        <f>_xlfn.XLOOKUP(CKadeaTelcoLogs_Reseau[[#This Row],[Cell_ID]],'CKadeaTelcoRegistre_Maintenance'!A:A,'CKadeaTelcoRegistre_Maintenance'!C:C,"Non repertorié")</f>
        <v>Non repertorié</v>
      </c>
      <c r="G231" t="str">
        <f>_xlfn.XLOOKUP(CKadeaTelcoLogs_Reseau[[#This Row],[Cell_ID]],'CKadeaTelcoRegistre_Maintenance'!A:A,'CKadeaTelcoRegistre_Maintenance'!D:D,"Non repertorié")</f>
        <v>Non repertorié</v>
      </c>
      <c r="H231" t="str">
        <f>_xlfn.XLOOKUP(CKadeaTelcoLogs_Reseau[[#This Row],[Cell_ID]],'CKadeaTelcoRegistre_Maintenance'!A:A,'CKadeaTelcoRegistre_Maintenance'!E:E,"Non repertorié")</f>
        <v>Non repertorié</v>
      </c>
      <c r="I231" t="str">
        <f>_xlfn.XLOOKUP(CKadeaTelcoLogs_Reseau[[#This Row],[Cell_ID]],'CKadeaTelcoRegistre_Maintenance'!A:A,'CKadeaTelcoRegistre_Maintenance'!F:F,"Non repertorié")</f>
        <v>Non repertorié</v>
      </c>
    </row>
    <row r="232" spans="1:9" ht="20.5" customHeight="1" x14ac:dyDescent="0.35">
      <c r="A232" s="1">
        <v>45210.979166666664</v>
      </c>
      <c r="B232" s="5" t="s">
        <v>211</v>
      </c>
      <c r="C232">
        <v>114</v>
      </c>
      <c r="D232" t="s">
        <v>10</v>
      </c>
      <c r="E232" t="str">
        <f>_xlfn.XLOOKUP(CKadeaTelcoLogs_Reseau[[#This Row],[Cell_ID]],'CKadeaTelcoRegistre_Maintenance'!A:A,'CKadeaTelcoRegistre_Maintenance'!B:B,"Non repertorié")</f>
        <v>Non repertorié</v>
      </c>
      <c r="F232" t="str">
        <f>_xlfn.XLOOKUP(CKadeaTelcoLogs_Reseau[[#This Row],[Cell_ID]],'CKadeaTelcoRegistre_Maintenance'!A:A,'CKadeaTelcoRegistre_Maintenance'!C:C,"Non repertorié")</f>
        <v>Non repertorié</v>
      </c>
      <c r="G232" t="str">
        <f>_xlfn.XLOOKUP(CKadeaTelcoLogs_Reseau[[#This Row],[Cell_ID]],'CKadeaTelcoRegistre_Maintenance'!A:A,'CKadeaTelcoRegistre_Maintenance'!D:D,"Non repertorié")</f>
        <v>Non repertorié</v>
      </c>
      <c r="H232" t="str">
        <f>_xlfn.XLOOKUP(CKadeaTelcoLogs_Reseau[[#This Row],[Cell_ID]],'CKadeaTelcoRegistre_Maintenance'!A:A,'CKadeaTelcoRegistre_Maintenance'!E:E,"Non repertorié")</f>
        <v>Non repertorié</v>
      </c>
      <c r="I232" t="str">
        <f>_xlfn.XLOOKUP(CKadeaTelcoLogs_Reseau[[#This Row],[Cell_ID]],'CKadeaTelcoRegistre_Maintenance'!A:A,'CKadeaTelcoRegistre_Maintenance'!F:F,"Non repertorié")</f>
        <v>Non repertorié</v>
      </c>
    </row>
    <row r="233" spans="1:9" ht="20.5" customHeight="1" x14ac:dyDescent="0.35">
      <c r="A233" s="1">
        <v>45222.51666666667</v>
      </c>
      <c r="B233" s="5" t="s">
        <v>212</v>
      </c>
      <c r="C233">
        <v>66</v>
      </c>
      <c r="D233" t="s">
        <v>5</v>
      </c>
      <c r="E233" t="str">
        <f>_xlfn.XLOOKUP(CKadeaTelcoLogs_Reseau[[#This Row],[Cell_ID]],'CKadeaTelcoRegistre_Maintenance'!A:A,'CKadeaTelcoRegistre_Maintenance'!B:B,"Non repertorié")</f>
        <v>Non repertorié</v>
      </c>
      <c r="F233" t="str">
        <f>_xlfn.XLOOKUP(CKadeaTelcoLogs_Reseau[[#This Row],[Cell_ID]],'CKadeaTelcoRegistre_Maintenance'!A:A,'CKadeaTelcoRegistre_Maintenance'!C:C,"Non repertorié")</f>
        <v>Non repertorié</v>
      </c>
      <c r="G233" t="str">
        <f>_xlfn.XLOOKUP(CKadeaTelcoLogs_Reseau[[#This Row],[Cell_ID]],'CKadeaTelcoRegistre_Maintenance'!A:A,'CKadeaTelcoRegistre_Maintenance'!D:D,"Non repertorié")</f>
        <v>Non repertorié</v>
      </c>
      <c r="H233" t="str">
        <f>_xlfn.XLOOKUP(CKadeaTelcoLogs_Reseau[[#This Row],[Cell_ID]],'CKadeaTelcoRegistre_Maintenance'!A:A,'CKadeaTelcoRegistre_Maintenance'!E:E,"Non repertorié")</f>
        <v>Non repertorié</v>
      </c>
      <c r="I233" t="str">
        <f>_xlfn.XLOOKUP(CKadeaTelcoLogs_Reseau[[#This Row],[Cell_ID]],'CKadeaTelcoRegistre_Maintenance'!A:A,'CKadeaTelcoRegistre_Maintenance'!F:F,"Non repertorié")</f>
        <v>Non repertorié</v>
      </c>
    </row>
    <row r="234" spans="1:9" ht="20.5" customHeight="1" x14ac:dyDescent="0.35">
      <c r="A234" s="1">
        <v>45221.839583333334</v>
      </c>
      <c r="B234" s="5" t="s">
        <v>213</v>
      </c>
      <c r="C234">
        <v>18</v>
      </c>
      <c r="D234" t="s">
        <v>5</v>
      </c>
      <c r="E234" t="str">
        <f>_xlfn.XLOOKUP(CKadeaTelcoLogs_Reseau[[#This Row],[Cell_ID]],'CKadeaTelcoRegistre_Maintenance'!A:A,'CKadeaTelcoRegistre_Maintenance'!B:B,"Non repertorié")</f>
        <v>Non repertorié</v>
      </c>
      <c r="F234" t="str">
        <f>_xlfn.XLOOKUP(CKadeaTelcoLogs_Reseau[[#This Row],[Cell_ID]],'CKadeaTelcoRegistre_Maintenance'!A:A,'CKadeaTelcoRegistre_Maintenance'!C:C,"Non repertorié")</f>
        <v>Non repertorié</v>
      </c>
      <c r="G234" t="str">
        <f>_xlfn.XLOOKUP(CKadeaTelcoLogs_Reseau[[#This Row],[Cell_ID]],'CKadeaTelcoRegistre_Maintenance'!A:A,'CKadeaTelcoRegistre_Maintenance'!D:D,"Non repertorié")</f>
        <v>Non repertorié</v>
      </c>
      <c r="H234" t="str">
        <f>_xlfn.XLOOKUP(CKadeaTelcoLogs_Reseau[[#This Row],[Cell_ID]],'CKadeaTelcoRegistre_Maintenance'!A:A,'CKadeaTelcoRegistre_Maintenance'!E:E,"Non repertorié")</f>
        <v>Non repertorié</v>
      </c>
      <c r="I234" t="str">
        <f>_xlfn.XLOOKUP(CKadeaTelcoLogs_Reseau[[#This Row],[Cell_ID]],'CKadeaTelcoRegistre_Maintenance'!A:A,'CKadeaTelcoRegistre_Maintenance'!F:F,"Non repertorié")</f>
        <v>Non repertorié</v>
      </c>
    </row>
    <row r="235" spans="1:9" ht="20.5" customHeight="1" x14ac:dyDescent="0.35">
      <c r="A235" s="1">
        <v>45215.047222222223</v>
      </c>
      <c r="B235" s="5" t="s">
        <v>214</v>
      </c>
      <c r="C235">
        <v>35</v>
      </c>
      <c r="D235" t="s">
        <v>5</v>
      </c>
      <c r="E235" t="str">
        <f>_xlfn.XLOOKUP(CKadeaTelcoLogs_Reseau[[#This Row],[Cell_ID]],'CKadeaTelcoRegistre_Maintenance'!A:A,'CKadeaTelcoRegistre_Maintenance'!B:B,"Non repertorié")</f>
        <v>Non repertorié</v>
      </c>
      <c r="F235" t="str">
        <f>_xlfn.XLOOKUP(CKadeaTelcoLogs_Reseau[[#This Row],[Cell_ID]],'CKadeaTelcoRegistre_Maintenance'!A:A,'CKadeaTelcoRegistre_Maintenance'!C:C,"Non repertorié")</f>
        <v>Non repertorié</v>
      </c>
      <c r="G235" t="str">
        <f>_xlfn.XLOOKUP(CKadeaTelcoLogs_Reseau[[#This Row],[Cell_ID]],'CKadeaTelcoRegistre_Maintenance'!A:A,'CKadeaTelcoRegistre_Maintenance'!D:D,"Non repertorié")</f>
        <v>Non repertorié</v>
      </c>
      <c r="H235" t="str">
        <f>_xlfn.XLOOKUP(CKadeaTelcoLogs_Reseau[[#This Row],[Cell_ID]],'CKadeaTelcoRegistre_Maintenance'!A:A,'CKadeaTelcoRegistre_Maintenance'!E:E,"Non repertorié")</f>
        <v>Non repertorié</v>
      </c>
      <c r="I235" t="str">
        <f>_xlfn.XLOOKUP(CKadeaTelcoLogs_Reseau[[#This Row],[Cell_ID]],'CKadeaTelcoRegistre_Maintenance'!A:A,'CKadeaTelcoRegistre_Maintenance'!F:F,"Non repertorié")</f>
        <v>Non repertorié</v>
      </c>
    </row>
    <row r="236" spans="1:9" ht="20.5" customHeight="1" x14ac:dyDescent="0.35">
      <c r="A236" s="1">
        <v>45216.76458333333</v>
      </c>
      <c r="B236" s="5" t="s">
        <v>82</v>
      </c>
      <c r="C236">
        <v>53</v>
      </c>
      <c r="D236" t="s">
        <v>8</v>
      </c>
      <c r="E236" t="str">
        <f>_xlfn.XLOOKUP(CKadeaTelcoLogs_Reseau[[#This Row],[Cell_ID]],'CKadeaTelcoRegistre_Maintenance'!A:A,'CKadeaTelcoRegistre_Maintenance'!B:B,"Non repertorié")</f>
        <v>Sud-Ubangi</v>
      </c>
      <c r="F236">
        <f>_xlfn.XLOOKUP(CKadeaTelcoLogs_Reseau[[#This Row],[Cell_ID]],'CKadeaTelcoRegistre_Maintenance'!A:A,'CKadeaTelcoRegistre_Maintenance'!C:C,"Non repertorié")</f>
        <v>-10.914952</v>
      </c>
      <c r="G236">
        <f>_xlfn.XLOOKUP(CKadeaTelcoLogs_Reseau[[#This Row],[Cell_ID]],'CKadeaTelcoRegistre_Maintenance'!A:A,'CKadeaTelcoRegistre_Maintenance'!D:D,"Non repertorié")</f>
        <v>26.409648000000001</v>
      </c>
      <c r="H236" t="str">
        <f>_xlfn.XLOOKUP(CKadeaTelcoLogs_Reseau[[#This Row],[Cell_ID]],'CKadeaTelcoRegistre_Maintenance'!A:A,'CKadeaTelcoRegistre_Maintenance'!E:E,"Non repertorié")</f>
        <v>4G</v>
      </c>
      <c r="I236" t="str">
        <f>_xlfn.XLOOKUP(CKadeaTelcoLogs_Reseau[[#This Row],[Cell_ID]],'CKadeaTelcoRegistre_Maintenance'!A:A,'CKadeaTelcoRegistre_Maintenance'!F:F,"Non repertorié")</f>
        <v>Huawei</v>
      </c>
    </row>
    <row r="237" spans="1:9" ht="20.5" customHeight="1" x14ac:dyDescent="0.35">
      <c r="A237" s="1">
        <v>45227.163194444445</v>
      </c>
      <c r="B237" s="5" t="s">
        <v>215</v>
      </c>
      <c r="C237">
        <v>78</v>
      </c>
      <c r="D237" t="s">
        <v>8</v>
      </c>
      <c r="E237" t="str">
        <f>_xlfn.XLOOKUP(CKadeaTelcoLogs_Reseau[[#This Row],[Cell_ID]],'CKadeaTelcoRegistre_Maintenance'!A:A,'CKadeaTelcoRegistre_Maintenance'!B:B,"Non repertorié")</f>
        <v>Non repertorié</v>
      </c>
      <c r="F237" t="str">
        <f>_xlfn.XLOOKUP(CKadeaTelcoLogs_Reseau[[#This Row],[Cell_ID]],'CKadeaTelcoRegistre_Maintenance'!A:A,'CKadeaTelcoRegistre_Maintenance'!C:C,"Non repertorié")</f>
        <v>Non repertorié</v>
      </c>
      <c r="G237" t="str">
        <f>_xlfn.XLOOKUP(CKadeaTelcoLogs_Reseau[[#This Row],[Cell_ID]],'CKadeaTelcoRegistre_Maintenance'!A:A,'CKadeaTelcoRegistre_Maintenance'!D:D,"Non repertorié")</f>
        <v>Non repertorié</v>
      </c>
      <c r="H237" t="str">
        <f>_xlfn.XLOOKUP(CKadeaTelcoLogs_Reseau[[#This Row],[Cell_ID]],'CKadeaTelcoRegistre_Maintenance'!A:A,'CKadeaTelcoRegistre_Maintenance'!E:E,"Non repertorié")</f>
        <v>Non repertorié</v>
      </c>
      <c r="I237" t="str">
        <f>_xlfn.XLOOKUP(CKadeaTelcoLogs_Reseau[[#This Row],[Cell_ID]],'CKadeaTelcoRegistre_Maintenance'!A:A,'CKadeaTelcoRegistre_Maintenance'!F:F,"Non repertorié")</f>
        <v>Non repertorié</v>
      </c>
    </row>
    <row r="238" spans="1:9" ht="20.5" customHeight="1" x14ac:dyDescent="0.35">
      <c r="A238" s="1">
        <v>45227.587500000001</v>
      </c>
      <c r="B238" s="5" t="s">
        <v>149</v>
      </c>
      <c r="C238">
        <v>50</v>
      </c>
      <c r="D238" t="s">
        <v>8</v>
      </c>
      <c r="E238" t="str">
        <f>_xlfn.XLOOKUP(CKadeaTelcoLogs_Reseau[[#This Row],[Cell_ID]],'CKadeaTelcoRegistre_Maintenance'!A:A,'CKadeaTelcoRegistre_Maintenance'!B:B,"Non repertorié")</f>
        <v>Nord-Ubangi</v>
      </c>
      <c r="F238">
        <f>_xlfn.XLOOKUP(CKadeaTelcoLogs_Reseau[[#This Row],[Cell_ID]],'CKadeaTelcoRegistre_Maintenance'!A:A,'CKadeaTelcoRegistre_Maintenance'!C:C,"Non repertorié")</f>
        <v>-1.342476</v>
      </c>
      <c r="G238">
        <f>_xlfn.XLOOKUP(CKadeaTelcoLogs_Reseau[[#This Row],[Cell_ID]],'CKadeaTelcoRegistre_Maintenance'!A:A,'CKadeaTelcoRegistre_Maintenance'!D:D,"Non repertorié")</f>
        <v>15.986086</v>
      </c>
      <c r="H238" t="str">
        <f>_xlfn.XLOOKUP(CKadeaTelcoLogs_Reseau[[#This Row],[Cell_ID]],'CKadeaTelcoRegistre_Maintenance'!A:A,'CKadeaTelcoRegistre_Maintenance'!E:E,"Non repertorié")</f>
        <v>4G</v>
      </c>
      <c r="I238" t="str">
        <f>_xlfn.XLOOKUP(CKadeaTelcoLogs_Reseau[[#This Row],[Cell_ID]],'CKadeaTelcoRegistre_Maintenance'!A:A,'CKadeaTelcoRegistre_Maintenance'!F:F,"Non repertorié")</f>
        <v>Ericsson</v>
      </c>
    </row>
    <row r="239" spans="1:9" ht="20.5" customHeight="1" x14ac:dyDescent="0.35">
      <c r="A239" s="1">
        <v>45216.583333333336</v>
      </c>
      <c r="B239" s="5" t="s">
        <v>216</v>
      </c>
      <c r="C239">
        <v>78</v>
      </c>
      <c r="D239" t="s">
        <v>10</v>
      </c>
      <c r="E239" t="str">
        <f>_xlfn.XLOOKUP(CKadeaTelcoLogs_Reseau[[#This Row],[Cell_ID]],'CKadeaTelcoRegistre_Maintenance'!A:A,'CKadeaTelcoRegistre_Maintenance'!B:B,"Non repertorié")</f>
        <v>Haut-Katanga</v>
      </c>
      <c r="F239">
        <f>_xlfn.XLOOKUP(CKadeaTelcoLogs_Reseau[[#This Row],[Cell_ID]],'CKadeaTelcoRegistre_Maintenance'!A:A,'CKadeaTelcoRegistre_Maintenance'!C:C,"Non repertorié")</f>
        <v>0.16841400000000001</v>
      </c>
      <c r="G239">
        <f>_xlfn.XLOOKUP(CKadeaTelcoLogs_Reseau[[#This Row],[Cell_ID]],'CKadeaTelcoRegistre_Maintenance'!A:A,'CKadeaTelcoRegistre_Maintenance'!D:D,"Non repertorié")</f>
        <v>30.029876999999999</v>
      </c>
      <c r="H239" t="str">
        <f>_xlfn.XLOOKUP(CKadeaTelcoLogs_Reseau[[#This Row],[Cell_ID]],'CKadeaTelcoRegistre_Maintenance'!A:A,'CKadeaTelcoRegistre_Maintenance'!E:E,"Non repertorié")</f>
        <v>5G</v>
      </c>
      <c r="I239" t="str">
        <f>_xlfn.XLOOKUP(CKadeaTelcoLogs_Reseau[[#This Row],[Cell_ID]],'CKadeaTelcoRegistre_Maintenance'!A:A,'CKadeaTelcoRegistre_Maintenance'!F:F,"Non repertorié")</f>
        <v>Huawei</v>
      </c>
    </row>
    <row r="240" spans="1:9" ht="20.5" customHeight="1" x14ac:dyDescent="0.35">
      <c r="A240" s="1">
        <v>45223.18472222222</v>
      </c>
      <c r="B240" s="5" t="s">
        <v>217</v>
      </c>
      <c r="C240">
        <v>42</v>
      </c>
      <c r="D240" t="s">
        <v>8</v>
      </c>
      <c r="E240" t="str">
        <f>_xlfn.XLOOKUP(CKadeaTelcoLogs_Reseau[[#This Row],[Cell_ID]],'CKadeaTelcoRegistre_Maintenance'!A:A,'CKadeaTelcoRegistre_Maintenance'!B:B,"Non repertorié")</f>
        <v>Non repertorié</v>
      </c>
      <c r="F240" t="str">
        <f>_xlfn.XLOOKUP(CKadeaTelcoLogs_Reseau[[#This Row],[Cell_ID]],'CKadeaTelcoRegistre_Maintenance'!A:A,'CKadeaTelcoRegistre_Maintenance'!C:C,"Non repertorié")</f>
        <v>Non repertorié</v>
      </c>
      <c r="G240" t="str">
        <f>_xlfn.XLOOKUP(CKadeaTelcoLogs_Reseau[[#This Row],[Cell_ID]],'CKadeaTelcoRegistre_Maintenance'!A:A,'CKadeaTelcoRegistre_Maintenance'!D:D,"Non repertorié")</f>
        <v>Non repertorié</v>
      </c>
      <c r="H240" t="str">
        <f>_xlfn.XLOOKUP(CKadeaTelcoLogs_Reseau[[#This Row],[Cell_ID]],'CKadeaTelcoRegistre_Maintenance'!A:A,'CKadeaTelcoRegistre_Maintenance'!E:E,"Non repertorié")</f>
        <v>Non repertorié</v>
      </c>
      <c r="I240" t="str">
        <f>_xlfn.XLOOKUP(CKadeaTelcoLogs_Reseau[[#This Row],[Cell_ID]],'CKadeaTelcoRegistre_Maintenance'!A:A,'CKadeaTelcoRegistre_Maintenance'!F:F,"Non repertorié")</f>
        <v>Non repertorié</v>
      </c>
    </row>
    <row r="241" spans="1:9" ht="20.5" customHeight="1" x14ac:dyDescent="0.35">
      <c r="A241" s="1">
        <v>45227.839583333334</v>
      </c>
      <c r="B241" s="5" t="s">
        <v>218</v>
      </c>
      <c r="C241">
        <v>94</v>
      </c>
      <c r="D241" t="s">
        <v>10</v>
      </c>
      <c r="E241" t="str">
        <f>_xlfn.XLOOKUP(CKadeaTelcoLogs_Reseau[[#This Row],[Cell_ID]],'CKadeaTelcoRegistre_Maintenance'!A:A,'CKadeaTelcoRegistre_Maintenance'!B:B,"Non repertorié")</f>
        <v>Non repertorié</v>
      </c>
      <c r="F241" t="str">
        <f>_xlfn.XLOOKUP(CKadeaTelcoLogs_Reseau[[#This Row],[Cell_ID]],'CKadeaTelcoRegistre_Maintenance'!A:A,'CKadeaTelcoRegistre_Maintenance'!C:C,"Non repertorié")</f>
        <v>Non repertorié</v>
      </c>
      <c r="G241" t="str">
        <f>_xlfn.XLOOKUP(CKadeaTelcoLogs_Reseau[[#This Row],[Cell_ID]],'CKadeaTelcoRegistre_Maintenance'!A:A,'CKadeaTelcoRegistre_Maintenance'!D:D,"Non repertorié")</f>
        <v>Non repertorié</v>
      </c>
      <c r="H241" t="str">
        <f>_xlfn.XLOOKUP(CKadeaTelcoLogs_Reseau[[#This Row],[Cell_ID]],'CKadeaTelcoRegistre_Maintenance'!A:A,'CKadeaTelcoRegistre_Maintenance'!E:E,"Non repertorié")</f>
        <v>Non repertorié</v>
      </c>
      <c r="I241" t="str">
        <f>_xlfn.XLOOKUP(CKadeaTelcoLogs_Reseau[[#This Row],[Cell_ID]],'CKadeaTelcoRegistre_Maintenance'!A:A,'CKadeaTelcoRegistre_Maintenance'!F:F,"Non repertorié")</f>
        <v>Non repertorié</v>
      </c>
    </row>
    <row r="242" spans="1:9" ht="20.5" customHeight="1" x14ac:dyDescent="0.35">
      <c r="A242" s="1">
        <v>45202.659722222219</v>
      </c>
      <c r="B242" s="5" t="s">
        <v>219</v>
      </c>
      <c r="C242">
        <v>42</v>
      </c>
      <c r="D242" t="s">
        <v>5</v>
      </c>
      <c r="E242" t="str">
        <f>_xlfn.XLOOKUP(CKadeaTelcoLogs_Reseau[[#This Row],[Cell_ID]],'CKadeaTelcoRegistre_Maintenance'!A:A,'CKadeaTelcoRegistre_Maintenance'!B:B,"Non repertorié")</f>
        <v>Non repertorié</v>
      </c>
      <c r="F242" t="str">
        <f>_xlfn.XLOOKUP(CKadeaTelcoLogs_Reseau[[#This Row],[Cell_ID]],'CKadeaTelcoRegistre_Maintenance'!A:A,'CKadeaTelcoRegistre_Maintenance'!C:C,"Non repertorié")</f>
        <v>Non repertorié</v>
      </c>
      <c r="G242" t="str">
        <f>_xlfn.XLOOKUP(CKadeaTelcoLogs_Reseau[[#This Row],[Cell_ID]],'CKadeaTelcoRegistre_Maintenance'!A:A,'CKadeaTelcoRegistre_Maintenance'!D:D,"Non repertorié")</f>
        <v>Non repertorié</v>
      </c>
      <c r="H242" t="str">
        <f>_xlfn.XLOOKUP(CKadeaTelcoLogs_Reseau[[#This Row],[Cell_ID]],'CKadeaTelcoRegistre_Maintenance'!A:A,'CKadeaTelcoRegistre_Maintenance'!E:E,"Non repertorié")</f>
        <v>Non repertorié</v>
      </c>
      <c r="I242" t="str">
        <f>_xlfn.XLOOKUP(CKadeaTelcoLogs_Reseau[[#This Row],[Cell_ID]],'CKadeaTelcoRegistre_Maintenance'!A:A,'CKadeaTelcoRegistre_Maintenance'!F:F,"Non repertorié")</f>
        <v>Non repertorié</v>
      </c>
    </row>
    <row r="243" spans="1:9" ht="20.5" customHeight="1" x14ac:dyDescent="0.35">
      <c r="A243" s="1">
        <v>45208.443749999999</v>
      </c>
      <c r="B243" s="5" t="s">
        <v>220</v>
      </c>
      <c r="C243">
        <v>7</v>
      </c>
      <c r="D243" t="s">
        <v>10</v>
      </c>
      <c r="E243" t="str">
        <f>_xlfn.XLOOKUP(CKadeaTelcoLogs_Reseau[[#This Row],[Cell_ID]],'CKadeaTelcoRegistre_Maintenance'!A:A,'CKadeaTelcoRegistre_Maintenance'!B:B,"Non repertorié")</f>
        <v>Haut-Lomami</v>
      </c>
      <c r="F243">
        <f>_xlfn.XLOOKUP(CKadeaTelcoLogs_Reseau[[#This Row],[Cell_ID]],'CKadeaTelcoRegistre_Maintenance'!A:A,'CKadeaTelcoRegistre_Maintenance'!C:C,"Non repertorié")</f>
        <v>-6.3324319999999998</v>
      </c>
      <c r="G243">
        <f>_xlfn.XLOOKUP(CKadeaTelcoLogs_Reseau[[#This Row],[Cell_ID]],'CKadeaTelcoRegistre_Maintenance'!A:A,'CKadeaTelcoRegistre_Maintenance'!D:D,"Non repertorié")</f>
        <v>24.887858000000001</v>
      </c>
      <c r="H243" t="str">
        <f>_xlfn.XLOOKUP(CKadeaTelcoLogs_Reseau[[#This Row],[Cell_ID]],'CKadeaTelcoRegistre_Maintenance'!A:A,'CKadeaTelcoRegistre_Maintenance'!E:E,"Non repertorié")</f>
        <v>4G</v>
      </c>
      <c r="I243" t="str">
        <f>_xlfn.XLOOKUP(CKadeaTelcoLogs_Reseau[[#This Row],[Cell_ID]],'CKadeaTelcoRegistre_Maintenance'!A:A,'CKadeaTelcoRegistre_Maintenance'!F:F,"Non repertorié")</f>
        <v>ZTE</v>
      </c>
    </row>
    <row r="244" spans="1:9" ht="20.5" customHeight="1" x14ac:dyDescent="0.35">
      <c r="A244" s="1">
        <v>45222.52847222222</v>
      </c>
      <c r="B244" s="5" t="s">
        <v>221</v>
      </c>
      <c r="C244">
        <v>111</v>
      </c>
      <c r="D244" t="s">
        <v>5</v>
      </c>
      <c r="E244" t="str">
        <f>_xlfn.XLOOKUP(CKadeaTelcoLogs_Reseau[[#This Row],[Cell_ID]],'CKadeaTelcoRegistre_Maintenance'!A:A,'CKadeaTelcoRegistre_Maintenance'!B:B,"Non repertorié")</f>
        <v>Non repertorié</v>
      </c>
      <c r="F244" t="str">
        <f>_xlfn.XLOOKUP(CKadeaTelcoLogs_Reseau[[#This Row],[Cell_ID]],'CKadeaTelcoRegistre_Maintenance'!A:A,'CKadeaTelcoRegistre_Maintenance'!C:C,"Non repertorié")</f>
        <v>Non repertorié</v>
      </c>
      <c r="G244" t="str">
        <f>_xlfn.XLOOKUP(CKadeaTelcoLogs_Reseau[[#This Row],[Cell_ID]],'CKadeaTelcoRegistre_Maintenance'!A:A,'CKadeaTelcoRegistre_Maintenance'!D:D,"Non repertorié")</f>
        <v>Non repertorié</v>
      </c>
      <c r="H244" t="str">
        <f>_xlfn.XLOOKUP(CKadeaTelcoLogs_Reseau[[#This Row],[Cell_ID]],'CKadeaTelcoRegistre_Maintenance'!A:A,'CKadeaTelcoRegistre_Maintenance'!E:E,"Non repertorié")</f>
        <v>Non repertorié</v>
      </c>
      <c r="I244" t="str">
        <f>_xlfn.XLOOKUP(CKadeaTelcoLogs_Reseau[[#This Row],[Cell_ID]],'CKadeaTelcoRegistre_Maintenance'!A:A,'CKadeaTelcoRegistre_Maintenance'!F:F,"Non repertorié")</f>
        <v>Non repertorié</v>
      </c>
    </row>
    <row r="245" spans="1:9" ht="20.5" customHeight="1" x14ac:dyDescent="0.35">
      <c r="A245" s="1">
        <v>45202.45416666667</v>
      </c>
      <c r="B245" s="5" t="s">
        <v>222</v>
      </c>
      <c r="C245">
        <v>89</v>
      </c>
      <c r="D245" t="s">
        <v>10</v>
      </c>
      <c r="E245" t="str">
        <f>_xlfn.XLOOKUP(CKadeaTelcoLogs_Reseau[[#This Row],[Cell_ID]],'CKadeaTelcoRegistre_Maintenance'!A:A,'CKadeaTelcoRegistre_Maintenance'!B:B,"Non repertorié")</f>
        <v>Non repertorié</v>
      </c>
      <c r="F245" t="str">
        <f>_xlfn.XLOOKUP(CKadeaTelcoLogs_Reseau[[#This Row],[Cell_ID]],'CKadeaTelcoRegistre_Maintenance'!A:A,'CKadeaTelcoRegistre_Maintenance'!C:C,"Non repertorié")</f>
        <v>Non repertorié</v>
      </c>
      <c r="G245" t="str">
        <f>_xlfn.XLOOKUP(CKadeaTelcoLogs_Reseau[[#This Row],[Cell_ID]],'CKadeaTelcoRegistre_Maintenance'!A:A,'CKadeaTelcoRegistre_Maintenance'!D:D,"Non repertorié")</f>
        <v>Non repertorié</v>
      </c>
      <c r="H245" t="str">
        <f>_xlfn.XLOOKUP(CKadeaTelcoLogs_Reseau[[#This Row],[Cell_ID]],'CKadeaTelcoRegistre_Maintenance'!A:A,'CKadeaTelcoRegistre_Maintenance'!E:E,"Non repertorié")</f>
        <v>Non repertorié</v>
      </c>
      <c r="I245" t="str">
        <f>_xlfn.XLOOKUP(CKadeaTelcoLogs_Reseau[[#This Row],[Cell_ID]],'CKadeaTelcoRegistre_Maintenance'!A:A,'CKadeaTelcoRegistre_Maintenance'!F:F,"Non repertorié")</f>
        <v>Non repertorié</v>
      </c>
    </row>
    <row r="246" spans="1:9" ht="20.5" customHeight="1" x14ac:dyDescent="0.35">
      <c r="A246" s="1">
        <v>45221.724999999999</v>
      </c>
      <c r="B246" s="5" t="s">
        <v>223</v>
      </c>
      <c r="C246">
        <v>55</v>
      </c>
      <c r="D246" t="s">
        <v>8</v>
      </c>
      <c r="E246" t="str">
        <f>_xlfn.XLOOKUP(CKadeaTelcoLogs_Reseau[[#This Row],[Cell_ID]],'CKadeaTelcoRegistre_Maintenance'!A:A,'CKadeaTelcoRegistre_Maintenance'!B:B,"Non repertorié")</f>
        <v>Kasai-Oriental</v>
      </c>
      <c r="F246">
        <f>_xlfn.XLOOKUP(CKadeaTelcoLogs_Reseau[[#This Row],[Cell_ID]],'CKadeaTelcoRegistre_Maintenance'!A:A,'CKadeaTelcoRegistre_Maintenance'!C:C,"Non repertorié")</f>
        <v>-1.3976519999999999</v>
      </c>
      <c r="G246">
        <f>_xlfn.XLOOKUP(CKadeaTelcoLogs_Reseau[[#This Row],[Cell_ID]],'CKadeaTelcoRegistre_Maintenance'!A:A,'CKadeaTelcoRegistre_Maintenance'!D:D,"Non repertorié")</f>
        <v>14.098819000000001</v>
      </c>
      <c r="H246" t="str">
        <f>_xlfn.XLOOKUP(CKadeaTelcoLogs_Reseau[[#This Row],[Cell_ID]],'CKadeaTelcoRegistre_Maintenance'!A:A,'CKadeaTelcoRegistre_Maintenance'!E:E,"Non repertorié")</f>
        <v>3G</v>
      </c>
      <c r="I246" t="str">
        <f>_xlfn.XLOOKUP(CKadeaTelcoLogs_Reseau[[#This Row],[Cell_ID]],'CKadeaTelcoRegistre_Maintenance'!A:A,'CKadeaTelcoRegistre_Maintenance'!F:F,"Non repertorié")</f>
        <v>Ericsson</v>
      </c>
    </row>
    <row r="247" spans="1:9" ht="20.5" customHeight="1" x14ac:dyDescent="0.35">
      <c r="A247" s="1">
        <v>45230.444444444445</v>
      </c>
      <c r="B247" s="5" t="s">
        <v>197</v>
      </c>
      <c r="C247">
        <v>40</v>
      </c>
      <c r="D247" t="s">
        <v>5</v>
      </c>
      <c r="E247" t="str">
        <f>_xlfn.XLOOKUP(CKadeaTelcoLogs_Reseau[[#This Row],[Cell_ID]],'CKadeaTelcoRegistre_Maintenance'!A:A,'CKadeaTelcoRegistre_Maintenance'!B:B,"Non repertorié")</f>
        <v>Non repertorié</v>
      </c>
      <c r="F247" t="str">
        <f>_xlfn.XLOOKUP(CKadeaTelcoLogs_Reseau[[#This Row],[Cell_ID]],'CKadeaTelcoRegistre_Maintenance'!A:A,'CKadeaTelcoRegistre_Maintenance'!C:C,"Non repertorié")</f>
        <v>Non repertorié</v>
      </c>
      <c r="G247" t="str">
        <f>_xlfn.XLOOKUP(CKadeaTelcoLogs_Reseau[[#This Row],[Cell_ID]],'CKadeaTelcoRegistre_Maintenance'!A:A,'CKadeaTelcoRegistre_Maintenance'!D:D,"Non repertorié")</f>
        <v>Non repertorié</v>
      </c>
      <c r="H247" t="str">
        <f>_xlfn.XLOOKUP(CKadeaTelcoLogs_Reseau[[#This Row],[Cell_ID]],'CKadeaTelcoRegistre_Maintenance'!A:A,'CKadeaTelcoRegistre_Maintenance'!E:E,"Non repertorié")</f>
        <v>Non repertorié</v>
      </c>
      <c r="I247" t="str">
        <f>_xlfn.XLOOKUP(CKadeaTelcoLogs_Reseau[[#This Row],[Cell_ID]],'CKadeaTelcoRegistre_Maintenance'!A:A,'CKadeaTelcoRegistre_Maintenance'!F:F,"Non repertorié")</f>
        <v>Non repertorié</v>
      </c>
    </row>
    <row r="248" spans="1:9" ht="20.5" customHeight="1" x14ac:dyDescent="0.35">
      <c r="A248" s="1">
        <v>45222.663194444445</v>
      </c>
      <c r="B248" s="5" t="s">
        <v>224</v>
      </c>
      <c r="C248">
        <v>6</v>
      </c>
      <c r="D248" t="s">
        <v>10</v>
      </c>
      <c r="E248" t="str">
        <f>_xlfn.XLOOKUP(CKadeaTelcoLogs_Reseau[[#This Row],[Cell_ID]],'CKadeaTelcoRegistre_Maintenance'!A:A,'CKadeaTelcoRegistre_Maintenance'!B:B,"Non repertorié")</f>
        <v>Kongo-Central</v>
      </c>
      <c r="F248">
        <f>_xlfn.XLOOKUP(CKadeaTelcoLogs_Reseau[[#This Row],[Cell_ID]],'CKadeaTelcoRegistre_Maintenance'!A:A,'CKadeaTelcoRegistre_Maintenance'!C:C,"Non repertorié")</f>
        <v>2.975352</v>
      </c>
      <c r="G248">
        <f>_xlfn.XLOOKUP(CKadeaTelcoLogs_Reseau[[#This Row],[Cell_ID]],'CKadeaTelcoRegistre_Maintenance'!A:A,'CKadeaTelcoRegistre_Maintenance'!D:D,"Non repertorié")</f>
        <v>22.535886000000001</v>
      </c>
      <c r="H248" t="str">
        <f>_xlfn.XLOOKUP(CKadeaTelcoLogs_Reseau[[#This Row],[Cell_ID]],'CKadeaTelcoRegistre_Maintenance'!A:A,'CKadeaTelcoRegistre_Maintenance'!E:E,"Non repertorié")</f>
        <v>4G</v>
      </c>
      <c r="I248" t="str">
        <f>_xlfn.XLOOKUP(CKadeaTelcoLogs_Reseau[[#This Row],[Cell_ID]],'CKadeaTelcoRegistre_Maintenance'!A:A,'CKadeaTelcoRegistre_Maintenance'!F:F,"Non repertorié")</f>
        <v>Huawei</v>
      </c>
    </row>
    <row r="249" spans="1:9" ht="20.5" customHeight="1" x14ac:dyDescent="0.35">
      <c r="A249" s="1">
        <v>45217.068749999999</v>
      </c>
      <c r="B249" s="5" t="s">
        <v>225</v>
      </c>
      <c r="C249">
        <v>77</v>
      </c>
      <c r="D249" t="s">
        <v>10</v>
      </c>
      <c r="E249" t="str">
        <f>_xlfn.XLOOKUP(CKadeaTelcoLogs_Reseau[[#This Row],[Cell_ID]],'CKadeaTelcoRegistre_Maintenance'!A:A,'CKadeaTelcoRegistre_Maintenance'!B:B,"Non repertorié")</f>
        <v>Non repertorié</v>
      </c>
      <c r="F249" t="str">
        <f>_xlfn.XLOOKUP(CKadeaTelcoLogs_Reseau[[#This Row],[Cell_ID]],'CKadeaTelcoRegistre_Maintenance'!A:A,'CKadeaTelcoRegistre_Maintenance'!C:C,"Non repertorié")</f>
        <v>Non repertorié</v>
      </c>
      <c r="G249" t="str">
        <f>_xlfn.XLOOKUP(CKadeaTelcoLogs_Reseau[[#This Row],[Cell_ID]],'CKadeaTelcoRegistre_Maintenance'!A:A,'CKadeaTelcoRegistre_Maintenance'!D:D,"Non repertorié")</f>
        <v>Non repertorié</v>
      </c>
      <c r="H249" t="str">
        <f>_xlfn.XLOOKUP(CKadeaTelcoLogs_Reseau[[#This Row],[Cell_ID]],'CKadeaTelcoRegistre_Maintenance'!A:A,'CKadeaTelcoRegistre_Maintenance'!E:E,"Non repertorié")</f>
        <v>Non repertorié</v>
      </c>
      <c r="I249" t="str">
        <f>_xlfn.XLOOKUP(CKadeaTelcoLogs_Reseau[[#This Row],[Cell_ID]],'CKadeaTelcoRegistre_Maintenance'!A:A,'CKadeaTelcoRegistre_Maintenance'!F:F,"Non repertorié")</f>
        <v>Non repertorié</v>
      </c>
    </row>
    <row r="250" spans="1:9" ht="20.5" customHeight="1" x14ac:dyDescent="0.35">
      <c r="A250" s="1">
        <v>45202.319444444445</v>
      </c>
      <c r="B250" s="5" t="s">
        <v>226</v>
      </c>
      <c r="C250">
        <v>115</v>
      </c>
      <c r="D250" t="s">
        <v>8</v>
      </c>
      <c r="E250" t="str">
        <f>_xlfn.XLOOKUP(CKadeaTelcoLogs_Reseau[[#This Row],[Cell_ID]],'CKadeaTelcoRegistre_Maintenance'!A:A,'CKadeaTelcoRegistre_Maintenance'!B:B,"Non repertorié")</f>
        <v>Non repertorié</v>
      </c>
      <c r="F250" t="str">
        <f>_xlfn.XLOOKUP(CKadeaTelcoLogs_Reseau[[#This Row],[Cell_ID]],'CKadeaTelcoRegistre_Maintenance'!A:A,'CKadeaTelcoRegistre_Maintenance'!C:C,"Non repertorié")</f>
        <v>Non repertorié</v>
      </c>
      <c r="G250" t="str">
        <f>_xlfn.XLOOKUP(CKadeaTelcoLogs_Reseau[[#This Row],[Cell_ID]],'CKadeaTelcoRegistre_Maintenance'!A:A,'CKadeaTelcoRegistre_Maintenance'!D:D,"Non repertorié")</f>
        <v>Non repertorié</v>
      </c>
      <c r="H250" t="str">
        <f>_xlfn.XLOOKUP(CKadeaTelcoLogs_Reseau[[#This Row],[Cell_ID]],'CKadeaTelcoRegistre_Maintenance'!A:A,'CKadeaTelcoRegistre_Maintenance'!E:E,"Non repertorié")</f>
        <v>Non repertorié</v>
      </c>
      <c r="I250" t="str">
        <f>_xlfn.XLOOKUP(CKadeaTelcoLogs_Reseau[[#This Row],[Cell_ID]],'CKadeaTelcoRegistre_Maintenance'!A:A,'CKadeaTelcoRegistre_Maintenance'!F:F,"Non repertorié")</f>
        <v>Non repertorié</v>
      </c>
    </row>
    <row r="251" spans="1:9" ht="20.5" customHeight="1" x14ac:dyDescent="0.35">
      <c r="A251" s="1">
        <v>45221.384722222225</v>
      </c>
      <c r="B251" s="5" t="s">
        <v>227</v>
      </c>
      <c r="C251">
        <v>92</v>
      </c>
      <c r="D251" t="s">
        <v>8</v>
      </c>
      <c r="E251" t="str">
        <f>_xlfn.XLOOKUP(CKadeaTelcoLogs_Reseau[[#This Row],[Cell_ID]],'CKadeaTelcoRegistre_Maintenance'!A:A,'CKadeaTelcoRegistre_Maintenance'!B:B,"Non repertorié")</f>
        <v>Non repertorié</v>
      </c>
      <c r="F251" t="str">
        <f>_xlfn.XLOOKUP(CKadeaTelcoLogs_Reseau[[#This Row],[Cell_ID]],'CKadeaTelcoRegistre_Maintenance'!A:A,'CKadeaTelcoRegistre_Maintenance'!C:C,"Non repertorié")</f>
        <v>Non repertorié</v>
      </c>
      <c r="G251" t="str">
        <f>_xlfn.XLOOKUP(CKadeaTelcoLogs_Reseau[[#This Row],[Cell_ID]],'CKadeaTelcoRegistre_Maintenance'!A:A,'CKadeaTelcoRegistre_Maintenance'!D:D,"Non repertorié")</f>
        <v>Non repertorié</v>
      </c>
      <c r="H251" t="str">
        <f>_xlfn.XLOOKUP(CKadeaTelcoLogs_Reseau[[#This Row],[Cell_ID]],'CKadeaTelcoRegistre_Maintenance'!A:A,'CKadeaTelcoRegistre_Maintenance'!E:E,"Non repertorié")</f>
        <v>Non repertorié</v>
      </c>
      <c r="I251" t="str">
        <f>_xlfn.XLOOKUP(CKadeaTelcoLogs_Reseau[[#This Row],[Cell_ID]],'CKadeaTelcoRegistre_Maintenance'!A:A,'CKadeaTelcoRegistre_Maintenance'!F:F,"Non repertorié")</f>
        <v>Non repertorié</v>
      </c>
    </row>
    <row r="252" spans="1:9" ht="20.5" customHeight="1" x14ac:dyDescent="0.35">
      <c r="A252" s="1">
        <v>45223.102083333331</v>
      </c>
      <c r="B252" s="5" t="s">
        <v>228</v>
      </c>
      <c r="C252">
        <v>104</v>
      </c>
      <c r="D252" t="s">
        <v>8</v>
      </c>
      <c r="E252" t="str">
        <f>_xlfn.XLOOKUP(CKadeaTelcoLogs_Reseau[[#This Row],[Cell_ID]],'CKadeaTelcoRegistre_Maintenance'!A:A,'CKadeaTelcoRegistre_Maintenance'!B:B,"Non repertorié")</f>
        <v>Non repertorié</v>
      </c>
      <c r="F252" t="str">
        <f>_xlfn.XLOOKUP(CKadeaTelcoLogs_Reseau[[#This Row],[Cell_ID]],'CKadeaTelcoRegistre_Maintenance'!A:A,'CKadeaTelcoRegistre_Maintenance'!C:C,"Non repertorié")</f>
        <v>Non repertorié</v>
      </c>
      <c r="G252" t="str">
        <f>_xlfn.XLOOKUP(CKadeaTelcoLogs_Reseau[[#This Row],[Cell_ID]],'CKadeaTelcoRegistre_Maintenance'!A:A,'CKadeaTelcoRegistre_Maintenance'!D:D,"Non repertorié")</f>
        <v>Non repertorié</v>
      </c>
      <c r="H252" t="str">
        <f>_xlfn.XLOOKUP(CKadeaTelcoLogs_Reseau[[#This Row],[Cell_ID]],'CKadeaTelcoRegistre_Maintenance'!A:A,'CKadeaTelcoRegistre_Maintenance'!E:E,"Non repertorié")</f>
        <v>Non repertorié</v>
      </c>
      <c r="I252" t="str">
        <f>_xlfn.XLOOKUP(CKadeaTelcoLogs_Reseau[[#This Row],[Cell_ID]],'CKadeaTelcoRegistre_Maintenance'!A:A,'CKadeaTelcoRegistre_Maintenance'!F:F,"Non repertorié")</f>
        <v>Non repertorié</v>
      </c>
    </row>
    <row r="253" spans="1:9" ht="20.5" customHeight="1" x14ac:dyDescent="0.35">
      <c r="A253" s="1">
        <v>45203.864583333336</v>
      </c>
      <c r="B253" s="5" t="s">
        <v>229</v>
      </c>
      <c r="C253">
        <v>100</v>
      </c>
      <c r="D253" t="s">
        <v>10</v>
      </c>
      <c r="E253" t="str">
        <f>_xlfn.XLOOKUP(CKadeaTelcoLogs_Reseau[[#This Row],[Cell_ID]],'CKadeaTelcoRegistre_Maintenance'!A:A,'CKadeaTelcoRegistre_Maintenance'!B:B,"Non repertorié")</f>
        <v>Non repertorié</v>
      </c>
      <c r="F253" t="str">
        <f>_xlfn.XLOOKUP(CKadeaTelcoLogs_Reseau[[#This Row],[Cell_ID]],'CKadeaTelcoRegistre_Maintenance'!A:A,'CKadeaTelcoRegistre_Maintenance'!C:C,"Non repertorié")</f>
        <v>Non repertorié</v>
      </c>
      <c r="G253" t="str">
        <f>_xlfn.XLOOKUP(CKadeaTelcoLogs_Reseau[[#This Row],[Cell_ID]],'CKadeaTelcoRegistre_Maintenance'!A:A,'CKadeaTelcoRegistre_Maintenance'!D:D,"Non repertorié")</f>
        <v>Non repertorié</v>
      </c>
      <c r="H253" t="str">
        <f>_xlfn.XLOOKUP(CKadeaTelcoLogs_Reseau[[#This Row],[Cell_ID]],'CKadeaTelcoRegistre_Maintenance'!A:A,'CKadeaTelcoRegistre_Maintenance'!E:E,"Non repertorié")</f>
        <v>Non repertorié</v>
      </c>
      <c r="I253" t="str">
        <f>_xlfn.XLOOKUP(CKadeaTelcoLogs_Reseau[[#This Row],[Cell_ID]],'CKadeaTelcoRegistre_Maintenance'!A:A,'CKadeaTelcoRegistre_Maintenance'!F:F,"Non repertorié")</f>
        <v>Non repertorié</v>
      </c>
    </row>
    <row r="254" spans="1:9" ht="20.5" customHeight="1" x14ac:dyDescent="0.35">
      <c r="A254" s="1">
        <v>45227.144444444442</v>
      </c>
      <c r="B254" s="5" t="s">
        <v>230</v>
      </c>
      <c r="C254">
        <v>11</v>
      </c>
      <c r="D254" t="s">
        <v>8</v>
      </c>
      <c r="E254" t="str">
        <f>_xlfn.XLOOKUP(CKadeaTelcoLogs_Reseau[[#This Row],[Cell_ID]],'CKadeaTelcoRegistre_Maintenance'!A:A,'CKadeaTelcoRegistre_Maintenance'!B:B,"Non repertorié")</f>
        <v>Tshopo</v>
      </c>
      <c r="F254">
        <f>_xlfn.XLOOKUP(CKadeaTelcoLogs_Reseau[[#This Row],[Cell_ID]],'CKadeaTelcoRegistre_Maintenance'!A:A,'CKadeaTelcoRegistre_Maintenance'!C:C,"Non repertorié")</f>
        <v>2.4425979999999998</v>
      </c>
      <c r="G254">
        <f>_xlfn.XLOOKUP(CKadeaTelcoLogs_Reseau[[#This Row],[Cell_ID]],'CKadeaTelcoRegistre_Maintenance'!A:A,'CKadeaTelcoRegistre_Maintenance'!D:D,"Non repertorié")</f>
        <v>24.924308</v>
      </c>
      <c r="H254" t="str">
        <f>_xlfn.XLOOKUP(CKadeaTelcoLogs_Reseau[[#This Row],[Cell_ID]],'CKadeaTelcoRegistre_Maintenance'!A:A,'CKadeaTelcoRegistre_Maintenance'!E:E,"Non repertorié")</f>
        <v>5G</v>
      </c>
      <c r="I254" t="str">
        <f>_xlfn.XLOOKUP(CKadeaTelcoLogs_Reseau[[#This Row],[Cell_ID]],'CKadeaTelcoRegistre_Maintenance'!A:A,'CKadeaTelcoRegistre_Maintenance'!F:F,"Non repertorié")</f>
        <v>Ericsson</v>
      </c>
    </row>
    <row r="255" spans="1:9" ht="20.5" customHeight="1" x14ac:dyDescent="0.35">
      <c r="A255" s="1">
        <v>45205.929861111108</v>
      </c>
      <c r="B255" s="5" t="s">
        <v>231</v>
      </c>
      <c r="C255">
        <v>82</v>
      </c>
      <c r="D255" t="s">
        <v>10</v>
      </c>
      <c r="E255" t="str">
        <f>_xlfn.XLOOKUP(CKadeaTelcoLogs_Reseau[[#This Row],[Cell_ID]],'CKadeaTelcoRegistre_Maintenance'!A:A,'CKadeaTelcoRegistre_Maintenance'!B:B,"Non repertorié")</f>
        <v>Lualaba</v>
      </c>
      <c r="F255">
        <f>_xlfn.XLOOKUP(CKadeaTelcoLogs_Reseau[[#This Row],[Cell_ID]],'CKadeaTelcoRegistre_Maintenance'!A:A,'CKadeaTelcoRegistre_Maintenance'!C:C,"Non repertorié")</f>
        <v>4.0157999999999996</v>
      </c>
      <c r="G255">
        <f>_xlfn.XLOOKUP(CKadeaTelcoLogs_Reseau[[#This Row],[Cell_ID]],'CKadeaTelcoRegistre_Maintenance'!A:A,'CKadeaTelcoRegistre_Maintenance'!D:D,"Non repertorié")</f>
        <v>21.430246</v>
      </c>
      <c r="H255" t="str">
        <f>_xlfn.XLOOKUP(CKadeaTelcoLogs_Reseau[[#This Row],[Cell_ID]],'CKadeaTelcoRegistre_Maintenance'!A:A,'CKadeaTelcoRegistre_Maintenance'!E:E,"Non repertorié")</f>
        <v>5G</v>
      </c>
      <c r="I255" t="str">
        <f>_xlfn.XLOOKUP(CKadeaTelcoLogs_Reseau[[#This Row],[Cell_ID]],'CKadeaTelcoRegistre_Maintenance'!A:A,'CKadeaTelcoRegistre_Maintenance'!F:F,"Non repertorié")</f>
        <v>Nokia</v>
      </c>
    </row>
    <row r="256" spans="1:9" ht="20.5" customHeight="1" x14ac:dyDescent="0.35">
      <c r="A256" s="1">
        <v>45228.001388888886</v>
      </c>
      <c r="B256" s="5" t="s">
        <v>232</v>
      </c>
      <c r="C256">
        <v>100</v>
      </c>
      <c r="D256" t="s">
        <v>8</v>
      </c>
      <c r="E256" t="str">
        <f>_xlfn.XLOOKUP(CKadeaTelcoLogs_Reseau[[#This Row],[Cell_ID]],'CKadeaTelcoRegistre_Maintenance'!A:A,'CKadeaTelcoRegistre_Maintenance'!B:B,"Non repertorié")</f>
        <v>Sud-Kivu</v>
      </c>
      <c r="F256">
        <f>_xlfn.XLOOKUP(CKadeaTelcoLogs_Reseau[[#This Row],[Cell_ID]],'CKadeaTelcoRegistre_Maintenance'!A:A,'CKadeaTelcoRegistre_Maintenance'!C:C,"Non repertorié")</f>
        <v>-9.3900009999999998</v>
      </c>
      <c r="G256">
        <f>_xlfn.XLOOKUP(CKadeaTelcoLogs_Reseau[[#This Row],[Cell_ID]],'CKadeaTelcoRegistre_Maintenance'!A:A,'CKadeaTelcoRegistre_Maintenance'!D:D,"Non repertorié")</f>
        <v>30.001517</v>
      </c>
      <c r="H256" t="str">
        <f>_xlfn.XLOOKUP(CKadeaTelcoLogs_Reseau[[#This Row],[Cell_ID]],'CKadeaTelcoRegistre_Maintenance'!A:A,'CKadeaTelcoRegistre_Maintenance'!E:E,"Non repertorié")</f>
        <v>3G</v>
      </c>
      <c r="I256" t="str">
        <f>_xlfn.XLOOKUP(CKadeaTelcoLogs_Reseau[[#This Row],[Cell_ID]],'CKadeaTelcoRegistre_Maintenance'!A:A,'CKadeaTelcoRegistre_Maintenance'!F:F,"Non repertorié")</f>
        <v>Nokia</v>
      </c>
    </row>
    <row r="257" spans="1:9" ht="20.5" customHeight="1" x14ac:dyDescent="0.35">
      <c r="A257" s="1">
        <v>45210.054166666669</v>
      </c>
      <c r="B257" s="5" t="s">
        <v>233</v>
      </c>
      <c r="C257">
        <v>68</v>
      </c>
      <c r="D257" t="s">
        <v>10</v>
      </c>
      <c r="E257" t="str">
        <f>_xlfn.XLOOKUP(CKadeaTelcoLogs_Reseau[[#This Row],[Cell_ID]],'CKadeaTelcoRegistre_Maintenance'!A:A,'CKadeaTelcoRegistre_Maintenance'!B:B,"Non repertorié")</f>
        <v>Non repertorié</v>
      </c>
      <c r="F257" t="str">
        <f>_xlfn.XLOOKUP(CKadeaTelcoLogs_Reseau[[#This Row],[Cell_ID]],'CKadeaTelcoRegistre_Maintenance'!A:A,'CKadeaTelcoRegistre_Maintenance'!C:C,"Non repertorié")</f>
        <v>Non repertorié</v>
      </c>
      <c r="G257" t="str">
        <f>_xlfn.XLOOKUP(CKadeaTelcoLogs_Reseau[[#This Row],[Cell_ID]],'CKadeaTelcoRegistre_Maintenance'!A:A,'CKadeaTelcoRegistre_Maintenance'!D:D,"Non repertorié")</f>
        <v>Non repertorié</v>
      </c>
      <c r="H257" t="str">
        <f>_xlfn.XLOOKUP(CKadeaTelcoLogs_Reseau[[#This Row],[Cell_ID]],'CKadeaTelcoRegistre_Maintenance'!A:A,'CKadeaTelcoRegistre_Maintenance'!E:E,"Non repertorié")</f>
        <v>Non repertorié</v>
      </c>
      <c r="I257" t="str">
        <f>_xlfn.XLOOKUP(CKadeaTelcoLogs_Reseau[[#This Row],[Cell_ID]],'CKadeaTelcoRegistre_Maintenance'!A:A,'CKadeaTelcoRegistre_Maintenance'!F:F,"Non repertorié")</f>
        <v>Non repertorié</v>
      </c>
    </row>
    <row r="258" spans="1:9" ht="20.5" customHeight="1" x14ac:dyDescent="0.35">
      <c r="A258" s="1">
        <v>45211.477083333331</v>
      </c>
      <c r="B258" s="5" t="s">
        <v>31</v>
      </c>
      <c r="C258">
        <v>111</v>
      </c>
      <c r="D258" t="s">
        <v>5</v>
      </c>
      <c r="E258" t="str">
        <f>_xlfn.XLOOKUP(CKadeaTelcoLogs_Reseau[[#This Row],[Cell_ID]],'CKadeaTelcoRegistre_Maintenance'!A:A,'CKadeaTelcoRegistre_Maintenance'!B:B,"Non repertorié")</f>
        <v>Nord-Kivu</v>
      </c>
      <c r="F258">
        <f>_xlfn.XLOOKUP(CKadeaTelcoLogs_Reseau[[#This Row],[Cell_ID]],'CKadeaTelcoRegistre_Maintenance'!A:A,'CKadeaTelcoRegistre_Maintenance'!C:C,"Non repertorié")</f>
        <v>4.6287159999999998</v>
      </c>
      <c r="G258">
        <f>_xlfn.XLOOKUP(CKadeaTelcoLogs_Reseau[[#This Row],[Cell_ID]],'CKadeaTelcoRegistre_Maintenance'!A:A,'CKadeaTelcoRegistre_Maintenance'!D:D,"Non repertorié")</f>
        <v>19.407077999999998</v>
      </c>
      <c r="H258" t="str">
        <f>_xlfn.XLOOKUP(CKadeaTelcoLogs_Reseau[[#This Row],[Cell_ID]],'CKadeaTelcoRegistre_Maintenance'!A:A,'CKadeaTelcoRegistre_Maintenance'!E:E,"Non repertorié")</f>
        <v>4G</v>
      </c>
      <c r="I258" t="str">
        <f>_xlfn.XLOOKUP(CKadeaTelcoLogs_Reseau[[#This Row],[Cell_ID]],'CKadeaTelcoRegistre_Maintenance'!A:A,'CKadeaTelcoRegistre_Maintenance'!F:F,"Non repertorié")</f>
        <v>Ericsson</v>
      </c>
    </row>
    <row r="259" spans="1:9" ht="20.5" customHeight="1" x14ac:dyDescent="0.35">
      <c r="A259" s="1">
        <v>45204.314583333333</v>
      </c>
      <c r="B259" s="5" t="s">
        <v>234</v>
      </c>
      <c r="C259">
        <v>120</v>
      </c>
      <c r="D259" t="s">
        <v>8</v>
      </c>
      <c r="E259" t="str">
        <f>_xlfn.XLOOKUP(CKadeaTelcoLogs_Reseau[[#This Row],[Cell_ID]],'CKadeaTelcoRegistre_Maintenance'!A:A,'CKadeaTelcoRegistre_Maintenance'!B:B,"Non repertorié")</f>
        <v>Non repertorié</v>
      </c>
      <c r="F259" t="str">
        <f>_xlfn.XLOOKUP(CKadeaTelcoLogs_Reseau[[#This Row],[Cell_ID]],'CKadeaTelcoRegistre_Maintenance'!A:A,'CKadeaTelcoRegistre_Maintenance'!C:C,"Non repertorié")</f>
        <v>Non repertorié</v>
      </c>
      <c r="G259" t="str">
        <f>_xlfn.XLOOKUP(CKadeaTelcoLogs_Reseau[[#This Row],[Cell_ID]],'CKadeaTelcoRegistre_Maintenance'!A:A,'CKadeaTelcoRegistre_Maintenance'!D:D,"Non repertorié")</f>
        <v>Non repertorié</v>
      </c>
      <c r="H259" t="str">
        <f>_xlfn.XLOOKUP(CKadeaTelcoLogs_Reseau[[#This Row],[Cell_ID]],'CKadeaTelcoRegistre_Maintenance'!A:A,'CKadeaTelcoRegistre_Maintenance'!E:E,"Non repertorié")</f>
        <v>Non repertorié</v>
      </c>
      <c r="I259" t="str">
        <f>_xlfn.XLOOKUP(CKadeaTelcoLogs_Reseau[[#This Row],[Cell_ID]],'CKadeaTelcoRegistre_Maintenance'!A:A,'CKadeaTelcoRegistre_Maintenance'!F:F,"Non repertorié")</f>
        <v>Non repertorié</v>
      </c>
    </row>
    <row r="260" spans="1:9" ht="20.5" customHeight="1" x14ac:dyDescent="0.35">
      <c r="A260" s="1">
        <v>45213.779861111114</v>
      </c>
      <c r="B260" s="5" t="s">
        <v>235</v>
      </c>
      <c r="C260">
        <v>120</v>
      </c>
      <c r="D260" t="s">
        <v>5</v>
      </c>
      <c r="E260" t="str">
        <f>_xlfn.XLOOKUP(CKadeaTelcoLogs_Reseau[[#This Row],[Cell_ID]],'CKadeaTelcoRegistre_Maintenance'!A:A,'CKadeaTelcoRegistre_Maintenance'!B:B,"Non repertorié")</f>
        <v>Sankuru</v>
      </c>
      <c r="F260">
        <f>_xlfn.XLOOKUP(CKadeaTelcoLogs_Reseau[[#This Row],[Cell_ID]],'CKadeaTelcoRegistre_Maintenance'!A:A,'CKadeaTelcoRegistre_Maintenance'!C:C,"Non repertorié")</f>
        <v>-7.5969509999999998</v>
      </c>
      <c r="G260">
        <f>_xlfn.XLOOKUP(CKadeaTelcoLogs_Reseau[[#This Row],[Cell_ID]],'CKadeaTelcoRegistre_Maintenance'!A:A,'CKadeaTelcoRegistre_Maintenance'!D:D,"Non repertorié")</f>
        <v>22.153986</v>
      </c>
      <c r="H260" t="str">
        <f>_xlfn.XLOOKUP(CKadeaTelcoLogs_Reseau[[#This Row],[Cell_ID]],'CKadeaTelcoRegistre_Maintenance'!A:A,'CKadeaTelcoRegistre_Maintenance'!E:E,"Non repertorié")</f>
        <v>3G</v>
      </c>
      <c r="I260" t="str">
        <f>_xlfn.XLOOKUP(CKadeaTelcoLogs_Reseau[[#This Row],[Cell_ID]],'CKadeaTelcoRegistre_Maintenance'!A:A,'CKadeaTelcoRegistre_Maintenance'!F:F,"Non repertorié")</f>
        <v>Ericsson</v>
      </c>
    </row>
    <row r="261" spans="1:9" ht="20.5" customHeight="1" x14ac:dyDescent="0.35">
      <c r="A261" s="1">
        <v>45225.215277777781</v>
      </c>
      <c r="B261" s="5" t="s">
        <v>236</v>
      </c>
      <c r="C261">
        <v>41</v>
      </c>
      <c r="D261" t="s">
        <v>10</v>
      </c>
      <c r="E261" t="str">
        <f>_xlfn.XLOOKUP(CKadeaTelcoLogs_Reseau[[#This Row],[Cell_ID]],'CKadeaTelcoRegistre_Maintenance'!A:A,'CKadeaTelcoRegistre_Maintenance'!B:B,"Non repertorié")</f>
        <v>Mai-Ndombe</v>
      </c>
      <c r="F261">
        <f>_xlfn.XLOOKUP(CKadeaTelcoLogs_Reseau[[#This Row],[Cell_ID]],'CKadeaTelcoRegistre_Maintenance'!A:A,'CKadeaTelcoRegistre_Maintenance'!C:C,"Non repertorié")</f>
        <v>-4.9552579999999997</v>
      </c>
      <c r="G261">
        <f>_xlfn.XLOOKUP(CKadeaTelcoLogs_Reseau[[#This Row],[Cell_ID]],'CKadeaTelcoRegistre_Maintenance'!A:A,'CKadeaTelcoRegistre_Maintenance'!D:D,"Non repertorié")</f>
        <v>22.008103999999999</v>
      </c>
      <c r="H261" t="str">
        <f>_xlfn.XLOOKUP(CKadeaTelcoLogs_Reseau[[#This Row],[Cell_ID]],'CKadeaTelcoRegistre_Maintenance'!A:A,'CKadeaTelcoRegistre_Maintenance'!E:E,"Non repertorié")</f>
        <v>4G</v>
      </c>
      <c r="I261" t="str">
        <f>_xlfn.XLOOKUP(CKadeaTelcoLogs_Reseau[[#This Row],[Cell_ID]],'CKadeaTelcoRegistre_Maintenance'!A:A,'CKadeaTelcoRegistre_Maintenance'!F:F,"Non repertorié")</f>
        <v>Huawei</v>
      </c>
    </row>
    <row r="262" spans="1:9" ht="20.5" customHeight="1" x14ac:dyDescent="0.35">
      <c r="A262" s="1">
        <v>45205.11041666667</v>
      </c>
      <c r="B262" s="5" t="s">
        <v>34</v>
      </c>
      <c r="C262">
        <v>104</v>
      </c>
      <c r="D262" t="s">
        <v>5</v>
      </c>
      <c r="E262" t="str">
        <f>_xlfn.XLOOKUP(CKadeaTelcoLogs_Reseau[[#This Row],[Cell_ID]],'CKadeaTelcoRegistre_Maintenance'!A:A,'CKadeaTelcoRegistre_Maintenance'!B:B,"Non repertorié")</f>
        <v>Non repertorié</v>
      </c>
      <c r="F262" t="str">
        <f>_xlfn.XLOOKUP(CKadeaTelcoLogs_Reseau[[#This Row],[Cell_ID]],'CKadeaTelcoRegistre_Maintenance'!A:A,'CKadeaTelcoRegistre_Maintenance'!C:C,"Non repertorié")</f>
        <v>Non repertorié</v>
      </c>
      <c r="G262" t="str">
        <f>_xlfn.XLOOKUP(CKadeaTelcoLogs_Reseau[[#This Row],[Cell_ID]],'CKadeaTelcoRegistre_Maintenance'!A:A,'CKadeaTelcoRegistre_Maintenance'!D:D,"Non repertorié")</f>
        <v>Non repertorié</v>
      </c>
      <c r="H262" t="str">
        <f>_xlfn.XLOOKUP(CKadeaTelcoLogs_Reseau[[#This Row],[Cell_ID]],'CKadeaTelcoRegistre_Maintenance'!A:A,'CKadeaTelcoRegistre_Maintenance'!E:E,"Non repertorié")</f>
        <v>Non repertorié</v>
      </c>
      <c r="I262" t="str">
        <f>_xlfn.XLOOKUP(CKadeaTelcoLogs_Reseau[[#This Row],[Cell_ID]],'CKadeaTelcoRegistre_Maintenance'!A:A,'CKadeaTelcoRegistre_Maintenance'!F:F,"Non repertorié")</f>
        <v>Non repertorié</v>
      </c>
    </row>
    <row r="263" spans="1:9" ht="20.5" customHeight="1" x14ac:dyDescent="0.35">
      <c r="A263" s="1">
        <v>45227.527083333334</v>
      </c>
      <c r="B263" s="5" t="s">
        <v>237</v>
      </c>
      <c r="C263">
        <v>107</v>
      </c>
      <c r="D263" t="s">
        <v>8</v>
      </c>
      <c r="E263" t="str">
        <f>_xlfn.XLOOKUP(CKadeaTelcoLogs_Reseau[[#This Row],[Cell_ID]],'CKadeaTelcoRegistre_Maintenance'!A:A,'CKadeaTelcoRegistre_Maintenance'!B:B,"Non repertorié")</f>
        <v>Tanganyika</v>
      </c>
      <c r="F263">
        <f>_xlfn.XLOOKUP(CKadeaTelcoLogs_Reseau[[#This Row],[Cell_ID]],'CKadeaTelcoRegistre_Maintenance'!A:A,'CKadeaTelcoRegistre_Maintenance'!C:C,"Non repertorié")</f>
        <v>-1.50664</v>
      </c>
      <c r="G263">
        <f>_xlfn.XLOOKUP(CKadeaTelcoLogs_Reseau[[#This Row],[Cell_ID]],'CKadeaTelcoRegistre_Maintenance'!A:A,'CKadeaTelcoRegistre_Maintenance'!D:D,"Non repertorié")</f>
        <v>27.795642000000001</v>
      </c>
      <c r="H263" t="str">
        <f>_xlfn.XLOOKUP(CKadeaTelcoLogs_Reseau[[#This Row],[Cell_ID]],'CKadeaTelcoRegistre_Maintenance'!A:A,'CKadeaTelcoRegistre_Maintenance'!E:E,"Non repertorié")</f>
        <v>5G</v>
      </c>
      <c r="I263" t="str">
        <f>_xlfn.XLOOKUP(CKadeaTelcoLogs_Reseau[[#This Row],[Cell_ID]],'CKadeaTelcoRegistre_Maintenance'!A:A,'CKadeaTelcoRegistre_Maintenance'!F:F,"Non repertorié")</f>
        <v>ZTE</v>
      </c>
    </row>
    <row r="264" spans="1:9" ht="20.5" customHeight="1" x14ac:dyDescent="0.35">
      <c r="A264" s="1">
        <v>45221.313194444447</v>
      </c>
      <c r="B264" s="5" t="s">
        <v>238</v>
      </c>
      <c r="C264">
        <v>34</v>
      </c>
      <c r="D264" t="s">
        <v>8</v>
      </c>
      <c r="E264" t="str">
        <f>_xlfn.XLOOKUP(CKadeaTelcoLogs_Reseau[[#This Row],[Cell_ID]],'CKadeaTelcoRegistre_Maintenance'!A:A,'CKadeaTelcoRegistre_Maintenance'!B:B,"Non repertorié")</f>
        <v>Kasai</v>
      </c>
      <c r="F264">
        <f>_xlfn.XLOOKUP(CKadeaTelcoLogs_Reseau[[#This Row],[Cell_ID]],'CKadeaTelcoRegistre_Maintenance'!A:A,'CKadeaTelcoRegistre_Maintenance'!C:C,"Non repertorié")</f>
        <v>-10.165072</v>
      </c>
      <c r="G264">
        <f>_xlfn.XLOOKUP(CKadeaTelcoLogs_Reseau[[#This Row],[Cell_ID]],'CKadeaTelcoRegistre_Maintenance'!A:A,'CKadeaTelcoRegistre_Maintenance'!D:D,"Non repertorié")</f>
        <v>29.428024000000001</v>
      </c>
      <c r="H264" t="str">
        <f>_xlfn.XLOOKUP(CKadeaTelcoLogs_Reseau[[#This Row],[Cell_ID]],'CKadeaTelcoRegistre_Maintenance'!A:A,'CKadeaTelcoRegistre_Maintenance'!E:E,"Non repertorié")</f>
        <v>5G</v>
      </c>
      <c r="I264" t="str">
        <f>_xlfn.XLOOKUP(CKadeaTelcoLogs_Reseau[[#This Row],[Cell_ID]],'CKadeaTelcoRegistre_Maintenance'!A:A,'CKadeaTelcoRegistre_Maintenance'!F:F,"Non repertorié")</f>
        <v>Huawei</v>
      </c>
    </row>
    <row r="265" spans="1:9" ht="20.5" customHeight="1" x14ac:dyDescent="0.35">
      <c r="A265" s="1">
        <v>45229.756249999999</v>
      </c>
      <c r="B265" s="5" t="s">
        <v>239</v>
      </c>
      <c r="C265">
        <v>82</v>
      </c>
      <c r="D265" t="s">
        <v>10</v>
      </c>
      <c r="E265" t="str">
        <f>_xlfn.XLOOKUP(CKadeaTelcoLogs_Reseau[[#This Row],[Cell_ID]],'CKadeaTelcoRegistre_Maintenance'!A:A,'CKadeaTelcoRegistre_Maintenance'!B:B,"Non repertorié")</f>
        <v>Non repertorié</v>
      </c>
      <c r="F265" t="str">
        <f>_xlfn.XLOOKUP(CKadeaTelcoLogs_Reseau[[#This Row],[Cell_ID]],'CKadeaTelcoRegistre_Maintenance'!A:A,'CKadeaTelcoRegistre_Maintenance'!C:C,"Non repertorié")</f>
        <v>Non repertorié</v>
      </c>
      <c r="G265" t="str">
        <f>_xlfn.XLOOKUP(CKadeaTelcoLogs_Reseau[[#This Row],[Cell_ID]],'CKadeaTelcoRegistre_Maintenance'!A:A,'CKadeaTelcoRegistre_Maintenance'!D:D,"Non repertorié")</f>
        <v>Non repertorié</v>
      </c>
      <c r="H265" t="str">
        <f>_xlfn.XLOOKUP(CKadeaTelcoLogs_Reseau[[#This Row],[Cell_ID]],'CKadeaTelcoRegistre_Maintenance'!A:A,'CKadeaTelcoRegistre_Maintenance'!E:E,"Non repertorié")</f>
        <v>Non repertorié</v>
      </c>
      <c r="I265" t="str">
        <f>_xlfn.XLOOKUP(CKadeaTelcoLogs_Reseau[[#This Row],[Cell_ID]],'CKadeaTelcoRegistre_Maintenance'!A:A,'CKadeaTelcoRegistre_Maintenance'!F:F,"Non repertorié")</f>
        <v>Non repertorié</v>
      </c>
    </row>
    <row r="266" spans="1:9" ht="20.5" customHeight="1" x14ac:dyDescent="0.35">
      <c r="A266" s="1">
        <v>45207.611111111109</v>
      </c>
      <c r="B266" s="5" t="s">
        <v>107</v>
      </c>
      <c r="C266">
        <v>107</v>
      </c>
      <c r="D266" t="s">
        <v>8</v>
      </c>
      <c r="E266" t="str">
        <f>_xlfn.XLOOKUP(CKadeaTelcoLogs_Reseau[[#This Row],[Cell_ID]],'CKadeaTelcoRegistre_Maintenance'!A:A,'CKadeaTelcoRegistre_Maintenance'!B:B,"Non repertorié")</f>
        <v>Non repertorié</v>
      </c>
      <c r="F266" t="str">
        <f>_xlfn.XLOOKUP(CKadeaTelcoLogs_Reseau[[#This Row],[Cell_ID]],'CKadeaTelcoRegistre_Maintenance'!A:A,'CKadeaTelcoRegistre_Maintenance'!C:C,"Non repertorié")</f>
        <v>Non repertorié</v>
      </c>
      <c r="G266" t="str">
        <f>_xlfn.XLOOKUP(CKadeaTelcoLogs_Reseau[[#This Row],[Cell_ID]],'CKadeaTelcoRegistre_Maintenance'!A:A,'CKadeaTelcoRegistre_Maintenance'!D:D,"Non repertorié")</f>
        <v>Non repertorié</v>
      </c>
      <c r="H266" t="str">
        <f>_xlfn.XLOOKUP(CKadeaTelcoLogs_Reseau[[#This Row],[Cell_ID]],'CKadeaTelcoRegistre_Maintenance'!A:A,'CKadeaTelcoRegistre_Maintenance'!E:E,"Non repertorié")</f>
        <v>Non repertorié</v>
      </c>
      <c r="I266" t="str">
        <f>_xlfn.XLOOKUP(CKadeaTelcoLogs_Reseau[[#This Row],[Cell_ID]],'CKadeaTelcoRegistre_Maintenance'!A:A,'CKadeaTelcoRegistre_Maintenance'!F:F,"Non repertorié")</f>
        <v>Non repertorié</v>
      </c>
    </row>
    <row r="267" spans="1:9" ht="20.5" customHeight="1" x14ac:dyDescent="0.35">
      <c r="A267" s="1">
        <v>45208.594444444447</v>
      </c>
      <c r="B267" s="5" t="s">
        <v>240</v>
      </c>
      <c r="C267">
        <v>50</v>
      </c>
      <c r="D267" t="s">
        <v>5</v>
      </c>
      <c r="E267" t="str">
        <f>_xlfn.XLOOKUP(CKadeaTelcoLogs_Reseau[[#This Row],[Cell_ID]],'CKadeaTelcoRegistre_Maintenance'!A:A,'CKadeaTelcoRegistre_Maintenance'!B:B,"Non repertorié")</f>
        <v>Non repertorié</v>
      </c>
      <c r="F267" t="str">
        <f>_xlfn.XLOOKUP(CKadeaTelcoLogs_Reseau[[#This Row],[Cell_ID]],'CKadeaTelcoRegistre_Maintenance'!A:A,'CKadeaTelcoRegistre_Maintenance'!C:C,"Non repertorié")</f>
        <v>Non repertorié</v>
      </c>
      <c r="G267" t="str">
        <f>_xlfn.XLOOKUP(CKadeaTelcoLogs_Reseau[[#This Row],[Cell_ID]],'CKadeaTelcoRegistre_Maintenance'!A:A,'CKadeaTelcoRegistre_Maintenance'!D:D,"Non repertorié")</f>
        <v>Non repertorié</v>
      </c>
      <c r="H267" t="str">
        <f>_xlfn.XLOOKUP(CKadeaTelcoLogs_Reseau[[#This Row],[Cell_ID]],'CKadeaTelcoRegistre_Maintenance'!A:A,'CKadeaTelcoRegistre_Maintenance'!E:E,"Non repertorié")</f>
        <v>Non repertorié</v>
      </c>
      <c r="I267" t="str">
        <f>_xlfn.XLOOKUP(CKadeaTelcoLogs_Reseau[[#This Row],[Cell_ID]],'CKadeaTelcoRegistre_Maintenance'!A:A,'CKadeaTelcoRegistre_Maintenance'!F:F,"Non repertorié")</f>
        <v>Non repertorié</v>
      </c>
    </row>
    <row r="268" spans="1:9" ht="20.5" customHeight="1" x14ac:dyDescent="0.35">
      <c r="A268" s="1">
        <v>45221.039583333331</v>
      </c>
      <c r="B268" s="5" t="s">
        <v>241</v>
      </c>
      <c r="C268">
        <v>33</v>
      </c>
      <c r="D268" t="s">
        <v>8</v>
      </c>
      <c r="E268" t="str">
        <f>_xlfn.XLOOKUP(CKadeaTelcoLogs_Reseau[[#This Row],[Cell_ID]],'CKadeaTelcoRegistre_Maintenance'!A:A,'CKadeaTelcoRegistre_Maintenance'!B:B,"Non repertorié")</f>
        <v>Kinshasa</v>
      </c>
      <c r="F268">
        <f>_xlfn.XLOOKUP(CKadeaTelcoLogs_Reseau[[#This Row],[Cell_ID]],'CKadeaTelcoRegistre_Maintenance'!A:A,'CKadeaTelcoRegistre_Maintenance'!C:C,"Non repertorié")</f>
        <v>0.48965500000000001</v>
      </c>
      <c r="G268">
        <f>_xlfn.XLOOKUP(CKadeaTelcoLogs_Reseau[[#This Row],[Cell_ID]],'CKadeaTelcoRegistre_Maintenance'!A:A,'CKadeaTelcoRegistre_Maintenance'!D:D,"Non repertorié")</f>
        <v>26.176860000000001</v>
      </c>
      <c r="H268" t="str">
        <f>_xlfn.XLOOKUP(CKadeaTelcoLogs_Reseau[[#This Row],[Cell_ID]],'CKadeaTelcoRegistre_Maintenance'!A:A,'CKadeaTelcoRegistre_Maintenance'!E:E,"Non repertorié")</f>
        <v>4G</v>
      </c>
      <c r="I268" t="str">
        <f>_xlfn.XLOOKUP(CKadeaTelcoLogs_Reseau[[#This Row],[Cell_ID]],'CKadeaTelcoRegistre_Maintenance'!A:A,'CKadeaTelcoRegistre_Maintenance'!F:F,"Non repertorié")</f>
        <v>Huawei</v>
      </c>
    </row>
    <row r="269" spans="1:9" ht="20.5" customHeight="1" x14ac:dyDescent="0.35">
      <c r="A269" s="1">
        <v>45225.622916666667</v>
      </c>
      <c r="B269" s="5" t="s">
        <v>238</v>
      </c>
      <c r="C269">
        <v>86</v>
      </c>
      <c r="D269" t="s">
        <v>5</v>
      </c>
      <c r="E269" t="str">
        <f>_xlfn.XLOOKUP(CKadeaTelcoLogs_Reseau[[#This Row],[Cell_ID]],'CKadeaTelcoRegistre_Maintenance'!A:A,'CKadeaTelcoRegistre_Maintenance'!B:B,"Non repertorié")</f>
        <v>Kasai</v>
      </c>
      <c r="F269">
        <f>_xlfn.XLOOKUP(CKadeaTelcoLogs_Reseau[[#This Row],[Cell_ID]],'CKadeaTelcoRegistre_Maintenance'!A:A,'CKadeaTelcoRegistre_Maintenance'!C:C,"Non repertorié")</f>
        <v>-10.165072</v>
      </c>
      <c r="G269">
        <f>_xlfn.XLOOKUP(CKadeaTelcoLogs_Reseau[[#This Row],[Cell_ID]],'CKadeaTelcoRegistre_Maintenance'!A:A,'CKadeaTelcoRegistre_Maintenance'!D:D,"Non repertorié")</f>
        <v>29.428024000000001</v>
      </c>
      <c r="H269" t="str">
        <f>_xlfn.XLOOKUP(CKadeaTelcoLogs_Reseau[[#This Row],[Cell_ID]],'CKadeaTelcoRegistre_Maintenance'!A:A,'CKadeaTelcoRegistre_Maintenance'!E:E,"Non repertorié")</f>
        <v>5G</v>
      </c>
      <c r="I269" t="str">
        <f>_xlfn.XLOOKUP(CKadeaTelcoLogs_Reseau[[#This Row],[Cell_ID]],'CKadeaTelcoRegistre_Maintenance'!A:A,'CKadeaTelcoRegistre_Maintenance'!F:F,"Non repertorié")</f>
        <v>Huawei</v>
      </c>
    </row>
    <row r="270" spans="1:9" ht="20.5" customHeight="1" x14ac:dyDescent="0.35">
      <c r="A270" s="1">
        <v>45209.898611111108</v>
      </c>
      <c r="B270" s="5" t="s">
        <v>179</v>
      </c>
      <c r="C270">
        <v>29</v>
      </c>
      <c r="D270" t="s">
        <v>8</v>
      </c>
      <c r="E270" t="str">
        <f>_xlfn.XLOOKUP(CKadeaTelcoLogs_Reseau[[#This Row],[Cell_ID]],'CKadeaTelcoRegistre_Maintenance'!A:A,'CKadeaTelcoRegistre_Maintenance'!B:B,"Non repertorié")</f>
        <v>Lualaba</v>
      </c>
      <c r="F270">
        <f>_xlfn.XLOOKUP(CKadeaTelcoLogs_Reseau[[#This Row],[Cell_ID]],'CKadeaTelcoRegistre_Maintenance'!A:A,'CKadeaTelcoRegistre_Maintenance'!C:C,"Non repertorié")</f>
        <v>-10.872631999999999</v>
      </c>
      <c r="G270">
        <f>_xlfn.XLOOKUP(CKadeaTelcoLogs_Reseau[[#This Row],[Cell_ID]],'CKadeaTelcoRegistre_Maintenance'!A:A,'CKadeaTelcoRegistre_Maintenance'!D:D,"Non repertorié")</f>
        <v>12.773279</v>
      </c>
      <c r="H270" t="str">
        <f>_xlfn.XLOOKUP(CKadeaTelcoLogs_Reseau[[#This Row],[Cell_ID]],'CKadeaTelcoRegistre_Maintenance'!A:A,'CKadeaTelcoRegistre_Maintenance'!E:E,"Non repertorié")</f>
        <v>3G</v>
      </c>
      <c r="I270" t="str">
        <f>_xlfn.XLOOKUP(CKadeaTelcoLogs_Reseau[[#This Row],[Cell_ID]],'CKadeaTelcoRegistre_Maintenance'!A:A,'CKadeaTelcoRegistre_Maintenance'!F:F,"Non repertorié")</f>
        <v>ZTE</v>
      </c>
    </row>
    <row r="271" spans="1:9" ht="20.5" customHeight="1" x14ac:dyDescent="0.35">
      <c r="A271" s="1">
        <v>45205.102777777778</v>
      </c>
      <c r="B271" s="5" t="s">
        <v>242</v>
      </c>
      <c r="C271">
        <v>84</v>
      </c>
      <c r="D271" t="s">
        <v>10</v>
      </c>
      <c r="E271" t="str">
        <f>_xlfn.XLOOKUP(CKadeaTelcoLogs_Reseau[[#This Row],[Cell_ID]],'CKadeaTelcoRegistre_Maintenance'!A:A,'CKadeaTelcoRegistre_Maintenance'!B:B,"Non repertorié")</f>
        <v>Non repertorié</v>
      </c>
      <c r="F271" t="str">
        <f>_xlfn.XLOOKUP(CKadeaTelcoLogs_Reseau[[#This Row],[Cell_ID]],'CKadeaTelcoRegistre_Maintenance'!A:A,'CKadeaTelcoRegistre_Maintenance'!C:C,"Non repertorié")</f>
        <v>Non repertorié</v>
      </c>
      <c r="G271" t="str">
        <f>_xlfn.XLOOKUP(CKadeaTelcoLogs_Reseau[[#This Row],[Cell_ID]],'CKadeaTelcoRegistre_Maintenance'!A:A,'CKadeaTelcoRegistre_Maintenance'!D:D,"Non repertorié")</f>
        <v>Non repertorié</v>
      </c>
      <c r="H271" t="str">
        <f>_xlfn.XLOOKUP(CKadeaTelcoLogs_Reseau[[#This Row],[Cell_ID]],'CKadeaTelcoRegistre_Maintenance'!A:A,'CKadeaTelcoRegistre_Maintenance'!E:E,"Non repertorié")</f>
        <v>Non repertorié</v>
      </c>
      <c r="I271" t="str">
        <f>_xlfn.XLOOKUP(CKadeaTelcoLogs_Reseau[[#This Row],[Cell_ID]],'CKadeaTelcoRegistre_Maintenance'!A:A,'CKadeaTelcoRegistre_Maintenance'!F:F,"Non repertorié")</f>
        <v>Non repertorié</v>
      </c>
    </row>
    <row r="272" spans="1:9" ht="20.5" customHeight="1" x14ac:dyDescent="0.35">
      <c r="A272" s="1">
        <v>45230.484027777777</v>
      </c>
      <c r="B272" s="5" t="s">
        <v>243</v>
      </c>
      <c r="C272">
        <v>37</v>
      </c>
      <c r="D272" t="s">
        <v>8</v>
      </c>
      <c r="E272" t="str">
        <f>_xlfn.XLOOKUP(CKadeaTelcoLogs_Reseau[[#This Row],[Cell_ID]],'CKadeaTelcoRegistre_Maintenance'!A:A,'CKadeaTelcoRegistre_Maintenance'!B:B,"Non repertorié")</f>
        <v>Kongo-Central</v>
      </c>
      <c r="F272">
        <f>_xlfn.XLOOKUP(CKadeaTelcoLogs_Reseau[[#This Row],[Cell_ID]],'CKadeaTelcoRegistre_Maintenance'!A:A,'CKadeaTelcoRegistre_Maintenance'!C:C,"Non repertorié")</f>
        <v>-12.564277000000001</v>
      </c>
      <c r="G272">
        <f>_xlfn.XLOOKUP(CKadeaTelcoLogs_Reseau[[#This Row],[Cell_ID]],'CKadeaTelcoRegistre_Maintenance'!A:A,'CKadeaTelcoRegistre_Maintenance'!D:D,"Non repertorié")</f>
        <v>28.480798</v>
      </c>
      <c r="H272" t="str">
        <f>_xlfn.XLOOKUP(CKadeaTelcoLogs_Reseau[[#This Row],[Cell_ID]],'CKadeaTelcoRegistre_Maintenance'!A:A,'CKadeaTelcoRegistre_Maintenance'!E:E,"Non repertorié")</f>
        <v>5G</v>
      </c>
      <c r="I272" t="str">
        <f>_xlfn.XLOOKUP(CKadeaTelcoLogs_Reseau[[#This Row],[Cell_ID]],'CKadeaTelcoRegistre_Maintenance'!A:A,'CKadeaTelcoRegistre_Maintenance'!F:F,"Non repertorié")</f>
        <v>ZTE</v>
      </c>
    </row>
    <row r="273" spans="1:9" ht="20.5" customHeight="1" x14ac:dyDescent="0.35">
      <c r="A273" s="1">
        <v>45209.852083333331</v>
      </c>
      <c r="B273" s="5" t="s">
        <v>244</v>
      </c>
      <c r="C273">
        <v>91</v>
      </c>
      <c r="D273" t="s">
        <v>10</v>
      </c>
      <c r="E273" t="str">
        <f>_xlfn.XLOOKUP(CKadeaTelcoLogs_Reseau[[#This Row],[Cell_ID]],'CKadeaTelcoRegistre_Maintenance'!A:A,'CKadeaTelcoRegistre_Maintenance'!B:B,"Non repertorié")</f>
        <v>Kwango</v>
      </c>
      <c r="F273">
        <f>_xlfn.XLOOKUP(CKadeaTelcoLogs_Reseau[[#This Row],[Cell_ID]],'CKadeaTelcoRegistre_Maintenance'!A:A,'CKadeaTelcoRegistre_Maintenance'!C:C,"Non repertorié")</f>
        <v>-12.431227</v>
      </c>
      <c r="G273">
        <f>_xlfn.XLOOKUP(CKadeaTelcoLogs_Reseau[[#This Row],[Cell_ID]],'CKadeaTelcoRegistre_Maintenance'!A:A,'CKadeaTelcoRegistre_Maintenance'!D:D,"Non repertorié")</f>
        <v>18.414290999999999</v>
      </c>
      <c r="H273" t="str">
        <f>_xlfn.XLOOKUP(CKadeaTelcoLogs_Reseau[[#This Row],[Cell_ID]],'CKadeaTelcoRegistre_Maintenance'!A:A,'CKadeaTelcoRegistre_Maintenance'!E:E,"Non repertorié")</f>
        <v>5G</v>
      </c>
      <c r="I273" t="str">
        <f>_xlfn.XLOOKUP(CKadeaTelcoLogs_Reseau[[#This Row],[Cell_ID]],'CKadeaTelcoRegistre_Maintenance'!A:A,'CKadeaTelcoRegistre_Maintenance'!F:F,"Non repertorié")</f>
        <v>Huawei</v>
      </c>
    </row>
    <row r="274" spans="1:9" ht="20.5" customHeight="1" x14ac:dyDescent="0.35">
      <c r="A274" s="1">
        <v>45222.353472222225</v>
      </c>
      <c r="B274" s="5" t="s">
        <v>245</v>
      </c>
      <c r="C274">
        <v>101</v>
      </c>
      <c r="D274" t="s">
        <v>8</v>
      </c>
      <c r="E274" t="str">
        <f>_xlfn.XLOOKUP(CKadeaTelcoLogs_Reseau[[#This Row],[Cell_ID]],'CKadeaTelcoRegistre_Maintenance'!A:A,'CKadeaTelcoRegistre_Maintenance'!B:B,"Non repertorié")</f>
        <v>Nord-Kivu</v>
      </c>
      <c r="F274">
        <f>_xlfn.XLOOKUP(CKadeaTelcoLogs_Reseau[[#This Row],[Cell_ID]],'CKadeaTelcoRegistre_Maintenance'!A:A,'CKadeaTelcoRegistre_Maintenance'!C:C,"Non repertorié")</f>
        <v>-10.846306999999999</v>
      </c>
      <c r="G274">
        <f>_xlfn.XLOOKUP(CKadeaTelcoLogs_Reseau[[#This Row],[Cell_ID]],'CKadeaTelcoRegistre_Maintenance'!A:A,'CKadeaTelcoRegistre_Maintenance'!D:D,"Non repertorié")</f>
        <v>19.201827999999999</v>
      </c>
      <c r="H274" t="str">
        <f>_xlfn.XLOOKUP(CKadeaTelcoLogs_Reseau[[#This Row],[Cell_ID]],'CKadeaTelcoRegistre_Maintenance'!A:A,'CKadeaTelcoRegistre_Maintenance'!E:E,"Non repertorié")</f>
        <v>4G</v>
      </c>
      <c r="I274" t="str">
        <f>_xlfn.XLOOKUP(CKadeaTelcoLogs_Reseau[[#This Row],[Cell_ID]],'CKadeaTelcoRegistre_Maintenance'!A:A,'CKadeaTelcoRegistre_Maintenance'!F:F,"Non repertorié")</f>
        <v>Ericsson</v>
      </c>
    </row>
    <row r="275" spans="1:9" ht="20.5" customHeight="1" x14ac:dyDescent="0.35">
      <c r="A275" s="1">
        <v>45207.713888888888</v>
      </c>
      <c r="B275" s="5" t="s">
        <v>246</v>
      </c>
      <c r="C275">
        <v>99</v>
      </c>
      <c r="D275" t="s">
        <v>8</v>
      </c>
      <c r="E275" t="str">
        <f>_xlfn.XLOOKUP(CKadeaTelcoLogs_Reseau[[#This Row],[Cell_ID]],'CKadeaTelcoRegistre_Maintenance'!A:A,'CKadeaTelcoRegistre_Maintenance'!B:B,"Non repertorié")</f>
        <v>Non repertorié</v>
      </c>
      <c r="F275" t="str">
        <f>_xlfn.XLOOKUP(CKadeaTelcoLogs_Reseau[[#This Row],[Cell_ID]],'CKadeaTelcoRegistre_Maintenance'!A:A,'CKadeaTelcoRegistre_Maintenance'!C:C,"Non repertorié")</f>
        <v>Non repertorié</v>
      </c>
      <c r="G275" t="str">
        <f>_xlfn.XLOOKUP(CKadeaTelcoLogs_Reseau[[#This Row],[Cell_ID]],'CKadeaTelcoRegistre_Maintenance'!A:A,'CKadeaTelcoRegistre_Maintenance'!D:D,"Non repertorié")</f>
        <v>Non repertorié</v>
      </c>
      <c r="H275" t="str">
        <f>_xlfn.XLOOKUP(CKadeaTelcoLogs_Reseau[[#This Row],[Cell_ID]],'CKadeaTelcoRegistre_Maintenance'!A:A,'CKadeaTelcoRegistre_Maintenance'!E:E,"Non repertorié")</f>
        <v>Non repertorié</v>
      </c>
      <c r="I275" t="str">
        <f>_xlfn.XLOOKUP(CKadeaTelcoLogs_Reseau[[#This Row],[Cell_ID]],'CKadeaTelcoRegistre_Maintenance'!A:A,'CKadeaTelcoRegistre_Maintenance'!F:F,"Non repertorié")</f>
        <v>Non repertorié</v>
      </c>
    </row>
    <row r="276" spans="1:9" ht="20.5" customHeight="1" x14ac:dyDescent="0.35">
      <c r="A276" s="1">
        <v>45212.599305555559</v>
      </c>
      <c r="B276" s="5" t="s">
        <v>151</v>
      </c>
      <c r="C276">
        <v>58</v>
      </c>
      <c r="D276" t="s">
        <v>8</v>
      </c>
      <c r="E276" t="str">
        <f>_xlfn.XLOOKUP(CKadeaTelcoLogs_Reseau[[#This Row],[Cell_ID]],'CKadeaTelcoRegistre_Maintenance'!A:A,'CKadeaTelcoRegistre_Maintenance'!B:B,"Non repertorié")</f>
        <v>Haut-Uele</v>
      </c>
      <c r="F276">
        <f>_xlfn.XLOOKUP(CKadeaTelcoLogs_Reseau[[#This Row],[Cell_ID]],'CKadeaTelcoRegistre_Maintenance'!A:A,'CKadeaTelcoRegistre_Maintenance'!C:C,"Non repertorié")</f>
        <v>-1.8045979999999999</v>
      </c>
      <c r="G276">
        <f>_xlfn.XLOOKUP(CKadeaTelcoLogs_Reseau[[#This Row],[Cell_ID]],'CKadeaTelcoRegistre_Maintenance'!A:A,'CKadeaTelcoRegistre_Maintenance'!D:D,"Non repertorié")</f>
        <v>12.511096999999999</v>
      </c>
      <c r="H276" t="str">
        <f>_xlfn.XLOOKUP(CKadeaTelcoLogs_Reseau[[#This Row],[Cell_ID]],'CKadeaTelcoRegistre_Maintenance'!A:A,'CKadeaTelcoRegistre_Maintenance'!E:E,"Non repertorié")</f>
        <v>3G</v>
      </c>
      <c r="I276" t="str">
        <f>_xlfn.XLOOKUP(CKadeaTelcoLogs_Reseau[[#This Row],[Cell_ID]],'CKadeaTelcoRegistre_Maintenance'!A:A,'CKadeaTelcoRegistre_Maintenance'!F:F,"Non repertorié")</f>
        <v>Huawei</v>
      </c>
    </row>
    <row r="277" spans="1:9" ht="20.5" customHeight="1" x14ac:dyDescent="0.35">
      <c r="A277" s="1">
        <v>45221.988888888889</v>
      </c>
      <c r="B277" s="5" t="s">
        <v>247</v>
      </c>
      <c r="C277">
        <v>72</v>
      </c>
      <c r="D277" t="s">
        <v>8</v>
      </c>
      <c r="E277" t="str">
        <f>_xlfn.XLOOKUP(CKadeaTelcoLogs_Reseau[[#This Row],[Cell_ID]],'CKadeaTelcoRegistre_Maintenance'!A:A,'CKadeaTelcoRegistre_Maintenance'!B:B,"Non repertorié")</f>
        <v>Non repertorié</v>
      </c>
      <c r="F277" t="str">
        <f>_xlfn.XLOOKUP(CKadeaTelcoLogs_Reseau[[#This Row],[Cell_ID]],'CKadeaTelcoRegistre_Maintenance'!A:A,'CKadeaTelcoRegistre_Maintenance'!C:C,"Non repertorié")</f>
        <v>Non repertorié</v>
      </c>
      <c r="G277" t="str">
        <f>_xlfn.XLOOKUP(CKadeaTelcoLogs_Reseau[[#This Row],[Cell_ID]],'CKadeaTelcoRegistre_Maintenance'!A:A,'CKadeaTelcoRegistre_Maintenance'!D:D,"Non repertorié")</f>
        <v>Non repertorié</v>
      </c>
      <c r="H277" t="str">
        <f>_xlfn.XLOOKUP(CKadeaTelcoLogs_Reseau[[#This Row],[Cell_ID]],'CKadeaTelcoRegistre_Maintenance'!A:A,'CKadeaTelcoRegistre_Maintenance'!E:E,"Non repertorié")</f>
        <v>Non repertorié</v>
      </c>
      <c r="I277" t="str">
        <f>_xlfn.XLOOKUP(CKadeaTelcoLogs_Reseau[[#This Row],[Cell_ID]],'CKadeaTelcoRegistre_Maintenance'!A:A,'CKadeaTelcoRegistre_Maintenance'!F:F,"Non repertorié")</f>
        <v>Non repertorié</v>
      </c>
    </row>
    <row r="278" spans="1:9" ht="20.5" customHeight="1" x14ac:dyDescent="0.35">
      <c r="A278" s="1">
        <v>45230.726388888892</v>
      </c>
      <c r="B278" s="5" t="s">
        <v>225</v>
      </c>
      <c r="C278">
        <v>19</v>
      </c>
      <c r="D278" t="s">
        <v>8</v>
      </c>
      <c r="E278" t="str">
        <f>_xlfn.XLOOKUP(CKadeaTelcoLogs_Reseau[[#This Row],[Cell_ID]],'CKadeaTelcoRegistre_Maintenance'!A:A,'CKadeaTelcoRegistre_Maintenance'!B:B,"Non repertorié")</f>
        <v>Non repertorié</v>
      </c>
      <c r="F278" t="str">
        <f>_xlfn.XLOOKUP(CKadeaTelcoLogs_Reseau[[#This Row],[Cell_ID]],'CKadeaTelcoRegistre_Maintenance'!A:A,'CKadeaTelcoRegistre_Maintenance'!C:C,"Non repertorié")</f>
        <v>Non repertorié</v>
      </c>
      <c r="G278" t="str">
        <f>_xlfn.XLOOKUP(CKadeaTelcoLogs_Reseau[[#This Row],[Cell_ID]],'CKadeaTelcoRegistre_Maintenance'!A:A,'CKadeaTelcoRegistre_Maintenance'!D:D,"Non repertorié")</f>
        <v>Non repertorié</v>
      </c>
      <c r="H278" t="str">
        <f>_xlfn.XLOOKUP(CKadeaTelcoLogs_Reseau[[#This Row],[Cell_ID]],'CKadeaTelcoRegistre_Maintenance'!A:A,'CKadeaTelcoRegistre_Maintenance'!E:E,"Non repertorié")</f>
        <v>Non repertorié</v>
      </c>
      <c r="I278" t="str">
        <f>_xlfn.XLOOKUP(CKadeaTelcoLogs_Reseau[[#This Row],[Cell_ID]],'CKadeaTelcoRegistre_Maintenance'!A:A,'CKadeaTelcoRegistre_Maintenance'!F:F,"Non repertorié")</f>
        <v>Non repertorié</v>
      </c>
    </row>
    <row r="279" spans="1:9" ht="20.5" customHeight="1" x14ac:dyDescent="0.35">
      <c r="A279" s="1">
        <v>45218.990277777775</v>
      </c>
      <c r="B279" s="5" t="s">
        <v>248</v>
      </c>
      <c r="C279">
        <v>100</v>
      </c>
      <c r="D279" t="s">
        <v>5</v>
      </c>
      <c r="E279" t="str">
        <f>_xlfn.XLOOKUP(CKadeaTelcoLogs_Reseau[[#This Row],[Cell_ID]],'CKadeaTelcoRegistre_Maintenance'!A:A,'CKadeaTelcoRegistre_Maintenance'!B:B,"Non repertorié")</f>
        <v>Non repertorié</v>
      </c>
      <c r="F279" t="str">
        <f>_xlfn.XLOOKUP(CKadeaTelcoLogs_Reseau[[#This Row],[Cell_ID]],'CKadeaTelcoRegistre_Maintenance'!A:A,'CKadeaTelcoRegistre_Maintenance'!C:C,"Non repertorié")</f>
        <v>Non repertorié</v>
      </c>
      <c r="G279" t="str">
        <f>_xlfn.XLOOKUP(CKadeaTelcoLogs_Reseau[[#This Row],[Cell_ID]],'CKadeaTelcoRegistre_Maintenance'!A:A,'CKadeaTelcoRegistre_Maintenance'!D:D,"Non repertorié")</f>
        <v>Non repertorié</v>
      </c>
      <c r="H279" t="str">
        <f>_xlfn.XLOOKUP(CKadeaTelcoLogs_Reseau[[#This Row],[Cell_ID]],'CKadeaTelcoRegistre_Maintenance'!A:A,'CKadeaTelcoRegistre_Maintenance'!E:E,"Non repertorié")</f>
        <v>Non repertorié</v>
      </c>
      <c r="I279" t="str">
        <f>_xlfn.XLOOKUP(CKadeaTelcoLogs_Reseau[[#This Row],[Cell_ID]],'CKadeaTelcoRegistre_Maintenance'!A:A,'CKadeaTelcoRegistre_Maintenance'!F:F,"Non repertorié")</f>
        <v>Non repertorié</v>
      </c>
    </row>
    <row r="280" spans="1:9" ht="20.5" customHeight="1" x14ac:dyDescent="0.35">
      <c r="A280" s="1">
        <v>45204.570138888892</v>
      </c>
      <c r="B280" s="5" t="s">
        <v>249</v>
      </c>
      <c r="C280">
        <v>13</v>
      </c>
      <c r="D280" t="s">
        <v>10</v>
      </c>
      <c r="E280" t="str">
        <f>_xlfn.XLOOKUP(CKadeaTelcoLogs_Reseau[[#This Row],[Cell_ID]],'CKadeaTelcoRegistre_Maintenance'!A:A,'CKadeaTelcoRegistre_Maintenance'!B:B,"Non repertorié")</f>
        <v>Non repertorié</v>
      </c>
      <c r="F280" t="str">
        <f>_xlfn.XLOOKUP(CKadeaTelcoLogs_Reseau[[#This Row],[Cell_ID]],'CKadeaTelcoRegistre_Maintenance'!A:A,'CKadeaTelcoRegistre_Maintenance'!C:C,"Non repertorié")</f>
        <v>Non repertorié</v>
      </c>
      <c r="G280" t="str">
        <f>_xlfn.XLOOKUP(CKadeaTelcoLogs_Reseau[[#This Row],[Cell_ID]],'CKadeaTelcoRegistre_Maintenance'!A:A,'CKadeaTelcoRegistre_Maintenance'!D:D,"Non repertorié")</f>
        <v>Non repertorié</v>
      </c>
      <c r="H280" t="str">
        <f>_xlfn.XLOOKUP(CKadeaTelcoLogs_Reseau[[#This Row],[Cell_ID]],'CKadeaTelcoRegistre_Maintenance'!A:A,'CKadeaTelcoRegistre_Maintenance'!E:E,"Non repertorié")</f>
        <v>Non repertorié</v>
      </c>
      <c r="I280" t="str">
        <f>_xlfn.XLOOKUP(CKadeaTelcoLogs_Reseau[[#This Row],[Cell_ID]],'CKadeaTelcoRegistre_Maintenance'!A:A,'CKadeaTelcoRegistre_Maintenance'!F:F,"Non repertorié")</f>
        <v>Non repertorié</v>
      </c>
    </row>
    <row r="281" spans="1:9" ht="20.5" customHeight="1" x14ac:dyDescent="0.35">
      <c r="A281" s="1">
        <v>45203.652083333334</v>
      </c>
      <c r="B281" s="5" t="s">
        <v>250</v>
      </c>
      <c r="C281">
        <v>65</v>
      </c>
      <c r="D281" t="s">
        <v>10</v>
      </c>
      <c r="E281" t="str">
        <f>_xlfn.XLOOKUP(CKadeaTelcoLogs_Reseau[[#This Row],[Cell_ID]],'CKadeaTelcoRegistre_Maintenance'!A:A,'CKadeaTelcoRegistre_Maintenance'!B:B,"Non repertorié")</f>
        <v>Haut-Katanga</v>
      </c>
      <c r="F281">
        <f>_xlfn.XLOOKUP(CKadeaTelcoLogs_Reseau[[#This Row],[Cell_ID]],'CKadeaTelcoRegistre_Maintenance'!A:A,'CKadeaTelcoRegistre_Maintenance'!C:C,"Non repertorié")</f>
        <v>2.016505</v>
      </c>
      <c r="G281">
        <f>_xlfn.XLOOKUP(CKadeaTelcoLogs_Reseau[[#This Row],[Cell_ID]],'CKadeaTelcoRegistre_Maintenance'!A:A,'CKadeaTelcoRegistre_Maintenance'!D:D,"Non repertorié")</f>
        <v>14.294164</v>
      </c>
      <c r="H281" t="str">
        <f>_xlfn.XLOOKUP(CKadeaTelcoLogs_Reseau[[#This Row],[Cell_ID]],'CKadeaTelcoRegistre_Maintenance'!A:A,'CKadeaTelcoRegistre_Maintenance'!E:E,"Non repertorié")</f>
        <v>5G</v>
      </c>
      <c r="I281" t="str">
        <f>_xlfn.XLOOKUP(CKadeaTelcoLogs_Reseau[[#This Row],[Cell_ID]],'CKadeaTelcoRegistre_Maintenance'!A:A,'CKadeaTelcoRegistre_Maintenance'!F:F,"Non repertorié")</f>
        <v>Huawei</v>
      </c>
    </row>
    <row r="282" spans="1:9" ht="20.5" customHeight="1" x14ac:dyDescent="0.35">
      <c r="A282" s="1">
        <v>45213.334722222222</v>
      </c>
      <c r="B282" s="5" t="s">
        <v>251</v>
      </c>
      <c r="C282">
        <v>62</v>
      </c>
      <c r="D282" t="s">
        <v>5</v>
      </c>
      <c r="E282" t="str">
        <f>_xlfn.XLOOKUP(CKadeaTelcoLogs_Reseau[[#This Row],[Cell_ID]],'CKadeaTelcoRegistre_Maintenance'!A:A,'CKadeaTelcoRegistre_Maintenance'!B:B,"Non repertorié")</f>
        <v>Non repertorié</v>
      </c>
      <c r="F282" t="str">
        <f>_xlfn.XLOOKUP(CKadeaTelcoLogs_Reseau[[#This Row],[Cell_ID]],'CKadeaTelcoRegistre_Maintenance'!A:A,'CKadeaTelcoRegistre_Maintenance'!C:C,"Non repertorié")</f>
        <v>Non repertorié</v>
      </c>
      <c r="G282" t="str">
        <f>_xlfn.XLOOKUP(CKadeaTelcoLogs_Reseau[[#This Row],[Cell_ID]],'CKadeaTelcoRegistre_Maintenance'!A:A,'CKadeaTelcoRegistre_Maintenance'!D:D,"Non repertorié")</f>
        <v>Non repertorié</v>
      </c>
      <c r="H282" t="str">
        <f>_xlfn.XLOOKUP(CKadeaTelcoLogs_Reseau[[#This Row],[Cell_ID]],'CKadeaTelcoRegistre_Maintenance'!A:A,'CKadeaTelcoRegistre_Maintenance'!E:E,"Non repertorié")</f>
        <v>Non repertorié</v>
      </c>
      <c r="I282" t="str">
        <f>_xlfn.XLOOKUP(CKadeaTelcoLogs_Reseau[[#This Row],[Cell_ID]],'CKadeaTelcoRegistre_Maintenance'!A:A,'CKadeaTelcoRegistre_Maintenance'!F:F,"Non repertorié")</f>
        <v>Non repertorié</v>
      </c>
    </row>
    <row r="283" spans="1:9" ht="20.5" customHeight="1" x14ac:dyDescent="0.35">
      <c r="A283" s="1">
        <v>45222.467361111114</v>
      </c>
      <c r="B283" s="5" t="s">
        <v>252</v>
      </c>
      <c r="C283">
        <v>104</v>
      </c>
      <c r="D283" t="s">
        <v>10</v>
      </c>
      <c r="E283" t="str">
        <f>_xlfn.XLOOKUP(CKadeaTelcoLogs_Reseau[[#This Row],[Cell_ID]],'CKadeaTelcoRegistre_Maintenance'!A:A,'CKadeaTelcoRegistre_Maintenance'!B:B,"Non repertorié")</f>
        <v>Non repertorié</v>
      </c>
      <c r="F283" t="str">
        <f>_xlfn.XLOOKUP(CKadeaTelcoLogs_Reseau[[#This Row],[Cell_ID]],'CKadeaTelcoRegistre_Maintenance'!A:A,'CKadeaTelcoRegistre_Maintenance'!C:C,"Non repertorié")</f>
        <v>Non repertorié</v>
      </c>
      <c r="G283" t="str">
        <f>_xlfn.XLOOKUP(CKadeaTelcoLogs_Reseau[[#This Row],[Cell_ID]],'CKadeaTelcoRegistre_Maintenance'!A:A,'CKadeaTelcoRegistre_Maintenance'!D:D,"Non repertorié")</f>
        <v>Non repertorié</v>
      </c>
      <c r="H283" t="str">
        <f>_xlfn.XLOOKUP(CKadeaTelcoLogs_Reseau[[#This Row],[Cell_ID]],'CKadeaTelcoRegistre_Maintenance'!A:A,'CKadeaTelcoRegistre_Maintenance'!E:E,"Non repertorié")</f>
        <v>Non repertorié</v>
      </c>
      <c r="I283" t="str">
        <f>_xlfn.XLOOKUP(CKadeaTelcoLogs_Reseau[[#This Row],[Cell_ID]],'CKadeaTelcoRegistre_Maintenance'!A:A,'CKadeaTelcoRegistre_Maintenance'!F:F,"Non repertorié")</f>
        <v>Non repertorié</v>
      </c>
    </row>
    <row r="284" spans="1:9" ht="20.5" customHeight="1" x14ac:dyDescent="0.35">
      <c r="A284" s="1">
        <v>45214.59375</v>
      </c>
      <c r="B284" s="5" t="s">
        <v>253</v>
      </c>
      <c r="C284">
        <v>51</v>
      </c>
      <c r="D284" t="s">
        <v>10</v>
      </c>
      <c r="E284" t="str">
        <f>_xlfn.XLOOKUP(CKadeaTelcoLogs_Reseau[[#This Row],[Cell_ID]],'CKadeaTelcoRegistre_Maintenance'!A:A,'CKadeaTelcoRegistre_Maintenance'!B:B,"Non repertorié")</f>
        <v>Non repertorié</v>
      </c>
      <c r="F284" t="str">
        <f>_xlfn.XLOOKUP(CKadeaTelcoLogs_Reseau[[#This Row],[Cell_ID]],'CKadeaTelcoRegistre_Maintenance'!A:A,'CKadeaTelcoRegistre_Maintenance'!C:C,"Non repertorié")</f>
        <v>Non repertorié</v>
      </c>
      <c r="G284" t="str">
        <f>_xlfn.XLOOKUP(CKadeaTelcoLogs_Reseau[[#This Row],[Cell_ID]],'CKadeaTelcoRegistre_Maintenance'!A:A,'CKadeaTelcoRegistre_Maintenance'!D:D,"Non repertorié")</f>
        <v>Non repertorié</v>
      </c>
      <c r="H284" t="str">
        <f>_xlfn.XLOOKUP(CKadeaTelcoLogs_Reseau[[#This Row],[Cell_ID]],'CKadeaTelcoRegistre_Maintenance'!A:A,'CKadeaTelcoRegistre_Maintenance'!E:E,"Non repertorié")</f>
        <v>Non repertorié</v>
      </c>
      <c r="I284" t="str">
        <f>_xlfn.XLOOKUP(CKadeaTelcoLogs_Reseau[[#This Row],[Cell_ID]],'CKadeaTelcoRegistre_Maintenance'!A:A,'CKadeaTelcoRegistre_Maintenance'!F:F,"Non repertorié")</f>
        <v>Non repertorié</v>
      </c>
    </row>
    <row r="285" spans="1:9" ht="20.5" customHeight="1" x14ac:dyDescent="0.35">
      <c r="A285" s="1">
        <v>45227.462500000001</v>
      </c>
      <c r="B285" s="5" t="s">
        <v>90</v>
      </c>
      <c r="C285">
        <v>70</v>
      </c>
      <c r="D285" t="s">
        <v>10</v>
      </c>
      <c r="E285" t="str">
        <f>_xlfn.XLOOKUP(CKadeaTelcoLogs_Reseau[[#This Row],[Cell_ID]],'CKadeaTelcoRegistre_Maintenance'!A:A,'CKadeaTelcoRegistre_Maintenance'!B:B,"Non repertorié")</f>
        <v>Non repertorié</v>
      </c>
      <c r="F285" t="str">
        <f>_xlfn.XLOOKUP(CKadeaTelcoLogs_Reseau[[#This Row],[Cell_ID]],'CKadeaTelcoRegistre_Maintenance'!A:A,'CKadeaTelcoRegistre_Maintenance'!C:C,"Non repertorié")</f>
        <v>Non repertorié</v>
      </c>
      <c r="G285" t="str">
        <f>_xlfn.XLOOKUP(CKadeaTelcoLogs_Reseau[[#This Row],[Cell_ID]],'CKadeaTelcoRegistre_Maintenance'!A:A,'CKadeaTelcoRegistre_Maintenance'!D:D,"Non repertorié")</f>
        <v>Non repertorié</v>
      </c>
      <c r="H285" t="str">
        <f>_xlfn.XLOOKUP(CKadeaTelcoLogs_Reseau[[#This Row],[Cell_ID]],'CKadeaTelcoRegistre_Maintenance'!A:A,'CKadeaTelcoRegistre_Maintenance'!E:E,"Non repertorié")</f>
        <v>Non repertorié</v>
      </c>
      <c r="I285" t="str">
        <f>_xlfn.XLOOKUP(CKadeaTelcoLogs_Reseau[[#This Row],[Cell_ID]],'CKadeaTelcoRegistre_Maintenance'!A:A,'CKadeaTelcoRegistre_Maintenance'!F:F,"Non repertorié")</f>
        <v>Non repertorié</v>
      </c>
    </row>
    <row r="286" spans="1:9" ht="20.5" customHeight="1" x14ac:dyDescent="0.35">
      <c r="A286" s="1">
        <v>45221.481944444444</v>
      </c>
      <c r="B286" s="5" t="s">
        <v>254</v>
      </c>
      <c r="C286">
        <v>80</v>
      </c>
      <c r="D286" t="s">
        <v>10</v>
      </c>
      <c r="E286" t="str">
        <f>_xlfn.XLOOKUP(CKadeaTelcoLogs_Reseau[[#This Row],[Cell_ID]],'CKadeaTelcoRegistre_Maintenance'!A:A,'CKadeaTelcoRegistre_Maintenance'!B:B,"Non repertorié")</f>
        <v>Non repertorié</v>
      </c>
      <c r="F286" t="str">
        <f>_xlfn.XLOOKUP(CKadeaTelcoLogs_Reseau[[#This Row],[Cell_ID]],'CKadeaTelcoRegistre_Maintenance'!A:A,'CKadeaTelcoRegistre_Maintenance'!C:C,"Non repertorié")</f>
        <v>Non repertorié</v>
      </c>
      <c r="G286" t="str">
        <f>_xlfn.XLOOKUP(CKadeaTelcoLogs_Reseau[[#This Row],[Cell_ID]],'CKadeaTelcoRegistre_Maintenance'!A:A,'CKadeaTelcoRegistre_Maintenance'!D:D,"Non repertorié")</f>
        <v>Non repertorié</v>
      </c>
      <c r="H286" t="str">
        <f>_xlfn.XLOOKUP(CKadeaTelcoLogs_Reseau[[#This Row],[Cell_ID]],'CKadeaTelcoRegistre_Maintenance'!A:A,'CKadeaTelcoRegistre_Maintenance'!E:E,"Non repertorié")</f>
        <v>Non repertorié</v>
      </c>
      <c r="I286" t="str">
        <f>_xlfn.XLOOKUP(CKadeaTelcoLogs_Reseau[[#This Row],[Cell_ID]],'CKadeaTelcoRegistre_Maintenance'!A:A,'CKadeaTelcoRegistre_Maintenance'!F:F,"Non repertorié")</f>
        <v>Non repertorié</v>
      </c>
    </row>
    <row r="287" spans="1:9" ht="20.5" customHeight="1" x14ac:dyDescent="0.35">
      <c r="A287" s="1">
        <v>45228.848611111112</v>
      </c>
      <c r="B287" s="5" t="s">
        <v>255</v>
      </c>
      <c r="C287">
        <v>18</v>
      </c>
      <c r="D287" t="s">
        <v>10</v>
      </c>
      <c r="E287" t="str">
        <f>_xlfn.XLOOKUP(CKadeaTelcoLogs_Reseau[[#This Row],[Cell_ID]],'CKadeaTelcoRegistre_Maintenance'!A:A,'CKadeaTelcoRegistre_Maintenance'!B:B,"Non repertorié")</f>
        <v>Non repertorié</v>
      </c>
      <c r="F287" t="str">
        <f>_xlfn.XLOOKUP(CKadeaTelcoLogs_Reseau[[#This Row],[Cell_ID]],'CKadeaTelcoRegistre_Maintenance'!A:A,'CKadeaTelcoRegistre_Maintenance'!C:C,"Non repertorié")</f>
        <v>Non repertorié</v>
      </c>
      <c r="G287" t="str">
        <f>_xlfn.XLOOKUP(CKadeaTelcoLogs_Reseau[[#This Row],[Cell_ID]],'CKadeaTelcoRegistre_Maintenance'!A:A,'CKadeaTelcoRegistre_Maintenance'!D:D,"Non repertorié")</f>
        <v>Non repertorié</v>
      </c>
      <c r="H287" t="str">
        <f>_xlfn.XLOOKUP(CKadeaTelcoLogs_Reseau[[#This Row],[Cell_ID]],'CKadeaTelcoRegistre_Maintenance'!A:A,'CKadeaTelcoRegistre_Maintenance'!E:E,"Non repertorié")</f>
        <v>Non repertorié</v>
      </c>
      <c r="I287" t="str">
        <f>_xlfn.XLOOKUP(CKadeaTelcoLogs_Reseau[[#This Row],[Cell_ID]],'CKadeaTelcoRegistre_Maintenance'!A:A,'CKadeaTelcoRegistre_Maintenance'!F:F,"Non repertorié")</f>
        <v>Non repertorié</v>
      </c>
    </row>
    <row r="288" spans="1:9" ht="20.5" customHeight="1" x14ac:dyDescent="0.35">
      <c r="A288" s="1">
        <v>45201.511805555558</v>
      </c>
      <c r="B288" s="5" t="s">
        <v>127</v>
      </c>
      <c r="C288">
        <v>62</v>
      </c>
      <c r="D288" t="s">
        <v>8</v>
      </c>
      <c r="E288" t="str">
        <f>_xlfn.XLOOKUP(CKadeaTelcoLogs_Reseau[[#This Row],[Cell_ID]],'CKadeaTelcoRegistre_Maintenance'!A:A,'CKadeaTelcoRegistre_Maintenance'!B:B,"Non repertorié")</f>
        <v>Nord-Kivu</v>
      </c>
      <c r="F288">
        <f>_xlfn.XLOOKUP(CKadeaTelcoLogs_Reseau[[#This Row],[Cell_ID]],'CKadeaTelcoRegistre_Maintenance'!A:A,'CKadeaTelcoRegistre_Maintenance'!C:C,"Non repertorié")</f>
        <v>-10.25074</v>
      </c>
      <c r="G288">
        <f>_xlfn.XLOOKUP(CKadeaTelcoLogs_Reseau[[#This Row],[Cell_ID]],'CKadeaTelcoRegistre_Maintenance'!A:A,'CKadeaTelcoRegistre_Maintenance'!D:D,"Non repertorié")</f>
        <v>26.099086</v>
      </c>
      <c r="H288" t="str">
        <f>_xlfn.XLOOKUP(CKadeaTelcoLogs_Reseau[[#This Row],[Cell_ID]],'CKadeaTelcoRegistre_Maintenance'!A:A,'CKadeaTelcoRegistre_Maintenance'!E:E,"Non repertorié")</f>
        <v>4G</v>
      </c>
      <c r="I288" t="str">
        <f>_xlfn.XLOOKUP(CKadeaTelcoLogs_Reseau[[#This Row],[Cell_ID]],'CKadeaTelcoRegistre_Maintenance'!A:A,'CKadeaTelcoRegistre_Maintenance'!F:F,"Non repertorié")</f>
        <v>Huawei</v>
      </c>
    </row>
    <row r="289" spans="1:9" ht="20.5" customHeight="1" x14ac:dyDescent="0.35">
      <c r="A289" s="1">
        <v>45206.162499999999</v>
      </c>
      <c r="B289" s="5" t="s">
        <v>256</v>
      </c>
      <c r="C289">
        <v>69</v>
      </c>
      <c r="D289" t="s">
        <v>5</v>
      </c>
      <c r="E289" t="str">
        <f>_xlfn.XLOOKUP(CKadeaTelcoLogs_Reseau[[#This Row],[Cell_ID]],'CKadeaTelcoRegistre_Maintenance'!A:A,'CKadeaTelcoRegistre_Maintenance'!B:B,"Non repertorié")</f>
        <v>Non repertorié</v>
      </c>
      <c r="F289" t="str">
        <f>_xlfn.XLOOKUP(CKadeaTelcoLogs_Reseau[[#This Row],[Cell_ID]],'CKadeaTelcoRegistre_Maintenance'!A:A,'CKadeaTelcoRegistre_Maintenance'!C:C,"Non repertorié")</f>
        <v>Non repertorié</v>
      </c>
      <c r="G289" t="str">
        <f>_xlfn.XLOOKUP(CKadeaTelcoLogs_Reseau[[#This Row],[Cell_ID]],'CKadeaTelcoRegistre_Maintenance'!A:A,'CKadeaTelcoRegistre_Maintenance'!D:D,"Non repertorié")</f>
        <v>Non repertorié</v>
      </c>
      <c r="H289" t="str">
        <f>_xlfn.XLOOKUP(CKadeaTelcoLogs_Reseau[[#This Row],[Cell_ID]],'CKadeaTelcoRegistre_Maintenance'!A:A,'CKadeaTelcoRegistre_Maintenance'!E:E,"Non repertorié")</f>
        <v>Non repertorié</v>
      </c>
      <c r="I289" t="str">
        <f>_xlfn.XLOOKUP(CKadeaTelcoLogs_Reseau[[#This Row],[Cell_ID]],'CKadeaTelcoRegistre_Maintenance'!A:A,'CKadeaTelcoRegistre_Maintenance'!F:F,"Non repertorié")</f>
        <v>Non repertorié</v>
      </c>
    </row>
    <row r="290" spans="1:9" ht="20.5" customHeight="1" x14ac:dyDescent="0.35">
      <c r="A290" s="1">
        <v>45226.586805555555</v>
      </c>
      <c r="B290" s="5" t="s">
        <v>257</v>
      </c>
      <c r="C290">
        <v>33</v>
      </c>
      <c r="D290" t="s">
        <v>10</v>
      </c>
      <c r="E290" t="str">
        <f>_xlfn.XLOOKUP(CKadeaTelcoLogs_Reseau[[#This Row],[Cell_ID]],'CKadeaTelcoRegistre_Maintenance'!A:A,'CKadeaTelcoRegistre_Maintenance'!B:B,"Non repertorié")</f>
        <v>Nord-Ubangi</v>
      </c>
      <c r="F290">
        <f>_xlfn.XLOOKUP(CKadeaTelcoLogs_Reseau[[#This Row],[Cell_ID]],'CKadeaTelcoRegistre_Maintenance'!A:A,'CKadeaTelcoRegistre_Maintenance'!C:C,"Non repertorié")</f>
        <v>-7.7839049999999999</v>
      </c>
      <c r="G290">
        <f>_xlfn.XLOOKUP(CKadeaTelcoLogs_Reseau[[#This Row],[Cell_ID]],'CKadeaTelcoRegistre_Maintenance'!A:A,'CKadeaTelcoRegistre_Maintenance'!D:D,"Non repertorié")</f>
        <v>14.114281999999999</v>
      </c>
      <c r="H290" t="str">
        <f>_xlfn.XLOOKUP(CKadeaTelcoLogs_Reseau[[#This Row],[Cell_ID]],'CKadeaTelcoRegistre_Maintenance'!A:A,'CKadeaTelcoRegistre_Maintenance'!E:E,"Non repertorié")</f>
        <v>3G</v>
      </c>
      <c r="I290" t="str">
        <f>_xlfn.XLOOKUP(CKadeaTelcoLogs_Reseau[[#This Row],[Cell_ID]],'CKadeaTelcoRegistre_Maintenance'!A:A,'CKadeaTelcoRegistre_Maintenance'!F:F,"Non repertorié")</f>
        <v>ZTE</v>
      </c>
    </row>
    <row r="291" spans="1:9" ht="20.5" customHeight="1" x14ac:dyDescent="0.35">
      <c r="A291" s="1">
        <v>45221.27847222222</v>
      </c>
      <c r="B291" s="5" t="s">
        <v>258</v>
      </c>
      <c r="C291">
        <v>83</v>
      </c>
      <c r="D291" t="s">
        <v>10</v>
      </c>
      <c r="E291" t="str">
        <f>_xlfn.XLOOKUP(CKadeaTelcoLogs_Reseau[[#This Row],[Cell_ID]],'CKadeaTelcoRegistre_Maintenance'!A:A,'CKadeaTelcoRegistre_Maintenance'!B:B,"Non repertorié")</f>
        <v>Tshuapa</v>
      </c>
      <c r="F291">
        <f>_xlfn.XLOOKUP(CKadeaTelcoLogs_Reseau[[#This Row],[Cell_ID]],'CKadeaTelcoRegistre_Maintenance'!A:A,'CKadeaTelcoRegistre_Maintenance'!C:C,"Non repertorié")</f>
        <v>-12.292039000000001</v>
      </c>
      <c r="G291">
        <f>_xlfn.XLOOKUP(CKadeaTelcoLogs_Reseau[[#This Row],[Cell_ID]],'CKadeaTelcoRegistre_Maintenance'!A:A,'CKadeaTelcoRegistre_Maintenance'!D:D,"Non repertorié")</f>
        <v>27.538202999999999</v>
      </c>
      <c r="H291" t="str">
        <f>_xlfn.XLOOKUP(CKadeaTelcoLogs_Reseau[[#This Row],[Cell_ID]],'CKadeaTelcoRegistre_Maintenance'!A:A,'CKadeaTelcoRegistre_Maintenance'!E:E,"Non repertorié")</f>
        <v>3G</v>
      </c>
      <c r="I291" t="str">
        <f>_xlfn.XLOOKUP(CKadeaTelcoLogs_Reseau[[#This Row],[Cell_ID]],'CKadeaTelcoRegistre_Maintenance'!A:A,'CKadeaTelcoRegistre_Maintenance'!F:F,"Non repertorié")</f>
        <v>Huawei</v>
      </c>
    </row>
    <row r="292" spans="1:9" ht="20.5" customHeight="1" x14ac:dyDescent="0.35">
      <c r="A292" s="1">
        <v>45220.792361111111</v>
      </c>
      <c r="B292" s="5" t="s">
        <v>109</v>
      </c>
      <c r="C292">
        <v>10</v>
      </c>
      <c r="D292" t="s">
        <v>10</v>
      </c>
      <c r="E292" t="str">
        <f>_xlfn.XLOOKUP(CKadeaTelcoLogs_Reseau[[#This Row],[Cell_ID]],'CKadeaTelcoRegistre_Maintenance'!A:A,'CKadeaTelcoRegistre_Maintenance'!B:B,"Non repertorié")</f>
        <v>Non repertorié</v>
      </c>
      <c r="F292" t="str">
        <f>_xlfn.XLOOKUP(CKadeaTelcoLogs_Reseau[[#This Row],[Cell_ID]],'CKadeaTelcoRegistre_Maintenance'!A:A,'CKadeaTelcoRegistre_Maintenance'!C:C,"Non repertorié")</f>
        <v>Non repertorié</v>
      </c>
      <c r="G292" t="str">
        <f>_xlfn.XLOOKUP(CKadeaTelcoLogs_Reseau[[#This Row],[Cell_ID]],'CKadeaTelcoRegistre_Maintenance'!A:A,'CKadeaTelcoRegistre_Maintenance'!D:D,"Non repertorié")</f>
        <v>Non repertorié</v>
      </c>
      <c r="H292" t="str">
        <f>_xlfn.XLOOKUP(CKadeaTelcoLogs_Reseau[[#This Row],[Cell_ID]],'CKadeaTelcoRegistre_Maintenance'!A:A,'CKadeaTelcoRegistre_Maintenance'!E:E,"Non repertorié")</f>
        <v>Non repertorié</v>
      </c>
      <c r="I292" t="str">
        <f>_xlfn.XLOOKUP(CKadeaTelcoLogs_Reseau[[#This Row],[Cell_ID]],'CKadeaTelcoRegistre_Maintenance'!A:A,'CKadeaTelcoRegistre_Maintenance'!F:F,"Non repertorié")</f>
        <v>Non repertorié</v>
      </c>
    </row>
    <row r="293" spans="1:9" ht="20.5" customHeight="1" x14ac:dyDescent="0.35">
      <c r="A293" s="1">
        <v>45201.427083333336</v>
      </c>
      <c r="B293" s="5" t="s">
        <v>247</v>
      </c>
      <c r="C293">
        <v>98</v>
      </c>
      <c r="D293" t="s">
        <v>8</v>
      </c>
      <c r="E293" t="str">
        <f>_xlfn.XLOOKUP(CKadeaTelcoLogs_Reseau[[#This Row],[Cell_ID]],'CKadeaTelcoRegistre_Maintenance'!A:A,'CKadeaTelcoRegistre_Maintenance'!B:B,"Non repertorié")</f>
        <v>Non repertorié</v>
      </c>
      <c r="F293" t="str">
        <f>_xlfn.XLOOKUP(CKadeaTelcoLogs_Reseau[[#This Row],[Cell_ID]],'CKadeaTelcoRegistre_Maintenance'!A:A,'CKadeaTelcoRegistre_Maintenance'!C:C,"Non repertorié")</f>
        <v>Non repertorié</v>
      </c>
      <c r="G293" t="str">
        <f>_xlfn.XLOOKUP(CKadeaTelcoLogs_Reseau[[#This Row],[Cell_ID]],'CKadeaTelcoRegistre_Maintenance'!A:A,'CKadeaTelcoRegistre_Maintenance'!D:D,"Non repertorié")</f>
        <v>Non repertorié</v>
      </c>
      <c r="H293" t="str">
        <f>_xlfn.XLOOKUP(CKadeaTelcoLogs_Reseau[[#This Row],[Cell_ID]],'CKadeaTelcoRegistre_Maintenance'!A:A,'CKadeaTelcoRegistre_Maintenance'!E:E,"Non repertorié")</f>
        <v>Non repertorié</v>
      </c>
      <c r="I293" t="str">
        <f>_xlfn.XLOOKUP(CKadeaTelcoLogs_Reseau[[#This Row],[Cell_ID]],'CKadeaTelcoRegistre_Maintenance'!A:A,'CKadeaTelcoRegistre_Maintenance'!F:F,"Non repertorié")</f>
        <v>Non repertorié</v>
      </c>
    </row>
    <row r="294" spans="1:9" ht="20.5" customHeight="1" x14ac:dyDescent="0.35">
      <c r="A294" s="1">
        <v>45204.759027777778</v>
      </c>
      <c r="B294" s="5" t="s">
        <v>259</v>
      </c>
      <c r="C294">
        <v>105</v>
      </c>
      <c r="D294" t="s">
        <v>10</v>
      </c>
      <c r="E294" t="str">
        <f>_xlfn.XLOOKUP(CKadeaTelcoLogs_Reseau[[#This Row],[Cell_ID]],'CKadeaTelcoRegistre_Maintenance'!A:A,'CKadeaTelcoRegistre_Maintenance'!B:B,"Non repertorié")</f>
        <v>Non repertorié</v>
      </c>
      <c r="F294" t="str">
        <f>_xlfn.XLOOKUP(CKadeaTelcoLogs_Reseau[[#This Row],[Cell_ID]],'CKadeaTelcoRegistre_Maintenance'!A:A,'CKadeaTelcoRegistre_Maintenance'!C:C,"Non repertorié")</f>
        <v>Non repertorié</v>
      </c>
      <c r="G294" t="str">
        <f>_xlfn.XLOOKUP(CKadeaTelcoLogs_Reseau[[#This Row],[Cell_ID]],'CKadeaTelcoRegistre_Maintenance'!A:A,'CKadeaTelcoRegistre_Maintenance'!D:D,"Non repertorié")</f>
        <v>Non repertorié</v>
      </c>
      <c r="H294" t="str">
        <f>_xlfn.XLOOKUP(CKadeaTelcoLogs_Reseau[[#This Row],[Cell_ID]],'CKadeaTelcoRegistre_Maintenance'!A:A,'CKadeaTelcoRegistre_Maintenance'!E:E,"Non repertorié")</f>
        <v>Non repertorié</v>
      </c>
      <c r="I294" t="str">
        <f>_xlfn.XLOOKUP(CKadeaTelcoLogs_Reseau[[#This Row],[Cell_ID]],'CKadeaTelcoRegistre_Maintenance'!A:A,'CKadeaTelcoRegistre_Maintenance'!F:F,"Non repertorié")</f>
        <v>Non repertorié</v>
      </c>
    </row>
    <row r="295" spans="1:9" ht="20.5" customHeight="1" x14ac:dyDescent="0.35">
      <c r="A295" s="1">
        <v>45202.717361111114</v>
      </c>
      <c r="B295" s="5" t="s">
        <v>260</v>
      </c>
      <c r="C295">
        <v>115</v>
      </c>
      <c r="D295" t="s">
        <v>10</v>
      </c>
      <c r="E295" t="str">
        <f>_xlfn.XLOOKUP(CKadeaTelcoLogs_Reseau[[#This Row],[Cell_ID]],'CKadeaTelcoRegistre_Maintenance'!A:A,'CKadeaTelcoRegistre_Maintenance'!B:B,"Non repertorié")</f>
        <v>Tanganyika</v>
      </c>
      <c r="F295">
        <f>_xlfn.XLOOKUP(CKadeaTelcoLogs_Reseau[[#This Row],[Cell_ID]],'CKadeaTelcoRegistre_Maintenance'!A:A,'CKadeaTelcoRegistre_Maintenance'!C:C,"Non repertorié")</f>
        <v>-1.5936220000000001</v>
      </c>
      <c r="G295">
        <f>_xlfn.XLOOKUP(CKadeaTelcoLogs_Reseau[[#This Row],[Cell_ID]],'CKadeaTelcoRegistre_Maintenance'!A:A,'CKadeaTelcoRegistre_Maintenance'!D:D,"Non repertorié")</f>
        <v>14.928856</v>
      </c>
      <c r="H295" t="str">
        <f>_xlfn.XLOOKUP(CKadeaTelcoLogs_Reseau[[#This Row],[Cell_ID]],'CKadeaTelcoRegistre_Maintenance'!A:A,'CKadeaTelcoRegistre_Maintenance'!E:E,"Non repertorié")</f>
        <v>5G</v>
      </c>
      <c r="I295" t="str">
        <f>_xlfn.XLOOKUP(CKadeaTelcoLogs_Reseau[[#This Row],[Cell_ID]],'CKadeaTelcoRegistre_Maintenance'!A:A,'CKadeaTelcoRegistre_Maintenance'!F:F,"Non repertorié")</f>
        <v>Ericsson</v>
      </c>
    </row>
    <row r="296" spans="1:9" ht="20.5" customHeight="1" x14ac:dyDescent="0.35">
      <c r="A296" s="1">
        <v>45218.286111111112</v>
      </c>
      <c r="B296" s="5" t="s">
        <v>261</v>
      </c>
      <c r="C296">
        <v>89</v>
      </c>
      <c r="D296" t="s">
        <v>5</v>
      </c>
      <c r="E296" t="str">
        <f>_xlfn.XLOOKUP(CKadeaTelcoLogs_Reseau[[#This Row],[Cell_ID]],'CKadeaTelcoRegistre_Maintenance'!A:A,'CKadeaTelcoRegistre_Maintenance'!B:B,"Non repertorié")</f>
        <v>Kwango</v>
      </c>
      <c r="F296">
        <f>_xlfn.XLOOKUP(CKadeaTelcoLogs_Reseau[[#This Row],[Cell_ID]],'CKadeaTelcoRegistre_Maintenance'!A:A,'CKadeaTelcoRegistre_Maintenance'!C:C,"Non repertorié")</f>
        <v>-7.5129409999999996</v>
      </c>
      <c r="G296">
        <f>_xlfn.XLOOKUP(CKadeaTelcoLogs_Reseau[[#This Row],[Cell_ID]],'CKadeaTelcoRegistre_Maintenance'!A:A,'CKadeaTelcoRegistre_Maintenance'!D:D,"Non repertorié")</f>
        <v>18.701522000000001</v>
      </c>
      <c r="H296" t="str">
        <f>_xlfn.XLOOKUP(CKadeaTelcoLogs_Reseau[[#This Row],[Cell_ID]],'CKadeaTelcoRegistre_Maintenance'!A:A,'CKadeaTelcoRegistre_Maintenance'!E:E,"Non repertorié")</f>
        <v>4G</v>
      </c>
      <c r="I296" t="str">
        <f>_xlfn.XLOOKUP(CKadeaTelcoLogs_Reseau[[#This Row],[Cell_ID]],'CKadeaTelcoRegistre_Maintenance'!A:A,'CKadeaTelcoRegistre_Maintenance'!F:F,"Non repertorié")</f>
        <v>Nokia</v>
      </c>
    </row>
    <row r="297" spans="1:9" ht="20.5" customHeight="1" x14ac:dyDescent="0.35">
      <c r="A297" s="1">
        <v>45227.306250000001</v>
      </c>
      <c r="B297" s="5" t="s">
        <v>34</v>
      </c>
      <c r="C297">
        <v>71</v>
      </c>
      <c r="D297" t="s">
        <v>8</v>
      </c>
      <c r="E297" t="str">
        <f>_xlfn.XLOOKUP(CKadeaTelcoLogs_Reseau[[#This Row],[Cell_ID]],'CKadeaTelcoRegistre_Maintenance'!A:A,'CKadeaTelcoRegistre_Maintenance'!B:B,"Non repertorié")</f>
        <v>Non repertorié</v>
      </c>
      <c r="F297" t="str">
        <f>_xlfn.XLOOKUP(CKadeaTelcoLogs_Reseau[[#This Row],[Cell_ID]],'CKadeaTelcoRegistre_Maintenance'!A:A,'CKadeaTelcoRegistre_Maintenance'!C:C,"Non repertorié")</f>
        <v>Non repertorié</v>
      </c>
      <c r="G297" t="str">
        <f>_xlfn.XLOOKUP(CKadeaTelcoLogs_Reseau[[#This Row],[Cell_ID]],'CKadeaTelcoRegistre_Maintenance'!A:A,'CKadeaTelcoRegistre_Maintenance'!D:D,"Non repertorié")</f>
        <v>Non repertorié</v>
      </c>
      <c r="H297" t="str">
        <f>_xlfn.XLOOKUP(CKadeaTelcoLogs_Reseau[[#This Row],[Cell_ID]],'CKadeaTelcoRegistre_Maintenance'!A:A,'CKadeaTelcoRegistre_Maintenance'!E:E,"Non repertorié")</f>
        <v>Non repertorié</v>
      </c>
      <c r="I297" t="str">
        <f>_xlfn.XLOOKUP(CKadeaTelcoLogs_Reseau[[#This Row],[Cell_ID]],'CKadeaTelcoRegistre_Maintenance'!A:A,'CKadeaTelcoRegistre_Maintenance'!F:F,"Non repertorié")</f>
        <v>Non repertorié</v>
      </c>
    </row>
    <row r="298" spans="1:9" ht="20.5" customHeight="1" x14ac:dyDescent="0.35">
      <c r="A298" s="1">
        <v>45224.201388888891</v>
      </c>
      <c r="B298" s="5" t="s">
        <v>156</v>
      </c>
      <c r="C298">
        <v>43</v>
      </c>
      <c r="D298" t="s">
        <v>10</v>
      </c>
      <c r="E298" t="str">
        <f>_xlfn.XLOOKUP(CKadeaTelcoLogs_Reseau[[#This Row],[Cell_ID]],'CKadeaTelcoRegistre_Maintenance'!A:A,'CKadeaTelcoRegistre_Maintenance'!B:B,"Non repertorié")</f>
        <v>Maniema</v>
      </c>
      <c r="F298">
        <f>_xlfn.XLOOKUP(CKadeaTelcoLogs_Reseau[[#This Row],[Cell_ID]],'CKadeaTelcoRegistre_Maintenance'!A:A,'CKadeaTelcoRegistre_Maintenance'!C:C,"Non repertorié")</f>
        <v>-4.6818410000000004</v>
      </c>
      <c r="G298">
        <f>_xlfn.XLOOKUP(CKadeaTelcoLogs_Reseau[[#This Row],[Cell_ID]],'CKadeaTelcoRegistre_Maintenance'!A:A,'CKadeaTelcoRegistre_Maintenance'!D:D,"Non repertorié")</f>
        <v>17.541618</v>
      </c>
      <c r="H298" t="str">
        <f>_xlfn.XLOOKUP(CKadeaTelcoLogs_Reseau[[#This Row],[Cell_ID]],'CKadeaTelcoRegistre_Maintenance'!A:A,'CKadeaTelcoRegistre_Maintenance'!E:E,"Non repertorié")</f>
        <v>4G</v>
      </c>
      <c r="I298" t="str">
        <f>_xlfn.XLOOKUP(CKadeaTelcoLogs_Reseau[[#This Row],[Cell_ID]],'CKadeaTelcoRegistre_Maintenance'!A:A,'CKadeaTelcoRegistre_Maintenance'!F:F,"Non repertorié")</f>
        <v>Ericsson</v>
      </c>
    </row>
    <row r="299" spans="1:9" ht="20.5" customHeight="1" x14ac:dyDescent="0.35">
      <c r="A299" s="1">
        <v>45228.791666666664</v>
      </c>
      <c r="B299" s="5" t="s">
        <v>4</v>
      </c>
      <c r="C299">
        <v>63</v>
      </c>
      <c r="D299" t="s">
        <v>5</v>
      </c>
      <c r="E299" t="str">
        <f>_xlfn.XLOOKUP(CKadeaTelcoLogs_Reseau[[#This Row],[Cell_ID]],'CKadeaTelcoRegistre_Maintenance'!A:A,'CKadeaTelcoRegistre_Maintenance'!B:B,"Non repertorié")</f>
        <v>Tanganyika</v>
      </c>
      <c r="F299">
        <f>_xlfn.XLOOKUP(CKadeaTelcoLogs_Reseau[[#This Row],[Cell_ID]],'CKadeaTelcoRegistre_Maintenance'!A:A,'CKadeaTelcoRegistre_Maintenance'!C:C,"Non repertorié")</f>
        <v>-11.144149000000001</v>
      </c>
      <c r="G299">
        <f>_xlfn.XLOOKUP(CKadeaTelcoLogs_Reseau[[#This Row],[Cell_ID]],'CKadeaTelcoRegistre_Maintenance'!A:A,'CKadeaTelcoRegistre_Maintenance'!D:D,"Non repertorié")</f>
        <v>27.244658999999999</v>
      </c>
      <c r="H299" t="str">
        <f>_xlfn.XLOOKUP(CKadeaTelcoLogs_Reseau[[#This Row],[Cell_ID]],'CKadeaTelcoRegistre_Maintenance'!A:A,'CKadeaTelcoRegistre_Maintenance'!E:E,"Non repertorié")</f>
        <v>4G</v>
      </c>
      <c r="I299" t="str">
        <f>_xlfn.XLOOKUP(CKadeaTelcoLogs_Reseau[[#This Row],[Cell_ID]],'CKadeaTelcoRegistre_Maintenance'!A:A,'CKadeaTelcoRegistre_Maintenance'!F:F,"Non repertorié")</f>
        <v>Nokia</v>
      </c>
    </row>
    <row r="300" spans="1:9" ht="20.5" customHeight="1" x14ac:dyDescent="0.35">
      <c r="A300" s="1">
        <v>45208.172222222223</v>
      </c>
      <c r="B300" s="5" t="s">
        <v>55</v>
      </c>
      <c r="C300">
        <v>87</v>
      </c>
      <c r="D300" t="s">
        <v>5</v>
      </c>
      <c r="E300" t="str">
        <f>_xlfn.XLOOKUP(CKadeaTelcoLogs_Reseau[[#This Row],[Cell_ID]],'CKadeaTelcoRegistre_Maintenance'!A:A,'CKadeaTelcoRegistre_Maintenance'!B:B,"Non repertorié")</f>
        <v>Non repertorié</v>
      </c>
      <c r="F300" t="str">
        <f>_xlfn.XLOOKUP(CKadeaTelcoLogs_Reseau[[#This Row],[Cell_ID]],'CKadeaTelcoRegistre_Maintenance'!A:A,'CKadeaTelcoRegistre_Maintenance'!C:C,"Non repertorié")</f>
        <v>Non repertorié</v>
      </c>
      <c r="G300" t="str">
        <f>_xlfn.XLOOKUP(CKadeaTelcoLogs_Reseau[[#This Row],[Cell_ID]],'CKadeaTelcoRegistre_Maintenance'!A:A,'CKadeaTelcoRegistre_Maintenance'!D:D,"Non repertorié")</f>
        <v>Non repertorié</v>
      </c>
      <c r="H300" t="str">
        <f>_xlfn.XLOOKUP(CKadeaTelcoLogs_Reseau[[#This Row],[Cell_ID]],'CKadeaTelcoRegistre_Maintenance'!A:A,'CKadeaTelcoRegistre_Maintenance'!E:E,"Non repertorié")</f>
        <v>Non repertorié</v>
      </c>
      <c r="I300" t="str">
        <f>_xlfn.XLOOKUP(CKadeaTelcoLogs_Reseau[[#This Row],[Cell_ID]],'CKadeaTelcoRegistre_Maintenance'!A:A,'CKadeaTelcoRegistre_Maintenance'!F:F,"Non repertorié")</f>
        <v>Non repertorié</v>
      </c>
    </row>
    <row r="301" spans="1:9" ht="20.5" customHeight="1" x14ac:dyDescent="0.35">
      <c r="A301" s="1">
        <v>45217.368750000001</v>
      </c>
      <c r="B301" s="5" t="s">
        <v>262</v>
      </c>
      <c r="C301">
        <v>8</v>
      </c>
      <c r="D301" t="s">
        <v>5</v>
      </c>
      <c r="E301" t="str">
        <f>_xlfn.XLOOKUP(CKadeaTelcoLogs_Reseau[[#This Row],[Cell_ID]],'CKadeaTelcoRegistre_Maintenance'!A:A,'CKadeaTelcoRegistre_Maintenance'!B:B,"Non repertorié")</f>
        <v>Nord-Kivu</v>
      </c>
      <c r="F301">
        <f>_xlfn.XLOOKUP(CKadeaTelcoLogs_Reseau[[#This Row],[Cell_ID]],'CKadeaTelcoRegistre_Maintenance'!A:A,'CKadeaTelcoRegistre_Maintenance'!C:C,"Non repertorié")</f>
        <v>-4.1754939999999996</v>
      </c>
      <c r="G301">
        <f>_xlfn.XLOOKUP(CKadeaTelcoLogs_Reseau[[#This Row],[Cell_ID]],'CKadeaTelcoRegistre_Maintenance'!A:A,'CKadeaTelcoRegistre_Maintenance'!D:D,"Non repertorié")</f>
        <v>16.704664999999999</v>
      </c>
      <c r="H301" t="str">
        <f>_xlfn.XLOOKUP(CKadeaTelcoLogs_Reseau[[#This Row],[Cell_ID]],'CKadeaTelcoRegistre_Maintenance'!A:A,'CKadeaTelcoRegistre_Maintenance'!E:E,"Non repertorié")</f>
        <v>3G</v>
      </c>
      <c r="I301" t="str">
        <f>_xlfn.XLOOKUP(CKadeaTelcoLogs_Reseau[[#This Row],[Cell_ID]],'CKadeaTelcoRegistre_Maintenance'!A:A,'CKadeaTelcoRegistre_Maintenance'!F:F,"Non repertorié")</f>
        <v>Ericsson</v>
      </c>
    </row>
    <row r="302" spans="1:9" ht="20.5" customHeight="1" x14ac:dyDescent="0.35">
      <c r="A302" s="1">
        <v>45205.154166666667</v>
      </c>
      <c r="B302" s="5" t="s">
        <v>91</v>
      </c>
      <c r="C302">
        <v>12</v>
      </c>
      <c r="D302" t="s">
        <v>5</v>
      </c>
      <c r="E302" t="str">
        <f>_xlfn.XLOOKUP(CKadeaTelcoLogs_Reseau[[#This Row],[Cell_ID]],'CKadeaTelcoRegistre_Maintenance'!A:A,'CKadeaTelcoRegistre_Maintenance'!B:B,"Non repertorié")</f>
        <v>Sud-Kivu</v>
      </c>
      <c r="F302">
        <f>_xlfn.XLOOKUP(CKadeaTelcoLogs_Reseau[[#This Row],[Cell_ID]],'CKadeaTelcoRegistre_Maintenance'!A:A,'CKadeaTelcoRegistre_Maintenance'!C:C,"Non repertorié")</f>
        <v>-5.2526849999999996</v>
      </c>
      <c r="G302">
        <f>_xlfn.XLOOKUP(CKadeaTelcoLogs_Reseau[[#This Row],[Cell_ID]],'CKadeaTelcoRegistre_Maintenance'!A:A,'CKadeaTelcoRegistre_Maintenance'!D:D,"Non repertorié")</f>
        <v>12.374528</v>
      </c>
      <c r="H302" t="str">
        <f>_xlfn.XLOOKUP(CKadeaTelcoLogs_Reseau[[#This Row],[Cell_ID]],'CKadeaTelcoRegistre_Maintenance'!A:A,'CKadeaTelcoRegistre_Maintenance'!E:E,"Non repertorié")</f>
        <v>3G</v>
      </c>
      <c r="I302" t="str">
        <f>_xlfn.XLOOKUP(CKadeaTelcoLogs_Reseau[[#This Row],[Cell_ID]],'CKadeaTelcoRegistre_Maintenance'!A:A,'CKadeaTelcoRegistre_Maintenance'!F:F,"Non repertorié")</f>
        <v>Nokia</v>
      </c>
    </row>
    <row r="303" spans="1:9" ht="20.5" customHeight="1" x14ac:dyDescent="0.35">
      <c r="A303" s="1">
        <v>45227.005555555559</v>
      </c>
      <c r="B303" s="5" t="s">
        <v>263</v>
      </c>
      <c r="C303">
        <v>66</v>
      </c>
      <c r="D303" t="s">
        <v>10</v>
      </c>
      <c r="E303" t="str">
        <f>_xlfn.XLOOKUP(CKadeaTelcoLogs_Reseau[[#This Row],[Cell_ID]],'CKadeaTelcoRegistre_Maintenance'!A:A,'CKadeaTelcoRegistre_Maintenance'!B:B,"Non repertorié")</f>
        <v>Non repertorié</v>
      </c>
      <c r="F303" t="str">
        <f>_xlfn.XLOOKUP(CKadeaTelcoLogs_Reseau[[#This Row],[Cell_ID]],'CKadeaTelcoRegistre_Maintenance'!A:A,'CKadeaTelcoRegistre_Maintenance'!C:C,"Non repertorié")</f>
        <v>Non repertorié</v>
      </c>
      <c r="G303" t="str">
        <f>_xlfn.XLOOKUP(CKadeaTelcoLogs_Reseau[[#This Row],[Cell_ID]],'CKadeaTelcoRegistre_Maintenance'!A:A,'CKadeaTelcoRegistre_Maintenance'!D:D,"Non repertorié")</f>
        <v>Non repertorié</v>
      </c>
      <c r="H303" t="str">
        <f>_xlfn.XLOOKUP(CKadeaTelcoLogs_Reseau[[#This Row],[Cell_ID]],'CKadeaTelcoRegistre_Maintenance'!A:A,'CKadeaTelcoRegistre_Maintenance'!E:E,"Non repertorié")</f>
        <v>Non repertorié</v>
      </c>
      <c r="I303" t="str">
        <f>_xlfn.XLOOKUP(CKadeaTelcoLogs_Reseau[[#This Row],[Cell_ID]],'CKadeaTelcoRegistre_Maintenance'!A:A,'CKadeaTelcoRegistre_Maintenance'!F:F,"Non repertorié")</f>
        <v>Non repertorié</v>
      </c>
    </row>
    <row r="304" spans="1:9" ht="20.5" customHeight="1" x14ac:dyDescent="0.35">
      <c r="A304" s="1">
        <v>45200.493055555555</v>
      </c>
      <c r="B304" s="5" t="s">
        <v>264</v>
      </c>
      <c r="C304">
        <v>113</v>
      </c>
      <c r="D304" t="s">
        <v>5</v>
      </c>
      <c r="E304" t="str">
        <f>_xlfn.XLOOKUP(CKadeaTelcoLogs_Reseau[[#This Row],[Cell_ID]],'CKadeaTelcoRegistre_Maintenance'!A:A,'CKadeaTelcoRegistre_Maintenance'!B:B,"Non repertorié")</f>
        <v>Sud-Kivu</v>
      </c>
      <c r="F304">
        <f>_xlfn.XLOOKUP(CKadeaTelcoLogs_Reseau[[#This Row],[Cell_ID]],'CKadeaTelcoRegistre_Maintenance'!A:A,'CKadeaTelcoRegistre_Maintenance'!C:C,"Non repertorié")</f>
        <v>-1.5419050000000001</v>
      </c>
      <c r="G304">
        <f>_xlfn.XLOOKUP(CKadeaTelcoLogs_Reseau[[#This Row],[Cell_ID]],'CKadeaTelcoRegistre_Maintenance'!A:A,'CKadeaTelcoRegistre_Maintenance'!D:D,"Non repertorié")</f>
        <v>14.730632999999999</v>
      </c>
      <c r="H304" t="str">
        <f>_xlfn.XLOOKUP(CKadeaTelcoLogs_Reseau[[#This Row],[Cell_ID]],'CKadeaTelcoRegistre_Maintenance'!A:A,'CKadeaTelcoRegistre_Maintenance'!E:E,"Non repertorié")</f>
        <v>3G</v>
      </c>
      <c r="I304" t="str">
        <f>_xlfn.XLOOKUP(CKadeaTelcoLogs_Reseau[[#This Row],[Cell_ID]],'CKadeaTelcoRegistre_Maintenance'!A:A,'CKadeaTelcoRegistre_Maintenance'!F:F,"Non repertorié")</f>
        <v>ZTE</v>
      </c>
    </row>
    <row r="305" spans="1:9" ht="20.5" customHeight="1" x14ac:dyDescent="0.35">
      <c r="A305" s="1">
        <v>45225.317361111112</v>
      </c>
      <c r="B305" s="5" t="s">
        <v>135</v>
      </c>
      <c r="C305">
        <v>56</v>
      </c>
      <c r="D305" t="s">
        <v>8</v>
      </c>
      <c r="E305" t="str">
        <f>_xlfn.XLOOKUP(CKadeaTelcoLogs_Reseau[[#This Row],[Cell_ID]],'CKadeaTelcoRegistre_Maintenance'!A:A,'CKadeaTelcoRegistre_Maintenance'!B:B,"Non repertorié")</f>
        <v>Nord-Ubangi</v>
      </c>
      <c r="F305">
        <f>_xlfn.XLOOKUP(CKadeaTelcoLogs_Reseau[[#This Row],[Cell_ID]],'CKadeaTelcoRegistre_Maintenance'!A:A,'CKadeaTelcoRegistre_Maintenance'!C:C,"Non repertorié")</f>
        <v>-7.9987219999999999</v>
      </c>
      <c r="G305">
        <f>_xlfn.XLOOKUP(CKadeaTelcoLogs_Reseau[[#This Row],[Cell_ID]],'CKadeaTelcoRegistre_Maintenance'!A:A,'CKadeaTelcoRegistre_Maintenance'!D:D,"Non repertorié")</f>
        <v>12.779335</v>
      </c>
      <c r="H305" t="str">
        <f>_xlfn.XLOOKUP(CKadeaTelcoLogs_Reseau[[#This Row],[Cell_ID]],'CKadeaTelcoRegistre_Maintenance'!A:A,'CKadeaTelcoRegistre_Maintenance'!E:E,"Non repertorié")</f>
        <v>5G</v>
      </c>
      <c r="I305" t="str">
        <f>_xlfn.XLOOKUP(CKadeaTelcoLogs_Reseau[[#This Row],[Cell_ID]],'CKadeaTelcoRegistre_Maintenance'!A:A,'CKadeaTelcoRegistre_Maintenance'!F:F,"Non repertorié")</f>
        <v>Nokia</v>
      </c>
    </row>
    <row r="306" spans="1:9" ht="20.5" customHeight="1" x14ac:dyDescent="0.35">
      <c r="A306" s="1">
        <v>45210.007638888892</v>
      </c>
      <c r="B306" s="5" t="s">
        <v>265</v>
      </c>
      <c r="C306">
        <v>59</v>
      </c>
      <c r="D306" t="s">
        <v>8</v>
      </c>
      <c r="E306" t="str">
        <f>_xlfn.XLOOKUP(CKadeaTelcoLogs_Reseau[[#This Row],[Cell_ID]],'CKadeaTelcoRegistre_Maintenance'!A:A,'CKadeaTelcoRegistre_Maintenance'!B:B,"Non repertorié")</f>
        <v>Non repertorié</v>
      </c>
      <c r="F306" t="str">
        <f>_xlfn.XLOOKUP(CKadeaTelcoLogs_Reseau[[#This Row],[Cell_ID]],'CKadeaTelcoRegistre_Maintenance'!A:A,'CKadeaTelcoRegistre_Maintenance'!C:C,"Non repertorié")</f>
        <v>Non repertorié</v>
      </c>
      <c r="G306" t="str">
        <f>_xlfn.XLOOKUP(CKadeaTelcoLogs_Reseau[[#This Row],[Cell_ID]],'CKadeaTelcoRegistre_Maintenance'!A:A,'CKadeaTelcoRegistre_Maintenance'!D:D,"Non repertorié")</f>
        <v>Non repertorié</v>
      </c>
      <c r="H306" t="str">
        <f>_xlfn.XLOOKUP(CKadeaTelcoLogs_Reseau[[#This Row],[Cell_ID]],'CKadeaTelcoRegistre_Maintenance'!A:A,'CKadeaTelcoRegistre_Maintenance'!E:E,"Non repertorié")</f>
        <v>Non repertorié</v>
      </c>
      <c r="I306" t="str">
        <f>_xlfn.XLOOKUP(CKadeaTelcoLogs_Reseau[[#This Row],[Cell_ID]],'CKadeaTelcoRegistre_Maintenance'!A:A,'CKadeaTelcoRegistre_Maintenance'!F:F,"Non repertorié")</f>
        <v>Non repertorié</v>
      </c>
    </row>
    <row r="307" spans="1:9" ht="20.5" customHeight="1" x14ac:dyDescent="0.35">
      <c r="A307" s="1">
        <v>45208.047222222223</v>
      </c>
      <c r="B307" s="5" t="s">
        <v>53</v>
      </c>
      <c r="C307">
        <v>92</v>
      </c>
      <c r="D307" t="s">
        <v>10</v>
      </c>
      <c r="E307" t="str">
        <f>_xlfn.XLOOKUP(CKadeaTelcoLogs_Reseau[[#This Row],[Cell_ID]],'CKadeaTelcoRegistre_Maintenance'!A:A,'CKadeaTelcoRegistre_Maintenance'!B:B,"Non repertorié")</f>
        <v>Non repertorié</v>
      </c>
      <c r="F307" t="str">
        <f>_xlfn.XLOOKUP(CKadeaTelcoLogs_Reseau[[#This Row],[Cell_ID]],'CKadeaTelcoRegistre_Maintenance'!A:A,'CKadeaTelcoRegistre_Maintenance'!C:C,"Non repertorié")</f>
        <v>Non repertorié</v>
      </c>
      <c r="G307" t="str">
        <f>_xlfn.XLOOKUP(CKadeaTelcoLogs_Reseau[[#This Row],[Cell_ID]],'CKadeaTelcoRegistre_Maintenance'!A:A,'CKadeaTelcoRegistre_Maintenance'!D:D,"Non repertorié")</f>
        <v>Non repertorié</v>
      </c>
      <c r="H307" t="str">
        <f>_xlfn.XLOOKUP(CKadeaTelcoLogs_Reseau[[#This Row],[Cell_ID]],'CKadeaTelcoRegistre_Maintenance'!A:A,'CKadeaTelcoRegistre_Maintenance'!E:E,"Non repertorié")</f>
        <v>Non repertorié</v>
      </c>
      <c r="I307" t="str">
        <f>_xlfn.XLOOKUP(CKadeaTelcoLogs_Reseau[[#This Row],[Cell_ID]],'CKadeaTelcoRegistre_Maintenance'!A:A,'CKadeaTelcoRegistre_Maintenance'!F:F,"Non repertorié")</f>
        <v>Non repertorié</v>
      </c>
    </row>
    <row r="308" spans="1:9" ht="20.5" customHeight="1" x14ac:dyDescent="0.35">
      <c r="A308" s="1">
        <v>45221.143055555556</v>
      </c>
      <c r="B308" s="5" t="s">
        <v>207</v>
      </c>
      <c r="C308">
        <v>43</v>
      </c>
      <c r="D308" t="s">
        <v>5</v>
      </c>
      <c r="E308" t="str">
        <f>_xlfn.XLOOKUP(CKadeaTelcoLogs_Reseau[[#This Row],[Cell_ID]],'CKadeaTelcoRegistre_Maintenance'!A:A,'CKadeaTelcoRegistre_Maintenance'!B:B,"Non repertorié")</f>
        <v>Non repertorié</v>
      </c>
      <c r="F308" t="str">
        <f>_xlfn.XLOOKUP(CKadeaTelcoLogs_Reseau[[#This Row],[Cell_ID]],'CKadeaTelcoRegistre_Maintenance'!A:A,'CKadeaTelcoRegistre_Maintenance'!C:C,"Non repertorié")</f>
        <v>Non repertorié</v>
      </c>
      <c r="G308" t="str">
        <f>_xlfn.XLOOKUP(CKadeaTelcoLogs_Reseau[[#This Row],[Cell_ID]],'CKadeaTelcoRegistre_Maintenance'!A:A,'CKadeaTelcoRegistre_Maintenance'!D:D,"Non repertorié")</f>
        <v>Non repertorié</v>
      </c>
      <c r="H308" t="str">
        <f>_xlfn.XLOOKUP(CKadeaTelcoLogs_Reseau[[#This Row],[Cell_ID]],'CKadeaTelcoRegistre_Maintenance'!A:A,'CKadeaTelcoRegistre_Maintenance'!E:E,"Non repertorié")</f>
        <v>Non repertorié</v>
      </c>
      <c r="I308" t="str">
        <f>_xlfn.XLOOKUP(CKadeaTelcoLogs_Reseau[[#This Row],[Cell_ID]],'CKadeaTelcoRegistre_Maintenance'!A:A,'CKadeaTelcoRegistre_Maintenance'!F:F,"Non repertorié")</f>
        <v>Non repertorié</v>
      </c>
    </row>
    <row r="309" spans="1:9" ht="20.5" customHeight="1" x14ac:dyDescent="0.35">
      <c r="A309" s="1">
        <v>45211.908333333333</v>
      </c>
      <c r="B309" s="5" t="s">
        <v>266</v>
      </c>
      <c r="C309">
        <v>32</v>
      </c>
      <c r="D309" t="s">
        <v>8</v>
      </c>
      <c r="E309" t="str">
        <f>_xlfn.XLOOKUP(CKadeaTelcoLogs_Reseau[[#This Row],[Cell_ID]],'CKadeaTelcoRegistre_Maintenance'!A:A,'CKadeaTelcoRegistre_Maintenance'!B:B,"Non repertorié")</f>
        <v>Non repertorié</v>
      </c>
      <c r="F309" t="str">
        <f>_xlfn.XLOOKUP(CKadeaTelcoLogs_Reseau[[#This Row],[Cell_ID]],'CKadeaTelcoRegistre_Maintenance'!A:A,'CKadeaTelcoRegistre_Maintenance'!C:C,"Non repertorié")</f>
        <v>Non repertorié</v>
      </c>
      <c r="G309" t="str">
        <f>_xlfn.XLOOKUP(CKadeaTelcoLogs_Reseau[[#This Row],[Cell_ID]],'CKadeaTelcoRegistre_Maintenance'!A:A,'CKadeaTelcoRegistre_Maintenance'!D:D,"Non repertorié")</f>
        <v>Non repertorié</v>
      </c>
      <c r="H309" t="str">
        <f>_xlfn.XLOOKUP(CKadeaTelcoLogs_Reseau[[#This Row],[Cell_ID]],'CKadeaTelcoRegistre_Maintenance'!A:A,'CKadeaTelcoRegistre_Maintenance'!E:E,"Non repertorié")</f>
        <v>Non repertorié</v>
      </c>
      <c r="I309" t="str">
        <f>_xlfn.XLOOKUP(CKadeaTelcoLogs_Reseau[[#This Row],[Cell_ID]],'CKadeaTelcoRegistre_Maintenance'!A:A,'CKadeaTelcoRegistre_Maintenance'!F:F,"Non repertorié")</f>
        <v>Non repertorié</v>
      </c>
    </row>
    <row r="310" spans="1:9" ht="20.5" customHeight="1" x14ac:dyDescent="0.35">
      <c r="A310" s="1">
        <v>45213.960416666669</v>
      </c>
      <c r="B310" s="5" t="s">
        <v>267</v>
      </c>
      <c r="C310">
        <v>103</v>
      </c>
      <c r="D310" t="s">
        <v>8</v>
      </c>
      <c r="E310" t="str">
        <f>_xlfn.XLOOKUP(CKadeaTelcoLogs_Reseau[[#This Row],[Cell_ID]],'CKadeaTelcoRegistre_Maintenance'!A:A,'CKadeaTelcoRegistre_Maintenance'!B:B,"Non repertorié")</f>
        <v>Non repertorié</v>
      </c>
      <c r="F310" t="str">
        <f>_xlfn.XLOOKUP(CKadeaTelcoLogs_Reseau[[#This Row],[Cell_ID]],'CKadeaTelcoRegistre_Maintenance'!A:A,'CKadeaTelcoRegistre_Maintenance'!C:C,"Non repertorié")</f>
        <v>Non repertorié</v>
      </c>
      <c r="G310" t="str">
        <f>_xlfn.XLOOKUP(CKadeaTelcoLogs_Reseau[[#This Row],[Cell_ID]],'CKadeaTelcoRegistre_Maintenance'!A:A,'CKadeaTelcoRegistre_Maintenance'!D:D,"Non repertorié")</f>
        <v>Non repertorié</v>
      </c>
      <c r="H310" t="str">
        <f>_xlfn.XLOOKUP(CKadeaTelcoLogs_Reseau[[#This Row],[Cell_ID]],'CKadeaTelcoRegistre_Maintenance'!A:A,'CKadeaTelcoRegistre_Maintenance'!E:E,"Non repertorié")</f>
        <v>Non repertorié</v>
      </c>
      <c r="I310" t="str">
        <f>_xlfn.XLOOKUP(CKadeaTelcoLogs_Reseau[[#This Row],[Cell_ID]],'CKadeaTelcoRegistre_Maintenance'!A:A,'CKadeaTelcoRegistre_Maintenance'!F:F,"Non repertorié")</f>
        <v>Non repertorié</v>
      </c>
    </row>
    <row r="311" spans="1:9" ht="20.5" customHeight="1" x14ac:dyDescent="0.35">
      <c r="A311" s="1">
        <v>45209.462500000001</v>
      </c>
      <c r="B311" s="5" t="s">
        <v>265</v>
      </c>
      <c r="C311">
        <v>102</v>
      </c>
      <c r="D311" t="s">
        <v>10</v>
      </c>
      <c r="E311" t="str">
        <f>_xlfn.XLOOKUP(CKadeaTelcoLogs_Reseau[[#This Row],[Cell_ID]],'CKadeaTelcoRegistre_Maintenance'!A:A,'CKadeaTelcoRegistre_Maintenance'!B:B,"Non repertorié")</f>
        <v>Non repertorié</v>
      </c>
      <c r="F311" t="str">
        <f>_xlfn.XLOOKUP(CKadeaTelcoLogs_Reseau[[#This Row],[Cell_ID]],'CKadeaTelcoRegistre_Maintenance'!A:A,'CKadeaTelcoRegistre_Maintenance'!C:C,"Non repertorié")</f>
        <v>Non repertorié</v>
      </c>
      <c r="G311" t="str">
        <f>_xlfn.XLOOKUP(CKadeaTelcoLogs_Reseau[[#This Row],[Cell_ID]],'CKadeaTelcoRegistre_Maintenance'!A:A,'CKadeaTelcoRegistre_Maintenance'!D:D,"Non repertorié")</f>
        <v>Non repertorié</v>
      </c>
      <c r="H311" t="str">
        <f>_xlfn.XLOOKUP(CKadeaTelcoLogs_Reseau[[#This Row],[Cell_ID]],'CKadeaTelcoRegistre_Maintenance'!A:A,'CKadeaTelcoRegistre_Maintenance'!E:E,"Non repertorié")</f>
        <v>Non repertorié</v>
      </c>
      <c r="I311" t="str">
        <f>_xlfn.XLOOKUP(CKadeaTelcoLogs_Reseau[[#This Row],[Cell_ID]],'CKadeaTelcoRegistre_Maintenance'!A:A,'CKadeaTelcoRegistre_Maintenance'!F:F,"Non repertorié")</f>
        <v>Non repertorié</v>
      </c>
    </row>
    <row r="312" spans="1:9" ht="20.5" customHeight="1" x14ac:dyDescent="0.35">
      <c r="A312" s="1">
        <v>45218.675694444442</v>
      </c>
      <c r="B312" s="5" t="s">
        <v>158</v>
      </c>
      <c r="C312">
        <v>37</v>
      </c>
      <c r="D312" t="s">
        <v>10</v>
      </c>
      <c r="E312" t="str">
        <f>_xlfn.XLOOKUP(CKadeaTelcoLogs_Reseau[[#This Row],[Cell_ID]],'CKadeaTelcoRegistre_Maintenance'!A:A,'CKadeaTelcoRegistre_Maintenance'!B:B,"Non repertorié")</f>
        <v>Sud-Kivu</v>
      </c>
      <c r="F312">
        <f>_xlfn.XLOOKUP(CKadeaTelcoLogs_Reseau[[#This Row],[Cell_ID]],'CKadeaTelcoRegistre_Maintenance'!A:A,'CKadeaTelcoRegistre_Maintenance'!C:C,"Non repertorié")</f>
        <v>-2.9651529999999999</v>
      </c>
      <c r="G312">
        <f>_xlfn.XLOOKUP(CKadeaTelcoLogs_Reseau[[#This Row],[Cell_ID]],'CKadeaTelcoRegistre_Maintenance'!A:A,'CKadeaTelcoRegistre_Maintenance'!D:D,"Non repertorié")</f>
        <v>29.79908</v>
      </c>
      <c r="H312" t="str">
        <f>_xlfn.XLOOKUP(CKadeaTelcoLogs_Reseau[[#This Row],[Cell_ID]],'CKadeaTelcoRegistre_Maintenance'!A:A,'CKadeaTelcoRegistre_Maintenance'!E:E,"Non repertorié")</f>
        <v>4G</v>
      </c>
      <c r="I312" t="str">
        <f>_xlfn.XLOOKUP(CKadeaTelcoLogs_Reseau[[#This Row],[Cell_ID]],'CKadeaTelcoRegistre_Maintenance'!A:A,'CKadeaTelcoRegistre_Maintenance'!F:F,"Non repertorié")</f>
        <v>Ericsson</v>
      </c>
    </row>
    <row r="313" spans="1:9" ht="20.5" customHeight="1" x14ac:dyDescent="0.35">
      <c r="A313" s="1">
        <v>45204.895833333336</v>
      </c>
      <c r="B313" s="5" t="s">
        <v>268</v>
      </c>
      <c r="C313">
        <v>42</v>
      </c>
      <c r="D313" t="s">
        <v>8</v>
      </c>
      <c r="E313" t="str">
        <f>_xlfn.XLOOKUP(CKadeaTelcoLogs_Reseau[[#This Row],[Cell_ID]],'CKadeaTelcoRegistre_Maintenance'!A:A,'CKadeaTelcoRegistre_Maintenance'!B:B,"Non repertorié")</f>
        <v>Non repertorié</v>
      </c>
      <c r="F313" t="str">
        <f>_xlfn.XLOOKUP(CKadeaTelcoLogs_Reseau[[#This Row],[Cell_ID]],'CKadeaTelcoRegistre_Maintenance'!A:A,'CKadeaTelcoRegistre_Maintenance'!C:C,"Non repertorié")</f>
        <v>Non repertorié</v>
      </c>
      <c r="G313" t="str">
        <f>_xlfn.XLOOKUP(CKadeaTelcoLogs_Reseau[[#This Row],[Cell_ID]],'CKadeaTelcoRegistre_Maintenance'!A:A,'CKadeaTelcoRegistre_Maintenance'!D:D,"Non repertorié")</f>
        <v>Non repertorié</v>
      </c>
      <c r="H313" t="str">
        <f>_xlfn.XLOOKUP(CKadeaTelcoLogs_Reseau[[#This Row],[Cell_ID]],'CKadeaTelcoRegistre_Maintenance'!A:A,'CKadeaTelcoRegistre_Maintenance'!E:E,"Non repertorié")</f>
        <v>Non repertorié</v>
      </c>
      <c r="I313" t="str">
        <f>_xlfn.XLOOKUP(CKadeaTelcoLogs_Reseau[[#This Row],[Cell_ID]],'CKadeaTelcoRegistre_Maintenance'!A:A,'CKadeaTelcoRegistre_Maintenance'!F:F,"Non repertorié")</f>
        <v>Non repertorié</v>
      </c>
    </row>
    <row r="314" spans="1:9" ht="20.5" customHeight="1" x14ac:dyDescent="0.35">
      <c r="A314" s="1">
        <v>45207.140277777777</v>
      </c>
      <c r="B314" s="5" t="s">
        <v>269</v>
      </c>
      <c r="C314">
        <v>46</v>
      </c>
      <c r="D314" t="s">
        <v>8</v>
      </c>
      <c r="E314" t="str">
        <f>_xlfn.XLOOKUP(CKadeaTelcoLogs_Reseau[[#This Row],[Cell_ID]],'CKadeaTelcoRegistre_Maintenance'!A:A,'CKadeaTelcoRegistre_Maintenance'!B:B,"Non repertorié")</f>
        <v>Kongo-Central</v>
      </c>
      <c r="F314">
        <f>_xlfn.XLOOKUP(CKadeaTelcoLogs_Reseau[[#This Row],[Cell_ID]],'CKadeaTelcoRegistre_Maintenance'!A:A,'CKadeaTelcoRegistre_Maintenance'!C:C,"Non repertorié")</f>
        <v>-12.112399999999999</v>
      </c>
      <c r="G314">
        <f>_xlfn.XLOOKUP(CKadeaTelcoLogs_Reseau[[#This Row],[Cell_ID]],'CKadeaTelcoRegistre_Maintenance'!A:A,'CKadeaTelcoRegistre_Maintenance'!D:D,"Non repertorié")</f>
        <v>15.872226</v>
      </c>
      <c r="H314" t="str">
        <f>_xlfn.XLOOKUP(CKadeaTelcoLogs_Reseau[[#This Row],[Cell_ID]],'CKadeaTelcoRegistre_Maintenance'!A:A,'CKadeaTelcoRegistre_Maintenance'!E:E,"Non repertorié")</f>
        <v>4G</v>
      </c>
      <c r="I314" t="str">
        <f>_xlfn.XLOOKUP(CKadeaTelcoLogs_Reseau[[#This Row],[Cell_ID]],'CKadeaTelcoRegistre_Maintenance'!A:A,'CKadeaTelcoRegistre_Maintenance'!F:F,"Non repertorié")</f>
        <v>Nokia</v>
      </c>
    </row>
    <row r="315" spans="1:9" ht="20.5" customHeight="1" x14ac:dyDescent="0.35">
      <c r="A315" s="1">
        <v>45227.724305555559</v>
      </c>
      <c r="B315" s="5" t="s">
        <v>259</v>
      </c>
      <c r="C315">
        <v>20</v>
      </c>
      <c r="D315" t="s">
        <v>5</v>
      </c>
      <c r="E315" t="str">
        <f>_xlfn.XLOOKUP(CKadeaTelcoLogs_Reseau[[#This Row],[Cell_ID]],'CKadeaTelcoRegistre_Maintenance'!A:A,'CKadeaTelcoRegistre_Maintenance'!B:B,"Non repertorié")</f>
        <v>Non repertorié</v>
      </c>
      <c r="F315" t="str">
        <f>_xlfn.XLOOKUP(CKadeaTelcoLogs_Reseau[[#This Row],[Cell_ID]],'CKadeaTelcoRegistre_Maintenance'!A:A,'CKadeaTelcoRegistre_Maintenance'!C:C,"Non repertorié")</f>
        <v>Non repertorié</v>
      </c>
      <c r="G315" t="str">
        <f>_xlfn.XLOOKUP(CKadeaTelcoLogs_Reseau[[#This Row],[Cell_ID]],'CKadeaTelcoRegistre_Maintenance'!A:A,'CKadeaTelcoRegistre_Maintenance'!D:D,"Non repertorié")</f>
        <v>Non repertorié</v>
      </c>
      <c r="H315" t="str">
        <f>_xlfn.XLOOKUP(CKadeaTelcoLogs_Reseau[[#This Row],[Cell_ID]],'CKadeaTelcoRegistre_Maintenance'!A:A,'CKadeaTelcoRegistre_Maintenance'!E:E,"Non repertorié")</f>
        <v>Non repertorié</v>
      </c>
      <c r="I315" t="str">
        <f>_xlfn.XLOOKUP(CKadeaTelcoLogs_Reseau[[#This Row],[Cell_ID]],'CKadeaTelcoRegistre_Maintenance'!A:A,'CKadeaTelcoRegistre_Maintenance'!F:F,"Non repertorié")</f>
        <v>Non repertorié</v>
      </c>
    </row>
    <row r="316" spans="1:9" ht="20.5" customHeight="1" x14ac:dyDescent="0.35">
      <c r="A316" s="1">
        <v>45203.35833333333</v>
      </c>
      <c r="B316" s="5" t="s">
        <v>270</v>
      </c>
      <c r="C316">
        <v>5</v>
      </c>
      <c r="D316" t="s">
        <v>5</v>
      </c>
      <c r="E316" t="str">
        <f>_xlfn.XLOOKUP(CKadeaTelcoLogs_Reseau[[#This Row],[Cell_ID]],'CKadeaTelcoRegistre_Maintenance'!A:A,'CKadeaTelcoRegistre_Maintenance'!B:B,"Non repertorié")</f>
        <v>Non repertorié</v>
      </c>
      <c r="F316" t="str">
        <f>_xlfn.XLOOKUP(CKadeaTelcoLogs_Reseau[[#This Row],[Cell_ID]],'CKadeaTelcoRegistre_Maintenance'!A:A,'CKadeaTelcoRegistre_Maintenance'!C:C,"Non repertorié")</f>
        <v>Non repertorié</v>
      </c>
      <c r="G316" t="str">
        <f>_xlfn.XLOOKUP(CKadeaTelcoLogs_Reseau[[#This Row],[Cell_ID]],'CKadeaTelcoRegistre_Maintenance'!A:A,'CKadeaTelcoRegistre_Maintenance'!D:D,"Non repertorié")</f>
        <v>Non repertorié</v>
      </c>
      <c r="H316" t="str">
        <f>_xlfn.XLOOKUP(CKadeaTelcoLogs_Reseau[[#This Row],[Cell_ID]],'CKadeaTelcoRegistre_Maintenance'!A:A,'CKadeaTelcoRegistre_Maintenance'!E:E,"Non repertorié")</f>
        <v>Non repertorié</v>
      </c>
      <c r="I316" t="str">
        <f>_xlfn.XLOOKUP(CKadeaTelcoLogs_Reseau[[#This Row],[Cell_ID]],'CKadeaTelcoRegistre_Maintenance'!A:A,'CKadeaTelcoRegistre_Maintenance'!F:F,"Non repertorié")</f>
        <v>Non repertorié</v>
      </c>
    </row>
    <row r="317" spans="1:9" ht="20.5" customHeight="1" x14ac:dyDescent="0.35">
      <c r="A317" s="1">
        <v>45207.57916666667</v>
      </c>
      <c r="B317" s="5" t="s">
        <v>271</v>
      </c>
      <c r="C317">
        <v>68</v>
      </c>
      <c r="D317" t="s">
        <v>5</v>
      </c>
      <c r="E317" t="str">
        <f>_xlfn.XLOOKUP(CKadeaTelcoLogs_Reseau[[#This Row],[Cell_ID]],'CKadeaTelcoRegistre_Maintenance'!A:A,'CKadeaTelcoRegistre_Maintenance'!B:B,"Non repertorié")</f>
        <v>Ituri</v>
      </c>
      <c r="F317">
        <f>_xlfn.XLOOKUP(CKadeaTelcoLogs_Reseau[[#This Row],[Cell_ID]],'CKadeaTelcoRegistre_Maintenance'!A:A,'CKadeaTelcoRegistre_Maintenance'!C:C,"Non repertorié")</f>
        <v>-3.7720639999999999</v>
      </c>
      <c r="G317">
        <f>_xlfn.XLOOKUP(CKadeaTelcoLogs_Reseau[[#This Row],[Cell_ID]],'CKadeaTelcoRegistre_Maintenance'!A:A,'CKadeaTelcoRegistre_Maintenance'!D:D,"Non repertorié")</f>
        <v>16.006277999999998</v>
      </c>
      <c r="H317" t="str">
        <f>_xlfn.XLOOKUP(CKadeaTelcoLogs_Reseau[[#This Row],[Cell_ID]],'CKadeaTelcoRegistre_Maintenance'!A:A,'CKadeaTelcoRegistre_Maintenance'!E:E,"Non repertorié")</f>
        <v>5G</v>
      </c>
      <c r="I317" t="str">
        <f>_xlfn.XLOOKUP(CKadeaTelcoLogs_Reseau[[#This Row],[Cell_ID]],'CKadeaTelcoRegistre_Maintenance'!A:A,'CKadeaTelcoRegistre_Maintenance'!F:F,"Non repertorié")</f>
        <v>ZTE</v>
      </c>
    </row>
    <row r="318" spans="1:9" ht="20.5" customHeight="1" x14ac:dyDescent="0.35">
      <c r="A318" s="1">
        <v>45217.818749999999</v>
      </c>
      <c r="B318" s="5" t="s">
        <v>140</v>
      </c>
      <c r="C318">
        <v>100</v>
      </c>
      <c r="D318" t="s">
        <v>5</v>
      </c>
      <c r="E318" t="str">
        <f>_xlfn.XLOOKUP(CKadeaTelcoLogs_Reseau[[#This Row],[Cell_ID]],'CKadeaTelcoRegistre_Maintenance'!A:A,'CKadeaTelcoRegistre_Maintenance'!B:B,"Non repertorié")</f>
        <v>Non repertorié</v>
      </c>
      <c r="F318" t="str">
        <f>_xlfn.XLOOKUP(CKadeaTelcoLogs_Reseau[[#This Row],[Cell_ID]],'CKadeaTelcoRegistre_Maintenance'!A:A,'CKadeaTelcoRegistre_Maintenance'!C:C,"Non repertorié")</f>
        <v>Non repertorié</v>
      </c>
      <c r="G318" t="str">
        <f>_xlfn.XLOOKUP(CKadeaTelcoLogs_Reseau[[#This Row],[Cell_ID]],'CKadeaTelcoRegistre_Maintenance'!A:A,'CKadeaTelcoRegistre_Maintenance'!D:D,"Non repertorié")</f>
        <v>Non repertorié</v>
      </c>
      <c r="H318" t="str">
        <f>_xlfn.XLOOKUP(CKadeaTelcoLogs_Reseau[[#This Row],[Cell_ID]],'CKadeaTelcoRegistre_Maintenance'!A:A,'CKadeaTelcoRegistre_Maintenance'!E:E,"Non repertorié")</f>
        <v>Non repertorié</v>
      </c>
      <c r="I318" t="str">
        <f>_xlfn.XLOOKUP(CKadeaTelcoLogs_Reseau[[#This Row],[Cell_ID]],'CKadeaTelcoRegistre_Maintenance'!A:A,'CKadeaTelcoRegistre_Maintenance'!F:F,"Non repertorié")</f>
        <v>Non repertorié</v>
      </c>
    </row>
    <row r="319" spans="1:9" ht="20.5" customHeight="1" x14ac:dyDescent="0.35">
      <c r="A319" s="1">
        <v>45221.857638888891</v>
      </c>
      <c r="B319" s="5" t="s">
        <v>272</v>
      </c>
      <c r="C319">
        <v>60</v>
      </c>
      <c r="D319" t="s">
        <v>10</v>
      </c>
      <c r="E319" t="str">
        <f>_xlfn.XLOOKUP(CKadeaTelcoLogs_Reseau[[#This Row],[Cell_ID]],'CKadeaTelcoRegistre_Maintenance'!A:A,'CKadeaTelcoRegistre_Maintenance'!B:B,"Non repertorié")</f>
        <v>Non repertorié</v>
      </c>
      <c r="F319" t="str">
        <f>_xlfn.XLOOKUP(CKadeaTelcoLogs_Reseau[[#This Row],[Cell_ID]],'CKadeaTelcoRegistre_Maintenance'!A:A,'CKadeaTelcoRegistre_Maintenance'!C:C,"Non repertorié")</f>
        <v>Non repertorié</v>
      </c>
      <c r="G319" t="str">
        <f>_xlfn.XLOOKUP(CKadeaTelcoLogs_Reseau[[#This Row],[Cell_ID]],'CKadeaTelcoRegistre_Maintenance'!A:A,'CKadeaTelcoRegistre_Maintenance'!D:D,"Non repertorié")</f>
        <v>Non repertorié</v>
      </c>
      <c r="H319" t="str">
        <f>_xlfn.XLOOKUP(CKadeaTelcoLogs_Reseau[[#This Row],[Cell_ID]],'CKadeaTelcoRegistre_Maintenance'!A:A,'CKadeaTelcoRegistre_Maintenance'!E:E,"Non repertorié")</f>
        <v>Non repertorié</v>
      </c>
      <c r="I319" t="str">
        <f>_xlfn.XLOOKUP(CKadeaTelcoLogs_Reseau[[#This Row],[Cell_ID]],'CKadeaTelcoRegistre_Maintenance'!A:A,'CKadeaTelcoRegistre_Maintenance'!F:F,"Non repertorié")</f>
        <v>Non repertorié</v>
      </c>
    </row>
    <row r="320" spans="1:9" ht="20.5" customHeight="1" x14ac:dyDescent="0.35">
      <c r="A320" s="1">
        <v>45200.832638888889</v>
      </c>
      <c r="B320" s="5" t="s">
        <v>273</v>
      </c>
      <c r="C320">
        <v>27</v>
      </c>
      <c r="D320" t="s">
        <v>5</v>
      </c>
      <c r="E320" t="str">
        <f>_xlfn.XLOOKUP(CKadeaTelcoLogs_Reseau[[#This Row],[Cell_ID]],'CKadeaTelcoRegistre_Maintenance'!A:A,'CKadeaTelcoRegistre_Maintenance'!B:B,"Non repertorié")</f>
        <v>Sud-Kivu</v>
      </c>
      <c r="F320">
        <f>_xlfn.XLOOKUP(CKadeaTelcoLogs_Reseau[[#This Row],[Cell_ID]],'CKadeaTelcoRegistre_Maintenance'!A:A,'CKadeaTelcoRegistre_Maintenance'!C:C,"Non repertorié")</f>
        <v>1.2419519999999999</v>
      </c>
      <c r="G320">
        <f>_xlfn.XLOOKUP(CKadeaTelcoLogs_Reseau[[#This Row],[Cell_ID]],'CKadeaTelcoRegistre_Maintenance'!A:A,'CKadeaTelcoRegistre_Maintenance'!D:D,"Non repertorié")</f>
        <v>25.261382999999999</v>
      </c>
      <c r="H320" t="str">
        <f>_xlfn.XLOOKUP(CKadeaTelcoLogs_Reseau[[#This Row],[Cell_ID]],'CKadeaTelcoRegistre_Maintenance'!A:A,'CKadeaTelcoRegistre_Maintenance'!E:E,"Non repertorié")</f>
        <v>4G</v>
      </c>
      <c r="I320" t="str">
        <f>_xlfn.XLOOKUP(CKadeaTelcoLogs_Reseau[[#This Row],[Cell_ID]],'CKadeaTelcoRegistre_Maintenance'!A:A,'CKadeaTelcoRegistre_Maintenance'!F:F,"Non repertorié")</f>
        <v>Huawei</v>
      </c>
    </row>
    <row r="321" spans="1:9" ht="20.5" customHeight="1" x14ac:dyDescent="0.35">
      <c r="A321" s="1">
        <v>45221.928472222222</v>
      </c>
      <c r="B321" s="5" t="s">
        <v>45</v>
      </c>
      <c r="C321">
        <v>21</v>
      </c>
      <c r="D321" t="s">
        <v>5</v>
      </c>
      <c r="E321" t="str">
        <f>_xlfn.XLOOKUP(CKadeaTelcoLogs_Reseau[[#This Row],[Cell_ID]],'CKadeaTelcoRegistre_Maintenance'!A:A,'CKadeaTelcoRegistre_Maintenance'!B:B,"Non repertorié")</f>
        <v>Sud-Kivu</v>
      </c>
      <c r="F321">
        <f>_xlfn.XLOOKUP(CKadeaTelcoLogs_Reseau[[#This Row],[Cell_ID]],'CKadeaTelcoRegistre_Maintenance'!A:A,'CKadeaTelcoRegistre_Maintenance'!C:C,"Non repertorié")</f>
        <v>4.2493650000000001</v>
      </c>
      <c r="G321">
        <f>_xlfn.XLOOKUP(CKadeaTelcoLogs_Reseau[[#This Row],[Cell_ID]],'CKadeaTelcoRegistre_Maintenance'!A:A,'CKadeaTelcoRegistre_Maintenance'!D:D,"Non repertorié")</f>
        <v>28.355039999999999</v>
      </c>
      <c r="H321" t="str">
        <f>_xlfn.XLOOKUP(CKadeaTelcoLogs_Reseau[[#This Row],[Cell_ID]],'CKadeaTelcoRegistre_Maintenance'!A:A,'CKadeaTelcoRegistre_Maintenance'!E:E,"Non repertorié")</f>
        <v>3G</v>
      </c>
      <c r="I321" t="str">
        <f>_xlfn.XLOOKUP(CKadeaTelcoLogs_Reseau[[#This Row],[Cell_ID]],'CKadeaTelcoRegistre_Maintenance'!A:A,'CKadeaTelcoRegistre_Maintenance'!F:F,"Non repertorié")</f>
        <v>ZTE</v>
      </c>
    </row>
    <row r="322" spans="1:9" ht="20.5" customHeight="1" x14ac:dyDescent="0.35">
      <c r="A322" s="1">
        <v>45200.220138888886</v>
      </c>
      <c r="B322" s="5" t="s">
        <v>274</v>
      </c>
      <c r="C322">
        <v>53</v>
      </c>
      <c r="D322" t="s">
        <v>8</v>
      </c>
      <c r="E322" t="str">
        <f>_xlfn.XLOOKUP(CKadeaTelcoLogs_Reseau[[#This Row],[Cell_ID]],'CKadeaTelcoRegistre_Maintenance'!A:A,'CKadeaTelcoRegistre_Maintenance'!B:B,"Non repertorié")</f>
        <v>Non repertorié</v>
      </c>
      <c r="F322" t="str">
        <f>_xlfn.XLOOKUP(CKadeaTelcoLogs_Reseau[[#This Row],[Cell_ID]],'CKadeaTelcoRegistre_Maintenance'!A:A,'CKadeaTelcoRegistre_Maintenance'!C:C,"Non repertorié")</f>
        <v>Non repertorié</v>
      </c>
      <c r="G322" t="str">
        <f>_xlfn.XLOOKUP(CKadeaTelcoLogs_Reseau[[#This Row],[Cell_ID]],'CKadeaTelcoRegistre_Maintenance'!A:A,'CKadeaTelcoRegistre_Maintenance'!D:D,"Non repertorié")</f>
        <v>Non repertorié</v>
      </c>
      <c r="H322" t="str">
        <f>_xlfn.XLOOKUP(CKadeaTelcoLogs_Reseau[[#This Row],[Cell_ID]],'CKadeaTelcoRegistre_Maintenance'!A:A,'CKadeaTelcoRegistre_Maintenance'!E:E,"Non repertorié")</f>
        <v>Non repertorié</v>
      </c>
      <c r="I322" t="str">
        <f>_xlfn.XLOOKUP(CKadeaTelcoLogs_Reseau[[#This Row],[Cell_ID]],'CKadeaTelcoRegistre_Maintenance'!A:A,'CKadeaTelcoRegistre_Maintenance'!F:F,"Non repertorié")</f>
        <v>Non repertorié</v>
      </c>
    </row>
    <row r="323" spans="1:9" ht="20.5" customHeight="1" x14ac:dyDescent="0.35">
      <c r="A323" s="1">
        <v>45222.415277777778</v>
      </c>
      <c r="B323" s="5" t="s">
        <v>275</v>
      </c>
      <c r="C323">
        <v>73</v>
      </c>
      <c r="D323" t="s">
        <v>5</v>
      </c>
      <c r="E323" t="str">
        <f>_xlfn.XLOOKUP(CKadeaTelcoLogs_Reseau[[#This Row],[Cell_ID]],'CKadeaTelcoRegistre_Maintenance'!A:A,'CKadeaTelcoRegistre_Maintenance'!B:B,"Non repertorié")</f>
        <v>Nord-Ubangi</v>
      </c>
      <c r="F323">
        <f>_xlfn.XLOOKUP(CKadeaTelcoLogs_Reseau[[#This Row],[Cell_ID]],'CKadeaTelcoRegistre_Maintenance'!A:A,'CKadeaTelcoRegistre_Maintenance'!C:C,"Non repertorié")</f>
        <v>-4.8128659999999996</v>
      </c>
      <c r="G323">
        <f>_xlfn.XLOOKUP(CKadeaTelcoLogs_Reseau[[#This Row],[Cell_ID]],'CKadeaTelcoRegistre_Maintenance'!A:A,'CKadeaTelcoRegistre_Maintenance'!D:D,"Non repertorié")</f>
        <v>18.559304999999998</v>
      </c>
      <c r="H323" t="str">
        <f>_xlfn.XLOOKUP(CKadeaTelcoLogs_Reseau[[#This Row],[Cell_ID]],'CKadeaTelcoRegistre_Maintenance'!A:A,'CKadeaTelcoRegistre_Maintenance'!E:E,"Non repertorié")</f>
        <v>5G</v>
      </c>
      <c r="I323" t="str">
        <f>_xlfn.XLOOKUP(CKadeaTelcoLogs_Reseau[[#This Row],[Cell_ID]],'CKadeaTelcoRegistre_Maintenance'!A:A,'CKadeaTelcoRegistre_Maintenance'!F:F,"Non repertorié")</f>
        <v>ZTE</v>
      </c>
    </row>
    <row r="324" spans="1:9" ht="20.5" customHeight="1" x14ac:dyDescent="0.35">
      <c r="A324" s="1">
        <v>45210.458333333336</v>
      </c>
      <c r="B324" s="5" t="s">
        <v>189</v>
      </c>
      <c r="C324">
        <v>95</v>
      </c>
      <c r="D324" t="s">
        <v>8</v>
      </c>
      <c r="E324" t="str">
        <f>_xlfn.XLOOKUP(CKadeaTelcoLogs_Reseau[[#This Row],[Cell_ID]],'CKadeaTelcoRegistre_Maintenance'!A:A,'CKadeaTelcoRegistre_Maintenance'!B:B,"Non repertorié")</f>
        <v>Haut-Lomami</v>
      </c>
      <c r="F324">
        <f>_xlfn.XLOOKUP(CKadeaTelcoLogs_Reseau[[#This Row],[Cell_ID]],'CKadeaTelcoRegistre_Maintenance'!A:A,'CKadeaTelcoRegistre_Maintenance'!C:C,"Non repertorié")</f>
        <v>-12.112682</v>
      </c>
      <c r="G324">
        <f>_xlfn.XLOOKUP(CKadeaTelcoLogs_Reseau[[#This Row],[Cell_ID]],'CKadeaTelcoRegistre_Maintenance'!A:A,'CKadeaTelcoRegistre_Maintenance'!D:D,"Non repertorié")</f>
        <v>19.972052000000001</v>
      </c>
      <c r="H324" t="str">
        <f>_xlfn.XLOOKUP(CKadeaTelcoLogs_Reseau[[#This Row],[Cell_ID]],'CKadeaTelcoRegistre_Maintenance'!A:A,'CKadeaTelcoRegistre_Maintenance'!E:E,"Non repertorié")</f>
        <v>4G</v>
      </c>
      <c r="I324" t="str">
        <f>_xlfn.XLOOKUP(CKadeaTelcoLogs_Reseau[[#This Row],[Cell_ID]],'CKadeaTelcoRegistre_Maintenance'!A:A,'CKadeaTelcoRegistre_Maintenance'!F:F,"Non repertorié")</f>
        <v>Huawei</v>
      </c>
    </row>
    <row r="325" spans="1:9" ht="20.5" customHeight="1" x14ac:dyDescent="0.35">
      <c r="A325" s="1">
        <v>45205.191666666666</v>
      </c>
      <c r="B325" s="5" t="s">
        <v>276</v>
      </c>
      <c r="C325">
        <v>34</v>
      </c>
      <c r="D325" t="s">
        <v>5</v>
      </c>
      <c r="E325" t="str">
        <f>_xlfn.XLOOKUP(CKadeaTelcoLogs_Reseau[[#This Row],[Cell_ID]],'CKadeaTelcoRegistre_Maintenance'!A:A,'CKadeaTelcoRegistre_Maintenance'!B:B,"Non repertorié")</f>
        <v>Sankuru</v>
      </c>
      <c r="F325">
        <f>_xlfn.XLOOKUP(CKadeaTelcoLogs_Reseau[[#This Row],[Cell_ID]],'CKadeaTelcoRegistre_Maintenance'!A:A,'CKadeaTelcoRegistre_Maintenance'!C:C,"Non repertorié")</f>
        <v>-4.7886769999999999</v>
      </c>
      <c r="G325">
        <f>_xlfn.XLOOKUP(CKadeaTelcoLogs_Reseau[[#This Row],[Cell_ID]],'CKadeaTelcoRegistre_Maintenance'!A:A,'CKadeaTelcoRegistre_Maintenance'!D:D,"Non repertorié")</f>
        <v>23.600221999999999</v>
      </c>
      <c r="H325" t="str">
        <f>_xlfn.XLOOKUP(CKadeaTelcoLogs_Reseau[[#This Row],[Cell_ID]],'CKadeaTelcoRegistre_Maintenance'!A:A,'CKadeaTelcoRegistre_Maintenance'!E:E,"Non repertorié")</f>
        <v>3G</v>
      </c>
      <c r="I325" t="str">
        <f>_xlfn.XLOOKUP(CKadeaTelcoLogs_Reseau[[#This Row],[Cell_ID]],'CKadeaTelcoRegistre_Maintenance'!A:A,'CKadeaTelcoRegistre_Maintenance'!F:F,"Non repertorié")</f>
        <v>ZTE</v>
      </c>
    </row>
    <row r="326" spans="1:9" ht="20.5" customHeight="1" x14ac:dyDescent="0.35">
      <c r="A326" s="1">
        <v>45221.50277777778</v>
      </c>
      <c r="B326" s="5" t="s">
        <v>277</v>
      </c>
      <c r="C326">
        <v>69</v>
      </c>
      <c r="D326" t="s">
        <v>5</v>
      </c>
      <c r="E326" t="str">
        <f>_xlfn.XLOOKUP(CKadeaTelcoLogs_Reseau[[#This Row],[Cell_ID]],'CKadeaTelcoRegistre_Maintenance'!A:A,'CKadeaTelcoRegistre_Maintenance'!B:B,"Non repertorié")</f>
        <v>Non repertorié</v>
      </c>
      <c r="F326" t="str">
        <f>_xlfn.XLOOKUP(CKadeaTelcoLogs_Reseau[[#This Row],[Cell_ID]],'CKadeaTelcoRegistre_Maintenance'!A:A,'CKadeaTelcoRegistre_Maintenance'!C:C,"Non repertorié")</f>
        <v>Non repertorié</v>
      </c>
      <c r="G326" t="str">
        <f>_xlfn.XLOOKUP(CKadeaTelcoLogs_Reseau[[#This Row],[Cell_ID]],'CKadeaTelcoRegistre_Maintenance'!A:A,'CKadeaTelcoRegistre_Maintenance'!D:D,"Non repertorié")</f>
        <v>Non repertorié</v>
      </c>
      <c r="H326" t="str">
        <f>_xlfn.XLOOKUP(CKadeaTelcoLogs_Reseau[[#This Row],[Cell_ID]],'CKadeaTelcoRegistre_Maintenance'!A:A,'CKadeaTelcoRegistre_Maintenance'!E:E,"Non repertorié")</f>
        <v>Non repertorié</v>
      </c>
      <c r="I326" t="str">
        <f>_xlfn.XLOOKUP(CKadeaTelcoLogs_Reseau[[#This Row],[Cell_ID]],'CKadeaTelcoRegistre_Maintenance'!A:A,'CKadeaTelcoRegistre_Maintenance'!F:F,"Non repertorié")</f>
        <v>Non repertorié</v>
      </c>
    </row>
    <row r="327" spans="1:9" ht="20.5" customHeight="1" x14ac:dyDescent="0.35">
      <c r="A327" s="1">
        <v>45204.986111111109</v>
      </c>
      <c r="B327" s="5" t="s">
        <v>278</v>
      </c>
      <c r="C327">
        <v>76</v>
      </c>
      <c r="D327" t="s">
        <v>8</v>
      </c>
      <c r="E327" t="str">
        <f>_xlfn.XLOOKUP(CKadeaTelcoLogs_Reseau[[#This Row],[Cell_ID]],'CKadeaTelcoRegistre_Maintenance'!A:A,'CKadeaTelcoRegistre_Maintenance'!B:B,"Non repertorié")</f>
        <v>Haut-Uele</v>
      </c>
      <c r="F327">
        <f>_xlfn.XLOOKUP(CKadeaTelcoLogs_Reseau[[#This Row],[Cell_ID]],'CKadeaTelcoRegistre_Maintenance'!A:A,'CKadeaTelcoRegistre_Maintenance'!C:C,"Non repertorié")</f>
        <v>-4.869434</v>
      </c>
      <c r="G327">
        <f>_xlfn.XLOOKUP(CKadeaTelcoLogs_Reseau[[#This Row],[Cell_ID]],'CKadeaTelcoRegistre_Maintenance'!A:A,'CKadeaTelcoRegistre_Maintenance'!D:D,"Non repertorié")</f>
        <v>22.326522000000001</v>
      </c>
      <c r="H327" t="str">
        <f>_xlfn.XLOOKUP(CKadeaTelcoLogs_Reseau[[#This Row],[Cell_ID]],'CKadeaTelcoRegistre_Maintenance'!A:A,'CKadeaTelcoRegistre_Maintenance'!E:E,"Non repertorié")</f>
        <v>5G</v>
      </c>
      <c r="I327" t="str">
        <f>_xlfn.XLOOKUP(CKadeaTelcoLogs_Reseau[[#This Row],[Cell_ID]],'CKadeaTelcoRegistre_Maintenance'!A:A,'CKadeaTelcoRegistre_Maintenance'!F:F,"Non repertorié")</f>
        <v>Ericsson</v>
      </c>
    </row>
    <row r="328" spans="1:9" ht="20.5" customHeight="1" x14ac:dyDescent="0.35">
      <c r="A328" s="1">
        <v>45200.115972222222</v>
      </c>
      <c r="B328" s="5" t="s">
        <v>20</v>
      </c>
      <c r="C328">
        <v>111</v>
      </c>
      <c r="D328" t="s">
        <v>10</v>
      </c>
      <c r="E328" t="str">
        <f>_xlfn.XLOOKUP(CKadeaTelcoLogs_Reseau[[#This Row],[Cell_ID]],'CKadeaTelcoRegistre_Maintenance'!A:A,'CKadeaTelcoRegistre_Maintenance'!B:B,"Non repertorié")</f>
        <v>Non repertorié</v>
      </c>
      <c r="F328" t="str">
        <f>_xlfn.XLOOKUP(CKadeaTelcoLogs_Reseau[[#This Row],[Cell_ID]],'CKadeaTelcoRegistre_Maintenance'!A:A,'CKadeaTelcoRegistre_Maintenance'!C:C,"Non repertorié")</f>
        <v>Non repertorié</v>
      </c>
      <c r="G328" t="str">
        <f>_xlfn.XLOOKUP(CKadeaTelcoLogs_Reseau[[#This Row],[Cell_ID]],'CKadeaTelcoRegistre_Maintenance'!A:A,'CKadeaTelcoRegistre_Maintenance'!D:D,"Non repertorié")</f>
        <v>Non repertorié</v>
      </c>
      <c r="H328" t="str">
        <f>_xlfn.XLOOKUP(CKadeaTelcoLogs_Reseau[[#This Row],[Cell_ID]],'CKadeaTelcoRegistre_Maintenance'!A:A,'CKadeaTelcoRegistre_Maintenance'!E:E,"Non repertorié")</f>
        <v>Non repertorié</v>
      </c>
      <c r="I328" t="str">
        <f>_xlfn.XLOOKUP(CKadeaTelcoLogs_Reseau[[#This Row],[Cell_ID]],'CKadeaTelcoRegistre_Maintenance'!A:A,'CKadeaTelcoRegistre_Maintenance'!F:F,"Non repertorié")</f>
        <v>Non repertorié</v>
      </c>
    </row>
    <row r="329" spans="1:9" ht="20.5" customHeight="1" x14ac:dyDescent="0.35">
      <c r="A329" s="1">
        <v>45216.26666666667</v>
      </c>
      <c r="B329" s="5" t="s">
        <v>160</v>
      </c>
      <c r="C329">
        <v>90</v>
      </c>
      <c r="D329" t="s">
        <v>10</v>
      </c>
      <c r="E329" t="str">
        <f>_xlfn.XLOOKUP(CKadeaTelcoLogs_Reseau[[#This Row],[Cell_ID]],'CKadeaTelcoRegistre_Maintenance'!A:A,'CKadeaTelcoRegistre_Maintenance'!B:B,"Non repertorié")</f>
        <v>Maniema</v>
      </c>
      <c r="F329">
        <f>_xlfn.XLOOKUP(CKadeaTelcoLogs_Reseau[[#This Row],[Cell_ID]],'CKadeaTelcoRegistre_Maintenance'!A:A,'CKadeaTelcoRegistre_Maintenance'!C:C,"Non repertorié")</f>
        <v>-2.3743210000000001</v>
      </c>
      <c r="G329">
        <f>_xlfn.XLOOKUP(CKadeaTelcoLogs_Reseau[[#This Row],[Cell_ID]],'CKadeaTelcoRegistre_Maintenance'!A:A,'CKadeaTelcoRegistre_Maintenance'!D:D,"Non repertorié")</f>
        <v>22.399491000000001</v>
      </c>
      <c r="H329" t="str">
        <f>_xlfn.XLOOKUP(CKadeaTelcoLogs_Reseau[[#This Row],[Cell_ID]],'CKadeaTelcoRegistre_Maintenance'!A:A,'CKadeaTelcoRegistre_Maintenance'!E:E,"Non repertorié")</f>
        <v>5G</v>
      </c>
      <c r="I329" t="str">
        <f>_xlfn.XLOOKUP(CKadeaTelcoLogs_Reseau[[#This Row],[Cell_ID]],'CKadeaTelcoRegistre_Maintenance'!A:A,'CKadeaTelcoRegistre_Maintenance'!F:F,"Non repertorié")</f>
        <v>Ericsson</v>
      </c>
    </row>
    <row r="330" spans="1:9" ht="20.5" customHeight="1" x14ac:dyDescent="0.35">
      <c r="A330" s="1">
        <v>45213.597916666666</v>
      </c>
      <c r="B330" s="5" t="s">
        <v>279</v>
      </c>
      <c r="C330">
        <v>108</v>
      </c>
      <c r="D330" t="s">
        <v>8</v>
      </c>
      <c r="E330" t="str">
        <f>_xlfn.XLOOKUP(CKadeaTelcoLogs_Reseau[[#This Row],[Cell_ID]],'CKadeaTelcoRegistre_Maintenance'!A:A,'CKadeaTelcoRegistre_Maintenance'!B:B,"Non repertorié")</f>
        <v>Non repertorié</v>
      </c>
      <c r="F330" t="str">
        <f>_xlfn.XLOOKUP(CKadeaTelcoLogs_Reseau[[#This Row],[Cell_ID]],'CKadeaTelcoRegistre_Maintenance'!A:A,'CKadeaTelcoRegistre_Maintenance'!C:C,"Non repertorié")</f>
        <v>Non repertorié</v>
      </c>
      <c r="G330" t="str">
        <f>_xlfn.XLOOKUP(CKadeaTelcoLogs_Reseau[[#This Row],[Cell_ID]],'CKadeaTelcoRegistre_Maintenance'!A:A,'CKadeaTelcoRegistre_Maintenance'!D:D,"Non repertorié")</f>
        <v>Non repertorié</v>
      </c>
      <c r="H330" t="str">
        <f>_xlfn.XLOOKUP(CKadeaTelcoLogs_Reseau[[#This Row],[Cell_ID]],'CKadeaTelcoRegistre_Maintenance'!A:A,'CKadeaTelcoRegistre_Maintenance'!E:E,"Non repertorié")</f>
        <v>Non repertorié</v>
      </c>
      <c r="I330" t="str">
        <f>_xlfn.XLOOKUP(CKadeaTelcoLogs_Reseau[[#This Row],[Cell_ID]],'CKadeaTelcoRegistre_Maintenance'!A:A,'CKadeaTelcoRegistre_Maintenance'!F:F,"Non repertorié")</f>
        <v>Non repertorié</v>
      </c>
    </row>
    <row r="331" spans="1:9" ht="20.5" customHeight="1" x14ac:dyDescent="0.35">
      <c r="A331" s="1">
        <v>45205.47152777778</v>
      </c>
      <c r="B331" s="5" t="s">
        <v>280</v>
      </c>
      <c r="C331">
        <v>50</v>
      </c>
      <c r="D331" t="s">
        <v>8</v>
      </c>
      <c r="E331" t="str">
        <f>_xlfn.XLOOKUP(CKadeaTelcoLogs_Reseau[[#This Row],[Cell_ID]],'CKadeaTelcoRegistre_Maintenance'!A:A,'CKadeaTelcoRegistre_Maintenance'!B:B,"Non repertorié")</f>
        <v>Haut-Lomami</v>
      </c>
      <c r="F331">
        <f>_xlfn.XLOOKUP(CKadeaTelcoLogs_Reseau[[#This Row],[Cell_ID]],'CKadeaTelcoRegistre_Maintenance'!A:A,'CKadeaTelcoRegistre_Maintenance'!C:C,"Non repertorié")</f>
        <v>2.628638</v>
      </c>
      <c r="G331">
        <f>_xlfn.XLOOKUP(CKadeaTelcoLogs_Reseau[[#This Row],[Cell_ID]],'CKadeaTelcoRegistre_Maintenance'!A:A,'CKadeaTelcoRegistre_Maintenance'!D:D,"Non repertorié")</f>
        <v>28.420582</v>
      </c>
      <c r="H331" t="str">
        <f>_xlfn.XLOOKUP(CKadeaTelcoLogs_Reseau[[#This Row],[Cell_ID]],'CKadeaTelcoRegistre_Maintenance'!A:A,'CKadeaTelcoRegistre_Maintenance'!E:E,"Non repertorié")</f>
        <v>4G</v>
      </c>
      <c r="I331" t="str">
        <f>_xlfn.XLOOKUP(CKadeaTelcoLogs_Reseau[[#This Row],[Cell_ID]],'CKadeaTelcoRegistre_Maintenance'!A:A,'CKadeaTelcoRegistre_Maintenance'!F:F,"Non repertorié")</f>
        <v>Huawei</v>
      </c>
    </row>
    <row r="332" spans="1:9" ht="20.5" customHeight="1" x14ac:dyDescent="0.35">
      <c r="A332" s="1">
        <v>45223.450694444444</v>
      </c>
      <c r="B332" s="5" t="s">
        <v>281</v>
      </c>
      <c r="C332">
        <v>14</v>
      </c>
      <c r="D332" t="s">
        <v>10</v>
      </c>
      <c r="E332" t="str">
        <f>_xlfn.XLOOKUP(CKadeaTelcoLogs_Reseau[[#This Row],[Cell_ID]],'CKadeaTelcoRegistre_Maintenance'!A:A,'CKadeaTelcoRegistre_Maintenance'!B:B,"Non repertorié")</f>
        <v>Tshuapa</v>
      </c>
      <c r="F332">
        <f>_xlfn.XLOOKUP(CKadeaTelcoLogs_Reseau[[#This Row],[Cell_ID]],'CKadeaTelcoRegistre_Maintenance'!A:A,'CKadeaTelcoRegistre_Maintenance'!C:C,"Non repertorié")</f>
        <v>-2.571777</v>
      </c>
      <c r="G332">
        <f>_xlfn.XLOOKUP(CKadeaTelcoLogs_Reseau[[#This Row],[Cell_ID]],'CKadeaTelcoRegistre_Maintenance'!A:A,'CKadeaTelcoRegistre_Maintenance'!D:D,"Non repertorié")</f>
        <v>12.120642</v>
      </c>
      <c r="H332" t="str">
        <f>_xlfn.XLOOKUP(CKadeaTelcoLogs_Reseau[[#This Row],[Cell_ID]],'CKadeaTelcoRegistre_Maintenance'!A:A,'CKadeaTelcoRegistre_Maintenance'!E:E,"Non repertorié")</f>
        <v>3G</v>
      </c>
      <c r="I332" t="str">
        <f>_xlfn.XLOOKUP(CKadeaTelcoLogs_Reseau[[#This Row],[Cell_ID]],'CKadeaTelcoRegistre_Maintenance'!A:A,'CKadeaTelcoRegistre_Maintenance'!F:F,"Non repertorié")</f>
        <v>Huawei</v>
      </c>
    </row>
    <row r="333" spans="1:9" ht="20.5" customHeight="1" x14ac:dyDescent="0.35">
      <c r="A333" s="1">
        <v>45230.776388888888</v>
      </c>
      <c r="B333" s="5" t="s">
        <v>282</v>
      </c>
      <c r="C333">
        <v>55</v>
      </c>
      <c r="D333" t="s">
        <v>8</v>
      </c>
      <c r="E333" t="str">
        <f>_xlfn.XLOOKUP(CKadeaTelcoLogs_Reseau[[#This Row],[Cell_ID]],'CKadeaTelcoRegistre_Maintenance'!A:A,'CKadeaTelcoRegistre_Maintenance'!B:B,"Non repertorié")</f>
        <v>Non repertorié</v>
      </c>
      <c r="F333" t="str">
        <f>_xlfn.XLOOKUP(CKadeaTelcoLogs_Reseau[[#This Row],[Cell_ID]],'CKadeaTelcoRegistre_Maintenance'!A:A,'CKadeaTelcoRegistre_Maintenance'!C:C,"Non repertorié")</f>
        <v>Non repertorié</v>
      </c>
      <c r="G333" t="str">
        <f>_xlfn.XLOOKUP(CKadeaTelcoLogs_Reseau[[#This Row],[Cell_ID]],'CKadeaTelcoRegistre_Maintenance'!A:A,'CKadeaTelcoRegistre_Maintenance'!D:D,"Non repertorié")</f>
        <v>Non repertorié</v>
      </c>
      <c r="H333" t="str">
        <f>_xlfn.XLOOKUP(CKadeaTelcoLogs_Reseau[[#This Row],[Cell_ID]],'CKadeaTelcoRegistre_Maintenance'!A:A,'CKadeaTelcoRegistre_Maintenance'!E:E,"Non repertorié")</f>
        <v>Non repertorié</v>
      </c>
      <c r="I333" t="str">
        <f>_xlfn.XLOOKUP(CKadeaTelcoLogs_Reseau[[#This Row],[Cell_ID]],'CKadeaTelcoRegistre_Maintenance'!A:A,'CKadeaTelcoRegistre_Maintenance'!F:F,"Non repertorié")</f>
        <v>Non repertorié</v>
      </c>
    </row>
    <row r="334" spans="1:9" ht="20.5" customHeight="1" x14ac:dyDescent="0.35">
      <c r="A334" s="1">
        <v>45202.04791666667</v>
      </c>
      <c r="B334" s="5" t="s">
        <v>283</v>
      </c>
      <c r="C334">
        <v>115</v>
      </c>
      <c r="D334" t="s">
        <v>8</v>
      </c>
      <c r="E334" t="str">
        <f>_xlfn.XLOOKUP(CKadeaTelcoLogs_Reseau[[#This Row],[Cell_ID]],'CKadeaTelcoRegistre_Maintenance'!A:A,'CKadeaTelcoRegistre_Maintenance'!B:B,"Non repertorié")</f>
        <v>Tshuapa</v>
      </c>
      <c r="F334">
        <f>_xlfn.XLOOKUP(CKadeaTelcoLogs_Reseau[[#This Row],[Cell_ID]],'CKadeaTelcoRegistre_Maintenance'!A:A,'CKadeaTelcoRegistre_Maintenance'!C:C,"Non repertorié")</f>
        <v>-10.577049000000001</v>
      </c>
      <c r="G334">
        <f>_xlfn.XLOOKUP(CKadeaTelcoLogs_Reseau[[#This Row],[Cell_ID]],'CKadeaTelcoRegistre_Maintenance'!A:A,'CKadeaTelcoRegistre_Maintenance'!D:D,"Non repertorié")</f>
        <v>23.721854</v>
      </c>
      <c r="H334" t="str">
        <f>_xlfn.XLOOKUP(CKadeaTelcoLogs_Reseau[[#This Row],[Cell_ID]],'CKadeaTelcoRegistre_Maintenance'!A:A,'CKadeaTelcoRegistre_Maintenance'!E:E,"Non repertorié")</f>
        <v>4G</v>
      </c>
      <c r="I334" t="str">
        <f>_xlfn.XLOOKUP(CKadeaTelcoLogs_Reseau[[#This Row],[Cell_ID]],'CKadeaTelcoRegistre_Maintenance'!A:A,'CKadeaTelcoRegistre_Maintenance'!F:F,"Non repertorié")</f>
        <v>ZTE</v>
      </c>
    </row>
    <row r="335" spans="1:9" ht="20.5" customHeight="1" x14ac:dyDescent="0.35">
      <c r="A335" s="1">
        <v>45205.793749999997</v>
      </c>
      <c r="B335" s="5" t="s">
        <v>284</v>
      </c>
      <c r="C335">
        <v>99</v>
      </c>
      <c r="D335" t="s">
        <v>8</v>
      </c>
      <c r="E335" t="str">
        <f>_xlfn.XLOOKUP(CKadeaTelcoLogs_Reseau[[#This Row],[Cell_ID]],'CKadeaTelcoRegistre_Maintenance'!A:A,'CKadeaTelcoRegistre_Maintenance'!B:B,"Non repertorié")</f>
        <v>Non repertorié</v>
      </c>
      <c r="F335" t="str">
        <f>_xlfn.XLOOKUP(CKadeaTelcoLogs_Reseau[[#This Row],[Cell_ID]],'CKadeaTelcoRegistre_Maintenance'!A:A,'CKadeaTelcoRegistre_Maintenance'!C:C,"Non repertorié")</f>
        <v>Non repertorié</v>
      </c>
      <c r="G335" t="str">
        <f>_xlfn.XLOOKUP(CKadeaTelcoLogs_Reseau[[#This Row],[Cell_ID]],'CKadeaTelcoRegistre_Maintenance'!A:A,'CKadeaTelcoRegistre_Maintenance'!D:D,"Non repertorié")</f>
        <v>Non repertorié</v>
      </c>
      <c r="H335" t="str">
        <f>_xlfn.XLOOKUP(CKadeaTelcoLogs_Reseau[[#This Row],[Cell_ID]],'CKadeaTelcoRegistre_Maintenance'!A:A,'CKadeaTelcoRegistre_Maintenance'!E:E,"Non repertorié")</f>
        <v>Non repertorié</v>
      </c>
      <c r="I335" t="str">
        <f>_xlfn.XLOOKUP(CKadeaTelcoLogs_Reseau[[#This Row],[Cell_ID]],'CKadeaTelcoRegistre_Maintenance'!A:A,'CKadeaTelcoRegistre_Maintenance'!F:F,"Non repertorié")</f>
        <v>Non repertorié</v>
      </c>
    </row>
    <row r="336" spans="1:9" ht="20.5" customHeight="1" x14ac:dyDescent="0.35">
      <c r="A336" s="1">
        <v>45221.095138888886</v>
      </c>
      <c r="B336" s="5" t="s">
        <v>21</v>
      </c>
      <c r="C336">
        <v>10</v>
      </c>
      <c r="D336" t="s">
        <v>8</v>
      </c>
      <c r="E336" t="str">
        <f>_xlfn.XLOOKUP(CKadeaTelcoLogs_Reseau[[#This Row],[Cell_ID]],'CKadeaTelcoRegistre_Maintenance'!A:A,'CKadeaTelcoRegistre_Maintenance'!B:B,"Non repertorié")</f>
        <v>Non repertorié</v>
      </c>
      <c r="F336" t="str">
        <f>_xlfn.XLOOKUP(CKadeaTelcoLogs_Reseau[[#This Row],[Cell_ID]],'CKadeaTelcoRegistre_Maintenance'!A:A,'CKadeaTelcoRegistre_Maintenance'!C:C,"Non repertorié")</f>
        <v>Non repertorié</v>
      </c>
      <c r="G336" t="str">
        <f>_xlfn.XLOOKUP(CKadeaTelcoLogs_Reseau[[#This Row],[Cell_ID]],'CKadeaTelcoRegistre_Maintenance'!A:A,'CKadeaTelcoRegistre_Maintenance'!D:D,"Non repertorié")</f>
        <v>Non repertorié</v>
      </c>
      <c r="H336" t="str">
        <f>_xlfn.XLOOKUP(CKadeaTelcoLogs_Reseau[[#This Row],[Cell_ID]],'CKadeaTelcoRegistre_Maintenance'!A:A,'CKadeaTelcoRegistre_Maintenance'!E:E,"Non repertorié")</f>
        <v>Non repertorié</v>
      </c>
      <c r="I336" t="str">
        <f>_xlfn.XLOOKUP(CKadeaTelcoLogs_Reseau[[#This Row],[Cell_ID]],'CKadeaTelcoRegistre_Maintenance'!A:A,'CKadeaTelcoRegistre_Maintenance'!F:F,"Non repertorié")</f>
        <v>Non repertorié</v>
      </c>
    </row>
    <row r="337" spans="1:9" ht="20.5" customHeight="1" x14ac:dyDescent="0.35">
      <c r="A337" s="1">
        <v>45214.893750000003</v>
      </c>
      <c r="B337" s="5" t="s">
        <v>285</v>
      </c>
      <c r="C337">
        <v>60</v>
      </c>
      <c r="D337" t="s">
        <v>8</v>
      </c>
      <c r="E337" t="str">
        <f>_xlfn.XLOOKUP(CKadeaTelcoLogs_Reseau[[#This Row],[Cell_ID]],'CKadeaTelcoRegistre_Maintenance'!A:A,'CKadeaTelcoRegistre_Maintenance'!B:B,"Non repertorié")</f>
        <v>Non repertorié</v>
      </c>
      <c r="F337" t="str">
        <f>_xlfn.XLOOKUP(CKadeaTelcoLogs_Reseau[[#This Row],[Cell_ID]],'CKadeaTelcoRegistre_Maintenance'!A:A,'CKadeaTelcoRegistre_Maintenance'!C:C,"Non repertorié")</f>
        <v>Non repertorié</v>
      </c>
      <c r="G337" t="str">
        <f>_xlfn.XLOOKUP(CKadeaTelcoLogs_Reseau[[#This Row],[Cell_ID]],'CKadeaTelcoRegistre_Maintenance'!A:A,'CKadeaTelcoRegistre_Maintenance'!D:D,"Non repertorié")</f>
        <v>Non repertorié</v>
      </c>
      <c r="H337" t="str">
        <f>_xlfn.XLOOKUP(CKadeaTelcoLogs_Reseau[[#This Row],[Cell_ID]],'CKadeaTelcoRegistre_Maintenance'!A:A,'CKadeaTelcoRegistre_Maintenance'!E:E,"Non repertorié")</f>
        <v>Non repertorié</v>
      </c>
      <c r="I337" t="str">
        <f>_xlfn.XLOOKUP(CKadeaTelcoLogs_Reseau[[#This Row],[Cell_ID]],'CKadeaTelcoRegistre_Maintenance'!A:A,'CKadeaTelcoRegistre_Maintenance'!F:F,"Non repertorié")</f>
        <v>Non repertorié</v>
      </c>
    </row>
    <row r="338" spans="1:9" ht="20.5" customHeight="1" x14ac:dyDescent="0.35">
      <c r="A338" s="1">
        <v>45215.811111111114</v>
      </c>
      <c r="B338" s="5" t="s">
        <v>169</v>
      </c>
      <c r="C338">
        <v>7</v>
      </c>
      <c r="D338" t="s">
        <v>10</v>
      </c>
      <c r="E338" t="str">
        <f>_xlfn.XLOOKUP(CKadeaTelcoLogs_Reseau[[#This Row],[Cell_ID]],'CKadeaTelcoRegistre_Maintenance'!A:A,'CKadeaTelcoRegistre_Maintenance'!B:B,"Non repertorié")</f>
        <v>Non repertorié</v>
      </c>
      <c r="F338" t="str">
        <f>_xlfn.XLOOKUP(CKadeaTelcoLogs_Reseau[[#This Row],[Cell_ID]],'CKadeaTelcoRegistre_Maintenance'!A:A,'CKadeaTelcoRegistre_Maintenance'!C:C,"Non repertorié")</f>
        <v>Non repertorié</v>
      </c>
      <c r="G338" t="str">
        <f>_xlfn.XLOOKUP(CKadeaTelcoLogs_Reseau[[#This Row],[Cell_ID]],'CKadeaTelcoRegistre_Maintenance'!A:A,'CKadeaTelcoRegistre_Maintenance'!D:D,"Non repertorié")</f>
        <v>Non repertorié</v>
      </c>
      <c r="H338" t="str">
        <f>_xlfn.XLOOKUP(CKadeaTelcoLogs_Reseau[[#This Row],[Cell_ID]],'CKadeaTelcoRegistre_Maintenance'!A:A,'CKadeaTelcoRegistre_Maintenance'!E:E,"Non repertorié")</f>
        <v>Non repertorié</v>
      </c>
      <c r="I338" t="str">
        <f>_xlfn.XLOOKUP(CKadeaTelcoLogs_Reseau[[#This Row],[Cell_ID]],'CKadeaTelcoRegistre_Maintenance'!A:A,'CKadeaTelcoRegistre_Maintenance'!F:F,"Non repertorié")</f>
        <v>Non repertorié</v>
      </c>
    </row>
    <row r="339" spans="1:9" ht="20.5" customHeight="1" x14ac:dyDescent="0.35">
      <c r="A339" s="1">
        <v>45213.342361111114</v>
      </c>
      <c r="B339" s="5" t="s">
        <v>286</v>
      </c>
      <c r="C339">
        <v>63</v>
      </c>
      <c r="D339" t="s">
        <v>8</v>
      </c>
      <c r="E339" t="str">
        <f>_xlfn.XLOOKUP(CKadeaTelcoLogs_Reseau[[#This Row],[Cell_ID]],'CKadeaTelcoRegistre_Maintenance'!A:A,'CKadeaTelcoRegistre_Maintenance'!B:B,"Non repertorié")</f>
        <v>Sud-Kivu</v>
      </c>
      <c r="F339">
        <f>_xlfn.XLOOKUP(CKadeaTelcoLogs_Reseau[[#This Row],[Cell_ID]],'CKadeaTelcoRegistre_Maintenance'!A:A,'CKadeaTelcoRegistre_Maintenance'!C:C,"Non repertorié")</f>
        <v>0.31740800000000002</v>
      </c>
      <c r="G339">
        <f>_xlfn.XLOOKUP(CKadeaTelcoLogs_Reseau[[#This Row],[Cell_ID]],'CKadeaTelcoRegistre_Maintenance'!A:A,'CKadeaTelcoRegistre_Maintenance'!D:D,"Non repertorié")</f>
        <v>27.197666999999999</v>
      </c>
      <c r="H339" t="str">
        <f>_xlfn.XLOOKUP(CKadeaTelcoLogs_Reseau[[#This Row],[Cell_ID]],'CKadeaTelcoRegistre_Maintenance'!A:A,'CKadeaTelcoRegistre_Maintenance'!E:E,"Non repertorié")</f>
        <v>5G</v>
      </c>
      <c r="I339" t="str">
        <f>_xlfn.XLOOKUP(CKadeaTelcoLogs_Reseau[[#This Row],[Cell_ID]],'CKadeaTelcoRegistre_Maintenance'!A:A,'CKadeaTelcoRegistre_Maintenance'!F:F,"Non repertorié")</f>
        <v>Nokia</v>
      </c>
    </row>
    <row r="340" spans="1:9" ht="20.5" customHeight="1" x14ac:dyDescent="0.35">
      <c r="A340" s="1">
        <v>45224.671527777777</v>
      </c>
      <c r="B340" s="5" t="s">
        <v>157</v>
      </c>
      <c r="C340">
        <v>14</v>
      </c>
      <c r="D340" t="s">
        <v>10</v>
      </c>
      <c r="E340" t="str">
        <f>_xlfn.XLOOKUP(CKadeaTelcoLogs_Reseau[[#This Row],[Cell_ID]],'CKadeaTelcoRegistre_Maintenance'!A:A,'CKadeaTelcoRegistre_Maintenance'!B:B,"Non repertorié")</f>
        <v>Non repertorié</v>
      </c>
      <c r="F340" t="str">
        <f>_xlfn.XLOOKUP(CKadeaTelcoLogs_Reseau[[#This Row],[Cell_ID]],'CKadeaTelcoRegistre_Maintenance'!A:A,'CKadeaTelcoRegistre_Maintenance'!C:C,"Non repertorié")</f>
        <v>Non repertorié</v>
      </c>
      <c r="G340" t="str">
        <f>_xlfn.XLOOKUP(CKadeaTelcoLogs_Reseau[[#This Row],[Cell_ID]],'CKadeaTelcoRegistre_Maintenance'!A:A,'CKadeaTelcoRegistre_Maintenance'!D:D,"Non repertorié")</f>
        <v>Non repertorié</v>
      </c>
      <c r="H340" t="str">
        <f>_xlfn.XLOOKUP(CKadeaTelcoLogs_Reseau[[#This Row],[Cell_ID]],'CKadeaTelcoRegistre_Maintenance'!A:A,'CKadeaTelcoRegistre_Maintenance'!E:E,"Non repertorié")</f>
        <v>Non repertorié</v>
      </c>
      <c r="I340" t="str">
        <f>_xlfn.XLOOKUP(CKadeaTelcoLogs_Reseau[[#This Row],[Cell_ID]],'CKadeaTelcoRegistre_Maintenance'!A:A,'CKadeaTelcoRegistre_Maintenance'!F:F,"Non repertorié")</f>
        <v>Non repertorié</v>
      </c>
    </row>
    <row r="341" spans="1:9" ht="20.5" customHeight="1" x14ac:dyDescent="0.35">
      <c r="A341" s="1">
        <v>45211.546527777777</v>
      </c>
      <c r="B341" s="5" t="s">
        <v>66</v>
      </c>
      <c r="C341">
        <v>115</v>
      </c>
      <c r="D341" t="s">
        <v>5</v>
      </c>
      <c r="E341" t="str">
        <f>_xlfn.XLOOKUP(CKadeaTelcoLogs_Reseau[[#This Row],[Cell_ID]],'CKadeaTelcoRegistre_Maintenance'!A:A,'CKadeaTelcoRegistre_Maintenance'!B:B,"Non repertorié")</f>
        <v>Non repertorié</v>
      </c>
      <c r="F341" t="str">
        <f>_xlfn.XLOOKUP(CKadeaTelcoLogs_Reseau[[#This Row],[Cell_ID]],'CKadeaTelcoRegistre_Maintenance'!A:A,'CKadeaTelcoRegistre_Maintenance'!C:C,"Non repertorié")</f>
        <v>Non repertorié</v>
      </c>
      <c r="G341" t="str">
        <f>_xlfn.XLOOKUP(CKadeaTelcoLogs_Reseau[[#This Row],[Cell_ID]],'CKadeaTelcoRegistre_Maintenance'!A:A,'CKadeaTelcoRegistre_Maintenance'!D:D,"Non repertorié")</f>
        <v>Non repertorié</v>
      </c>
      <c r="H341" t="str">
        <f>_xlfn.XLOOKUP(CKadeaTelcoLogs_Reseau[[#This Row],[Cell_ID]],'CKadeaTelcoRegistre_Maintenance'!A:A,'CKadeaTelcoRegistre_Maintenance'!E:E,"Non repertorié")</f>
        <v>Non repertorié</v>
      </c>
      <c r="I341" t="str">
        <f>_xlfn.XLOOKUP(CKadeaTelcoLogs_Reseau[[#This Row],[Cell_ID]],'CKadeaTelcoRegistre_Maintenance'!A:A,'CKadeaTelcoRegistre_Maintenance'!F:F,"Non repertorié")</f>
        <v>Non repertorié</v>
      </c>
    </row>
    <row r="342" spans="1:9" ht="20.5" customHeight="1" x14ac:dyDescent="0.35">
      <c r="A342" s="1">
        <v>45209.904861111114</v>
      </c>
      <c r="B342" s="5" t="s">
        <v>32</v>
      </c>
      <c r="C342">
        <v>45</v>
      </c>
      <c r="D342" t="s">
        <v>10</v>
      </c>
      <c r="E342" t="str">
        <f>_xlfn.XLOOKUP(CKadeaTelcoLogs_Reseau[[#This Row],[Cell_ID]],'CKadeaTelcoRegistre_Maintenance'!A:A,'CKadeaTelcoRegistre_Maintenance'!B:B,"Non repertorié")</f>
        <v>Non repertorié</v>
      </c>
      <c r="F342" t="str">
        <f>_xlfn.XLOOKUP(CKadeaTelcoLogs_Reseau[[#This Row],[Cell_ID]],'CKadeaTelcoRegistre_Maintenance'!A:A,'CKadeaTelcoRegistre_Maintenance'!C:C,"Non repertorié")</f>
        <v>Non repertorié</v>
      </c>
      <c r="G342" t="str">
        <f>_xlfn.XLOOKUP(CKadeaTelcoLogs_Reseau[[#This Row],[Cell_ID]],'CKadeaTelcoRegistre_Maintenance'!A:A,'CKadeaTelcoRegistre_Maintenance'!D:D,"Non repertorié")</f>
        <v>Non repertorié</v>
      </c>
      <c r="H342" t="str">
        <f>_xlfn.XLOOKUP(CKadeaTelcoLogs_Reseau[[#This Row],[Cell_ID]],'CKadeaTelcoRegistre_Maintenance'!A:A,'CKadeaTelcoRegistre_Maintenance'!E:E,"Non repertorié")</f>
        <v>Non repertorié</v>
      </c>
      <c r="I342" t="str">
        <f>_xlfn.XLOOKUP(CKadeaTelcoLogs_Reseau[[#This Row],[Cell_ID]],'CKadeaTelcoRegistre_Maintenance'!A:A,'CKadeaTelcoRegistre_Maintenance'!F:F,"Non repertorié")</f>
        <v>Non repertorié</v>
      </c>
    </row>
    <row r="343" spans="1:9" ht="20.5" customHeight="1" x14ac:dyDescent="0.35">
      <c r="A343" s="1">
        <v>45218.647916666669</v>
      </c>
      <c r="B343" s="5" t="s">
        <v>287</v>
      </c>
      <c r="C343">
        <v>78</v>
      </c>
      <c r="D343" t="s">
        <v>5</v>
      </c>
      <c r="E343" t="str">
        <f>_xlfn.XLOOKUP(CKadeaTelcoLogs_Reseau[[#This Row],[Cell_ID]],'CKadeaTelcoRegistre_Maintenance'!A:A,'CKadeaTelcoRegistre_Maintenance'!B:B,"Non repertorié")</f>
        <v>Non repertorié</v>
      </c>
      <c r="F343" t="str">
        <f>_xlfn.XLOOKUP(CKadeaTelcoLogs_Reseau[[#This Row],[Cell_ID]],'CKadeaTelcoRegistre_Maintenance'!A:A,'CKadeaTelcoRegistre_Maintenance'!C:C,"Non repertorié")</f>
        <v>Non repertorié</v>
      </c>
      <c r="G343" t="str">
        <f>_xlfn.XLOOKUP(CKadeaTelcoLogs_Reseau[[#This Row],[Cell_ID]],'CKadeaTelcoRegistre_Maintenance'!A:A,'CKadeaTelcoRegistre_Maintenance'!D:D,"Non repertorié")</f>
        <v>Non repertorié</v>
      </c>
      <c r="H343" t="str">
        <f>_xlfn.XLOOKUP(CKadeaTelcoLogs_Reseau[[#This Row],[Cell_ID]],'CKadeaTelcoRegistre_Maintenance'!A:A,'CKadeaTelcoRegistre_Maintenance'!E:E,"Non repertorié")</f>
        <v>Non repertorié</v>
      </c>
      <c r="I343" t="str">
        <f>_xlfn.XLOOKUP(CKadeaTelcoLogs_Reseau[[#This Row],[Cell_ID]],'CKadeaTelcoRegistre_Maintenance'!A:A,'CKadeaTelcoRegistre_Maintenance'!F:F,"Non repertorié")</f>
        <v>Non repertorié</v>
      </c>
    </row>
    <row r="344" spans="1:9" ht="20.5" customHeight="1" x14ac:dyDescent="0.35">
      <c r="A344" s="1">
        <v>45221.376388888886</v>
      </c>
      <c r="B344" s="5" t="s">
        <v>288</v>
      </c>
      <c r="C344">
        <v>59</v>
      </c>
      <c r="D344" t="s">
        <v>10</v>
      </c>
      <c r="E344" t="str">
        <f>_xlfn.XLOOKUP(CKadeaTelcoLogs_Reseau[[#This Row],[Cell_ID]],'CKadeaTelcoRegistre_Maintenance'!A:A,'CKadeaTelcoRegistre_Maintenance'!B:B,"Non repertorié")</f>
        <v>Maniema</v>
      </c>
      <c r="F344">
        <f>_xlfn.XLOOKUP(CKadeaTelcoLogs_Reseau[[#This Row],[Cell_ID]],'CKadeaTelcoRegistre_Maintenance'!A:A,'CKadeaTelcoRegistre_Maintenance'!C:C,"Non repertorié")</f>
        <v>-8.4824669999999998</v>
      </c>
      <c r="G344">
        <f>_xlfn.XLOOKUP(CKadeaTelcoLogs_Reseau[[#This Row],[Cell_ID]],'CKadeaTelcoRegistre_Maintenance'!A:A,'CKadeaTelcoRegistre_Maintenance'!D:D,"Non repertorié")</f>
        <v>21.897777999999999</v>
      </c>
      <c r="H344" t="str">
        <f>_xlfn.XLOOKUP(CKadeaTelcoLogs_Reseau[[#This Row],[Cell_ID]],'CKadeaTelcoRegistre_Maintenance'!A:A,'CKadeaTelcoRegistre_Maintenance'!E:E,"Non repertorié")</f>
        <v>5G</v>
      </c>
      <c r="I344" t="str">
        <f>_xlfn.XLOOKUP(CKadeaTelcoLogs_Reseau[[#This Row],[Cell_ID]],'CKadeaTelcoRegistre_Maintenance'!A:A,'CKadeaTelcoRegistre_Maintenance'!F:F,"Non repertorié")</f>
        <v>Ericsson</v>
      </c>
    </row>
    <row r="345" spans="1:9" ht="20.5" customHeight="1" x14ac:dyDescent="0.35">
      <c r="A345" s="1">
        <v>45207.526388888888</v>
      </c>
      <c r="B345" s="5" t="s">
        <v>289</v>
      </c>
      <c r="C345">
        <v>78</v>
      </c>
      <c r="D345" t="s">
        <v>10</v>
      </c>
      <c r="E345" t="str">
        <f>_xlfn.XLOOKUP(CKadeaTelcoLogs_Reseau[[#This Row],[Cell_ID]],'CKadeaTelcoRegistre_Maintenance'!A:A,'CKadeaTelcoRegistre_Maintenance'!B:B,"Non repertorié")</f>
        <v>Haut-Katanga</v>
      </c>
      <c r="F345">
        <f>_xlfn.XLOOKUP(CKadeaTelcoLogs_Reseau[[#This Row],[Cell_ID]],'CKadeaTelcoRegistre_Maintenance'!A:A,'CKadeaTelcoRegistre_Maintenance'!C:C,"Non repertorié")</f>
        <v>-9.4229749999999992</v>
      </c>
      <c r="G345">
        <f>_xlfn.XLOOKUP(CKadeaTelcoLogs_Reseau[[#This Row],[Cell_ID]],'CKadeaTelcoRegistre_Maintenance'!A:A,'CKadeaTelcoRegistre_Maintenance'!D:D,"Non repertorié")</f>
        <v>29.375005999999999</v>
      </c>
      <c r="H345" t="str">
        <f>_xlfn.XLOOKUP(CKadeaTelcoLogs_Reseau[[#This Row],[Cell_ID]],'CKadeaTelcoRegistre_Maintenance'!A:A,'CKadeaTelcoRegistre_Maintenance'!E:E,"Non repertorié")</f>
        <v>3G</v>
      </c>
      <c r="I345" t="str">
        <f>_xlfn.XLOOKUP(CKadeaTelcoLogs_Reseau[[#This Row],[Cell_ID]],'CKadeaTelcoRegistre_Maintenance'!A:A,'CKadeaTelcoRegistre_Maintenance'!F:F,"Non repertorié")</f>
        <v>Ericsson</v>
      </c>
    </row>
    <row r="346" spans="1:9" ht="20.5" customHeight="1" x14ac:dyDescent="0.35">
      <c r="A346" s="1">
        <v>45201.009027777778</v>
      </c>
      <c r="B346" s="5" t="s">
        <v>257</v>
      </c>
      <c r="C346">
        <v>56</v>
      </c>
      <c r="D346" t="s">
        <v>8</v>
      </c>
      <c r="E346" t="str">
        <f>_xlfn.XLOOKUP(CKadeaTelcoLogs_Reseau[[#This Row],[Cell_ID]],'CKadeaTelcoRegistre_Maintenance'!A:A,'CKadeaTelcoRegistre_Maintenance'!B:B,"Non repertorié")</f>
        <v>Nord-Ubangi</v>
      </c>
      <c r="F346">
        <f>_xlfn.XLOOKUP(CKadeaTelcoLogs_Reseau[[#This Row],[Cell_ID]],'CKadeaTelcoRegistre_Maintenance'!A:A,'CKadeaTelcoRegistre_Maintenance'!C:C,"Non repertorié")</f>
        <v>-7.7839049999999999</v>
      </c>
      <c r="G346">
        <f>_xlfn.XLOOKUP(CKadeaTelcoLogs_Reseau[[#This Row],[Cell_ID]],'CKadeaTelcoRegistre_Maintenance'!A:A,'CKadeaTelcoRegistre_Maintenance'!D:D,"Non repertorié")</f>
        <v>14.114281999999999</v>
      </c>
      <c r="H346" t="str">
        <f>_xlfn.XLOOKUP(CKadeaTelcoLogs_Reseau[[#This Row],[Cell_ID]],'CKadeaTelcoRegistre_Maintenance'!A:A,'CKadeaTelcoRegistre_Maintenance'!E:E,"Non repertorié")</f>
        <v>3G</v>
      </c>
      <c r="I346" t="str">
        <f>_xlfn.XLOOKUP(CKadeaTelcoLogs_Reseau[[#This Row],[Cell_ID]],'CKadeaTelcoRegistre_Maintenance'!A:A,'CKadeaTelcoRegistre_Maintenance'!F:F,"Non repertorié")</f>
        <v>ZTE</v>
      </c>
    </row>
    <row r="347" spans="1:9" ht="20.5" customHeight="1" x14ac:dyDescent="0.35">
      <c r="A347" s="1">
        <v>45201.057638888888</v>
      </c>
      <c r="B347" s="5" t="s">
        <v>290</v>
      </c>
      <c r="C347">
        <v>103</v>
      </c>
      <c r="D347" t="s">
        <v>5</v>
      </c>
      <c r="E347" t="str">
        <f>_xlfn.XLOOKUP(CKadeaTelcoLogs_Reseau[[#This Row],[Cell_ID]],'CKadeaTelcoRegistre_Maintenance'!A:A,'CKadeaTelcoRegistre_Maintenance'!B:B,"Non repertorié")</f>
        <v>Haut-Katanga</v>
      </c>
      <c r="F347">
        <f>_xlfn.XLOOKUP(CKadeaTelcoLogs_Reseau[[#This Row],[Cell_ID]],'CKadeaTelcoRegistre_Maintenance'!A:A,'CKadeaTelcoRegistre_Maintenance'!C:C,"Non repertorié")</f>
        <v>-11.594525000000001</v>
      </c>
      <c r="G347">
        <f>_xlfn.XLOOKUP(CKadeaTelcoLogs_Reseau[[#This Row],[Cell_ID]],'CKadeaTelcoRegistre_Maintenance'!A:A,'CKadeaTelcoRegistre_Maintenance'!D:D,"Non repertorié")</f>
        <v>29.744895</v>
      </c>
      <c r="H347" t="str">
        <f>_xlfn.XLOOKUP(CKadeaTelcoLogs_Reseau[[#This Row],[Cell_ID]],'CKadeaTelcoRegistre_Maintenance'!A:A,'CKadeaTelcoRegistre_Maintenance'!E:E,"Non repertorié")</f>
        <v>3G</v>
      </c>
      <c r="I347" t="str">
        <f>_xlfn.XLOOKUP(CKadeaTelcoLogs_Reseau[[#This Row],[Cell_ID]],'CKadeaTelcoRegistre_Maintenance'!A:A,'CKadeaTelcoRegistre_Maintenance'!F:F,"Non repertorié")</f>
        <v>ZTE</v>
      </c>
    </row>
    <row r="348" spans="1:9" ht="20.5" customHeight="1" x14ac:dyDescent="0.35">
      <c r="A348" s="1">
        <v>45226.37777777778</v>
      </c>
      <c r="B348" s="5" t="s">
        <v>291</v>
      </c>
      <c r="C348">
        <v>74</v>
      </c>
      <c r="D348" t="s">
        <v>10</v>
      </c>
      <c r="E348" t="str">
        <f>_xlfn.XLOOKUP(CKadeaTelcoLogs_Reseau[[#This Row],[Cell_ID]],'CKadeaTelcoRegistre_Maintenance'!A:A,'CKadeaTelcoRegistre_Maintenance'!B:B,"Non repertorié")</f>
        <v>Mongala</v>
      </c>
      <c r="F348">
        <f>_xlfn.XLOOKUP(CKadeaTelcoLogs_Reseau[[#This Row],[Cell_ID]],'CKadeaTelcoRegistre_Maintenance'!A:A,'CKadeaTelcoRegistre_Maintenance'!C:C,"Non repertorié")</f>
        <v>4.6809229999999999</v>
      </c>
      <c r="G348">
        <f>_xlfn.XLOOKUP(CKadeaTelcoLogs_Reseau[[#This Row],[Cell_ID]],'CKadeaTelcoRegistre_Maintenance'!A:A,'CKadeaTelcoRegistre_Maintenance'!D:D,"Non repertorié")</f>
        <v>28.934242000000001</v>
      </c>
      <c r="H348" t="str">
        <f>_xlfn.XLOOKUP(CKadeaTelcoLogs_Reseau[[#This Row],[Cell_ID]],'CKadeaTelcoRegistre_Maintenance'!A:A,'CKadeaTelcoRegistre_Maintenance'!E:E,"Non repertorié")</f>
        <v>5G</v>
      </c>
      <c r="I348" t="str">
        <f>_xlfn.XLOOKUP(CKadeaTelcoLogs_Reseau[[#This Row],[Cell_ID]],'CKadeaTelcoRegistre_Maintenance'!A:A,'CKadeaTelcoRegistre_Maintenance'!F:F,"Non repertorié")</f>
        <v>Nokia</v>
      </c>
    </row>
    <row r="349" spans="1:9" ht="20.5" customHeight="1" x14ac:dyDescent="0.35">
      <c r="A349" s="1">
        <v>45220.11041666667</v>
      </c>
      <c r="B349" s="5" t="s">
        <v>292</v>
      </c>
      <c r="C349">
        <v>111</v>
      </c>
      <c r="D349" t="s">
        <v>10</v>
      </c>
      <c r="E349" t="str">
        <f>_xlfn.XLOOKUP(CKadeaTelcoLogs_Reseau[[#This Row],[Cell_ID]],'CKadeaTelcoRegistre_Maintenance'!A:A,'CKadeaTelcoRegistre_Maintenance'!B:B,"Non repertorié")</f>
        <v>Ituri</v>
      </c>
      <c r="F349">
        <f>_xlfn.XLOOKUP(CKadeaTelcoLogs_Reseau[[#This Row],[Cell_ID]],'CKadeaTelcoRegistre_Maintenance'!A:A,'CKadeaTelcoRegistre_Maintenance'!C:C,"Non repertorié")</f>
        <v>-4.1250960000000001</v>
      </c>
      <c r="G349">
        <f>_xlfn.XLOOKUP(CKadeaTelcoLogs_Reseau[[#This Row],[Cell_ID]],'CKadeaTelcoRegistre_Maintenance'!A:A,'CKadeaTelcoRegistre_Maintenance'!D:D,"Non repertorié")</f>
        <v>27.799897999999999</v>
      </c>
      <c r="H349" t="str">
        <f>_xlfn.XLOOKUP(CKadeaTelcoLogs_Reseau[[#This Row],[Cell_ID]],'CKadeaTelcoRegistre_Maintenance'!A:A,'CKadeaTelcoRegistre_Maintenance'!E:E,"Non repertorié")</f>
        <v>3G</v>
      </c>
      <c r="I349" t="str">
        <f>_xlfn.XLOOKUP(CKadeaTelcoLogs_Reseau[[#This Row],[Cell_ID]],'CKadeaTelcoRegistre_Maintenance'!A:A,'CKadeaTelcoRegistre_Maintenance'!F:F,"Non repertorié")</f>
        <v>Nokia</v>
      </c>
    </row>
    <row r="350" spans="1:9" ht="20.5" customHeight="1" x14ac:dyDescent="0.35">
      <c r="A350" s="1">
        <v>45219.683333333334</v>
      </c>
      <c r="B350" s="5" t="s">
        <v>293</v>
      </c>
      <c r="C350">
        <v>99</v>
      </c>
      <c r="D350" t="s">
        <v>8</v>
      </c>
      <c r="E350" t="str">
        <f>_xlfn.XLOOKUP(CKadeaTelcoLogs_Reseau[[#This Row],[Cell_ID]],'CKadeaTelcoRegistre_Maintenance'!A:A,'CKadeaTelcoRegistre_Maintenance'!B:B,"Non repertorié")</f>
        <v>Kongo-Central</v>
      </c>
      <c r="F350">
        <f>_xlfn.XLOOKUP(CKadeaTelcoLogs_Reseau[[#This Row],[Cell_ID]],'CKadeaTelcoRegistre_Maintenance'!A:A,'CKadeaTelcoRegistre_Maintenance'!C:C,"Non repertorié")</f>
        <v>-9.5840350000000001</v>
      </c>
      <c r="G350">
        <f>_xlfn.XLOOKUP(CKadeaTelcoLogs_Reseau[[#This Row],[Cell_ID]],'CKadeaTelcoRegistre_Maintenance'!A:A,'CKadeaTelcoRegistre_Maintenance'!D:D,"Non repertorié")</f>
        <v>15.966024000000001</v>
      </c>
      <c r="H350" t="str">
        <f>_xlfn.XLOOKUP(CKadeaTelcoLogs_Reseau[[#This Row],[Cell_ID]],'CKadeaTelcoRegistre_Maintenance'!A:A,'CKadeaTelcoRegistre_Maintenance'!E:E,"Non repertorié")</f>
        <v>5G</v>
      </c>
      <c r="I350" t="str">
        <f>_xlfn.XLOOKUP(CKadeaTelcoLogs_Reseau[[#This Row],[Cell_ID]],'CKadeaTelcoRegistre_Maintenance'!A:A,'CKadeaTelcoRegistre_Maintenance'!F:F,"Non repertorié")</f>
        <v>Nokia</v>
      </c>
    </row>
    <row r="351" spans="1:9" ht="20.5" customHeight="1" x14ac:dyDescent="0.35">
      <c r="A351" s="1">
        <v>45214.774305555555</v>
      </c>
      <c r="B351" s="5" t="s">
        <v>82</v>
      </c>
      <c r="C351">
        <v>118</v>
      </c>
      <c r="D351" t="s">
        <v>5</v>
      </c>
      <c r="E351" t="str">
        <f>_xlfn.XLOOKUP(CKadeaTelcoLogs_Reseau[[#This Row],[Cell_ID]],'CKadeaTelcoRegistre_Maintenance'!A:A,'CKadeaTelcoRegistre_Maintenance'!B:B,"Non repertorié")</f>
        <v>Sud-Ubangi</v>
      </c>
      <c r="F351">
        <f>_xlfn.XLOOKUP(CKadeaTelcoLogs_Reseau[[#This Row],[Cell_ID]],'CKadeaTelcoRegistre_Maintenance'!A:A,'CKadeaTelcoRegistre_Maintenance'!C:C,"Non repertorié")</f>
        <v>-10.914952</v>
      </c>
      <c r="G351">
        <f>_xlfn.XLOOKUP(CKadeaTelcoLogs_Reseau[[#This Row],[Cell_ID]],'CKadeaTelcoRegistre_Maintenance'!A:A,'CKadeaTelcoRegistre_Maintenance'!D:D,"Non repertorié")</f>
        <v>26.409648000000001</v>
      </c>
      <c r="H351" t="str">
        <f>_xlfn.XLOOKUP(CKadeaTelcoLogs_Reseau[[#This Row],[Cell_ID]],'CKadeaTelcoRegistre_Maintenance'!A:A,'CKadeaTelcoRegistre_Maintenance'!E:E,"Non repertorié")</f>
        <v>4G</v>
      </c>
      <c r="I351" t="str">
        <f>_xlfn.XLOOKUP(CKadeaTelcoLogs_Reseau[[#This Row],[Cell_ID]],'CKadeaTelcoRegistre_Maintenance'!A:A,'CKadeaTelcoRegistre_Maintenance'!F:F,"Non repertorié")</f>
        <v>Huawei</v>
      </c>
    </row>
    <row r="352" spans="1:9" ht="20.5" customHeight="1" x14ac:dyDescent="0.35">
      <c r="A352" s="1">
        <v>45230.997916666667</v>
      </c>
      <c r="B352" s="5" t="s">
        <v>294</v>
      </c>
      <c r="C352">
        <v>72</v>
      </c>
      <c r="D352" t="s">
        <v>10</v>
      </c>
      <c r="E352" t="str">
        <f>_xlfn.XLOOKUP(CKadeaTelcoLogs_Reseau[[#This Row],[Cell_ID]],'CKadeaTelcoRegistre_Maintenance'!A:A,'CKadeaTelcoRegistre_Maintenance'!B:B,"Non repertorié")</f>
        <v>Ituri</v>
      </c>
      <c r="F352">
        <f>_xlfn.XLOOKUP(CKadeaTelcoLogs_Reseau[[#This Row],[Cell_ID]],'CKadeaTelcoRegistre_Maintenance'!A:A,'CKadeaTelcoRegistre_Maintenance'!C:C,"Non repertorié")</f>
        <v>-1.9120569999999999</v>
      </c>
      <c r="G352">
        <f>_xlfn.XLOOKUP(CKadeaTelcoLogs_Reseau[[#This Row],[Cell_ID]],'CKadeaTelcoRegistre_Maintenance'!A:A,'CKadeaTelcoRegistre_Maintenance'!D:D,"Non repertorié")</f>
        <v>15.236072999999999</v>
      </c>
      <c r="H352" t="str">
        <f>_xlfn.XLOOKUP(CKadeaTelcoLogs_Reseau[[#This Row],[Cell_ID]],'CKadeaTelcoRegistre_Maintenance'!A:A,'CKadeaTelcoRegistre_Maintenance'!E:E,"Non repertorié")</f>
        <v>5G</v>
      </c>
      <c r="I352" t="str">
        <f>_xlfn.XLOOKUP(CKadeaTelcoLogs_Reseau[[#This Row],[Cell_ID]],'CKadeaTelcoRegistre_Maintenance'!A:A,'CKadeaTelcoRegistre_Maintenance'!F:F,"Non repertorié")</f>
        <v>Huawei</v>
      </c>
    </row>
    <row r="353" spans="1:9" ht="20.5" customHeight="1" x14ac:dyDescent="0.35">
      <c r="A353" s="1">
        <v>45201.623611111114</v>
      </c>
      <c r="B353" s="5" t="s">
        <v>295</v>
      </c>
      <c r="C353">
        <v>9</v>
      </c>
      <c r="D353" t="s">
        <v>5</v>
      </c>
      <c r="E353" t="str">
        <f>_xlfn.XLOOKUP(CKadeaTelcoLogs_Reseau[[#This Row],[Cell_ID]],'CKadeaTelcoRegistre_Maintenance'!A:A,'CKadeaTelcoRegistre_Maintenance'!B:B,"Non repertorié")</f>
        <v>Non repertorié</v>
      </c>
      <c r="F353" t="str">
        <f>_xlfn.XLOOKUP(CKadeaTelcoLogs_Reseau[[#This Row],[Cell_ID]],'CKadeaTelcoRegistre_Maintenance'!A:A,'CKadeaTelcoRegistre_Maintenance'!C:C,"Non repertorié")</f>
        <v>Non repertorié</v>
      </c>
      <c r="G353" t="str">
        <f>_xlfn.XLOOKUP(CKadeaTelcoLogs_Reseau[[#This Row],[Cell_ID]],'CKadeaTelcoRegistre_Maintenance'!A:A,'CKadeaTelcoRegistre_Maintenance'!D:D,"Non repertorié")</f>
        <v>Non repertorié</v>
      </c>
      <c r="H353" t="str">
        <f>_xlfn.XLOOKUP(CKadeaTelcoLogs_Reseau[[#This Row],[Cell_ID]],'CKadeaTelcoRegistre_Maintenance'!A:A,'CKadeaTelcoRegistre_Maintenance'!E:E,"Non repertorié")</f>
        <v>Non repertorié</v>
      </c>
      <c r="I353" t="str">
        <f>_xlfn.XLOOKUP(CKadeaTelcoLogs_Reseau[[#This Row],[Cell_ID]],'CKadeaTelcoRegistre_Maintenance'!A:A,'CKadeaTelcoRegistre_Maintenance'!F:F,"Non repertorié")</f>
        <v>Non repertorié</v>
      </c>
    </row>
    <row r="354" spans="1:9" ht="20.5" customHeight="1" x14ac:dyDescent="0.35">
      <c r="A354" s="1">
        <v>45225.77847222222</v>
      </c>
      <c r="B354" s="5" t="s">
        <v>296</v>
      </c>
      <c r="C354">
        <v>89</v>
      </c>
      <c r="D354" t="s">
        <v>5</v>
      </c>
      <c r="E354" t="str">
        <f>_xlfn.XLOOKUP(CKadeaTelcoLogs_Reseau[[#This Row],[Cell_ID]],'CKadeaTelcoRegistre_Maintenance'!A:A,'CKadeaTelcoRegistre_Maintenance'!B:B,"Non repertorié")</f>
        <v>Non repertorié</v>
      </c>
      <c r="F354" t="str">
        <f>_xlfn.XLOOKUP(CKadeaTelcoLogs_Reseau[[#This Row],[Cell_ID]],'CKadeaTelcoRegistre_Maintenance'!A:A,'CKadeaTelcoRegistre_Maintenance'!C:C,"Non repertorié")</f>
        <v>Non repertorié</v>
      </c>
      <c r="G354" t="str">
        <f>_xlfn.XLOOKUP(CKadeaTelcoLogs_Reseau[[#This Row],[Cell_ID]],'CKadeaTelcoRegistre_Maintenance'!A:A,'CKadeaTelcoRegistre_Maintenance'!D:D,"Non repertorié")</f>
        <v>Non repertorié</v>
      </c>
      <c r="H354" t="str">
        <f>_xlfn.XLOOKUP(CKadeaTelcoLogs_Reseau[[#This Row],[Cell_ID]],'CKadeaTelcoRegistre_Maintenance'!A:A,'CKadeaTelcoRegistre_Maintenance'!E:E,"Non repertorié")</f>
        <v>Non repertorié</v>
      </c>
      <c r="I354" t="str">
        <f>_xlfn.XLOOKUP(CKadeaTelcoLogs_Reseau[[#This Row],[Cell_ID]],'CKadeaTelcoRegistre_Maintenance'!A:A,'CKadeaTelcoRegistre_Maintenance'!F:F,"Non repertorié")</f>
        <v>Non repertorié</v>
      </c>
    </row>
    <row r="355" spans="1:9" ht="20.5" customHeight="1" x14ac:dyDescent="0.35">
      <c r="A355" s="1">
        <v>45206.443055555559</v>
      </c>
      <c r="B355" s="5" t="s">
        <v>297</v>
      </c>
      <c r="C355">
        <v>48</v>
      </c>
      <c r="D355" t="s">
        <v>10</v>
      </c>
      <c r="E355" t="str">
        <f>_xlfn.XLOOKUP(CKadeaTelcoLogs_Reseau[[#This Row],[Cell_ID]],'CKadeaTelcoRegistre_Maintenance'!A:A,'CKadeaTelcoRegistre_Maintenance'!B:B,"Non repertorié")</f>
        <v>Haut-Lomami</v>
      </c>
      <c r="F355">
        <f>_xlfn.XLOOKUP(CKadeaTelcoLogs_Reseau[[#This Row],[Cell_ID]],'CKadeaTelcoRegistre_Maintenance'!A:A,'CKadeaTelcoRegistre_Maintenance'!C:C,"Non repertorié")</f>
        <v>0.16327700000000001</v>
      </c>
      <c r="G355">
        <f>_xlfn.XLOOKUP(CKadeaTelcoLogs_Reseau[[#This Row],[Cell_ID]],'CKadeaTelcoRegistre_Maintenance'!A:A,'CKadeaTelcoRegistre_Maintenance'!D:D,"Non repertorié")</f>
        <v>14.871577</v>
      </c>
      <c r="H355" t="str">
        <f>_xlfn.XLOOKUP(CKadeaTelcoLogs_Reseau[[#This Row],[Cell_ID]],'CKadeaTelcoRegistre_Maintenance'!A:A,'CKadeaTelcoRegistre_Maintenance'!E:E,"Non repertorié")</f>
        <v>4G</v>
      </c>
      <c r="I355" t="str">
        <f>_xlfn.XLOOKUP(CKadeaTelcoLogs_Reseau[[#This Row],[Cell_ID]],'CKadeaTelcoRegistre_Maintenance'!A:A,'CKadeaTelcoRegistre_Maintenance'!F:F,"Non repertorié")</f>
        <v>Huawei</v>
      </c>
    </row>
    <row r="356" spans="1:9" ht="20.5" customHeight="1" x14ac:dyDescent="0.35">
      <c r="A356" s="1">
        <v>45215.67291666667</v>
      </c>
      <c r="B356" s="5" t="s">
        <v>51</v>
      </c>
      <c r="C356">
        <v>117</v>
      </c>
      <c r="D356" t="s">
        <v>10</v>
      </c>
      <c r="E356" t="str">
        <f>_xlfn.XLOOKUP(CKadeaTelcoLogs_Reseau[[#This Row],[Cell_ID]],'CKadeaTelcoRegistre_Maintenance'!A:A,'CKadeaTelcoRegistre_Maintenance'!B:B,"Non repertorié")</f>
        <v>Nord-Kivu</v>
      </c>
      <c r="F356">
        <f>_xlfn.XLOOKUP(CKadeaTelcoLogs_Reseau[[#This Row],[Cell_ID]],'CKadeaTelcoRegistre_Maintenance'!A:A,'CKadeaTelcoRegistre_Maintenance'!C:C,"Non repertorié")</f>
        <v>-11.866133</v>
      </c>
      <c r="G356">
        <f>_xlfn.XLOOKUP(CKadeaTelcoLogs_Reseau[[#This Row],[Cell_ID]],'CKadeaTelcoRegistre_Maintenance'!A:A,'CKadeaTelcoRegistre_Maintenance'!D:D,"Non repertorié")</f>
        <v>27.068932</v>
      </c>
      <c r="H356" t="str">
        <f>_xlfn.XLOOKUP(CKadeaTelcoLogs_Reseau[[#This Row],[Cell_ID]],'CKadeaTelcoRegistre_Maintenance'!A:A,'CKadeaTelcoRegistre_Maintenance'!E:E,"Non repertorié")</f>
        <v>3G</v>
      </c>
      <c r="I356" t="str">
        <f>_xlfn.XLOOKUP(CKadeaTelcoLogs_Reseau[[#This Row],[Cell_ID]],'CKadeaTelcoRegistre_Maintenance'!A:A,'CKadeaTelcoRegistre_Maintenance'!F:F,"Non repertorié")</f>
        <v>Huawei</v>
      </c>
    </row>
    <row r="357" spans="1:9" ht="20.5" customHeight="1" x14ac:dyDescent="0.35">
      <c r="A357" s="1">
        <v>45230.061111111114</v>
      </c>
      <c r="B357" s="5" t="s">
        <v>298</v>
      </c>
      <c r="C357">
        <v>103</v>
      </c>
      <c r="D357" t="s">
        <v>5</v>
      </c>
      <c r="E357" t="str">
        <f>_xlfn.XLOOKUP(CKadeaTelcoLogs_Reseau[[#This Row],[Cell_ID]],'CKadeaTelcoRegistre_Maintenance'!A:A,'CKadeaTelcoRegistre_Maintenance'!B:B,"Non repertorié")</f>
        <v>Non repertorié</v>
      </c>
      <c r="F357" t="str">
        <f>_xlfn.XLOOKUP(CKadeaTelcoLogs_Reseau[[#This Row],[Cell_ID]],'CKadeaTelcoRegistre_Maintenance'!A:A,'CKadeaTelcoRegistre_Maintenance'!C:C,"Non repertorié")</f>
        <v>Non repertorié</v>
      </c>
      <c r="G357" t="str">
        <f>_xlfn.XLOOKUP(CKadeaTelcoLogs_Reseau[[#This Row],[Cell_ID]],'CKadeaTelcoRegistre_Maintenance'!A:A,'CKadeaTelcoRegistre_Maintenance'!D:D,"Non repertorié")</f>
        <v>Non repertorié</v>
      </c>
      <c r="H357" t="str">
        <f>_xlfn.XLOOKUP(CKadeaTelcoLogs_Reseau[[#This Row],[Cell_ID]],'CKadeaTelcoRegistre_Maintenance'!A:A,'CKadeaTelcoRegistre_Maintenance'!E:E,"Non repertorié")</f>
        <v>Non repertorié</v>
      </c>
      <c r="I357" t="str">
        <f>_xlfn.XLOOKUP(CKadeaTelcoLogs_Reseau[[#This Row],[Cell_ID]],'CKadeaTelcoRegistre_Maintenance'!A:A,'CKadeaTelcoRegistre_Maintenance'!F:F,"Non repertorié")</f>
        <v>Non repertorié</v>
      </c>
    </row>
    <row r="358" spans="1:9" ht="20.5" customHeight="1" x14ac:dyDescent="0.35">
      <c r="A358" s="1">
        <v>45203.447916666664</v>
      </c>
      <c r="B358" s="5" t="s">
        <v>219</v>
      </c>
      <c r="C358">
        <v>84</v>
      </c>
      <c r="D358" t="s">
        <v>10</v>
      </c>
      <c r="E358" t="str">
        <f>_xlfn.XLOOKUP(CKadeaTelcoLogs_Reseau[[#This Row],[Cell_ID]],'CKadeaTelcoRegistre_Maintenance'!A:A,'CKadeaTelcoRegistre_Maintenance'!B:B,"Non repertorié")</f>
        <v>Non repertorié</v>
      </c>
      <c r="F358" t="str">
        <f>_xlfn.XLOOKUP(CKadeaTelcoLogs_Reseau[[#This Row],[Cell_ID]],'CKadeaTelcoRegistre_Maintenance'!A:A,'CKadeaTelcoRegistre_Maintenance'!C:C,"Non repertorié")</f>
        <v>Non repertorié</v>
      </c>
      <c r="G358" t="str">
        <f>_xlfn.XLOOKUP(CKadeaTelcoLogs_Reseau[[#This Row],[Cell_ID]],'CKadeaTelcoRegistre_Maintenance'!A:A,'CKadeaTelcoRegistre_Maintenance'!D:D,"Non repertorié")</f>
        <v>Non repertorié</v>
      </c>
      <c r="H358" t="str">
        <f>_xlfn.XLOOKUP(CKadeaTelcoLogs_Reseau[[#This Row],[Cell_ID]],'CKadeaTelcoRegistre_Maintenance'!A:A,'CKadeaTelcoRegistre_Maintenance'!E:E,"Non repertorié")</f>
        <v>Non repertorié</v>
      </c>
      <c r="I358" t="str">
        <f>_xlfn.XLOOKUP(CKadeaTelcoLogs_Reseau[[#This Row],[Cell_ID]],'CKadeaTelcoRegistre_Maintenance'!A:A,'CKadeaTelcoRegistre_Maintenance'!F:F,"Non repertorié")</f>
        <v>Non repertorié</v>
      </c>
    </row>
    <row r="359" spans="1:9" ht="20.5" customHeight="1" x14ac:dyDescent="0.35">
      <c r="A359" s="1">
        <v>45202.695138888892</v>
      </c>
      <c r="B359" s="5" t="s">
        <v>299</v>
      </c>
      <c r="C359">
        <v>21</v>
      </c>
      <c r="D359" t="s">
        <v>5</v>
      </c>
      <c r="E359" t="str">
        <f>_xlfn.XLOOKUP(CKadeaTelcoLogs_Reseau[[#This Row],[Cell_ID]],'CKadeaTelcoRegistre_Maintenance'!A:A,'CKadeaTelcoRegistre_Maintenance'!B:B,"Non repertorié")</f>
        <v>Non repertorié</v>
      </c>
      <c r="F359" t="str">
        <f>_xlfn.XLOOKUP(CKadeaTelcoLogs_Reseau[[#This Row],[Cell_ID]],'CKadeaTelcoRegistre_Maintenance'!A:A,'CKadeaTelcoRegistre_Maintenance'!C:C,"Non repertorié")</f>
        <v>Non repertorié</v>
      </c>
      <c r="G359" t="str">
        <f>_xlfn.XLOOKUP(CKadeaTelcoLogs_Reseau[[#This Row],[Cell_ID]],'CKadeaTelcoRegistre_Maintenance'!A:A,'CKadeaTelcoRegistre_Maintenance'!D:D,"Non repertorié")</f>
        <v>Non repertorié</v>
      </c>
      <c r="H359" t="str">
        <f>_xlfn.XLOOKUP(CKadeaTelcoLogs_Reseau[[#This Row],[Cell_ID]],'CKadeaTelcoRegistre_Maintenance'!A:A,'CKadeaTelcoRegistre_Maintenance'!E:E,"Non repertorié")</f>
        <v>Non repertorié</v>
      </c>
      <c r="I359" t="str">
        <f>_xlfn.XLOOKUP(CKadeaTelcoLogs_Reseau[[#This Row],[Cell_ID]],'CKadeaTelcoRegistre_Maintenance'!A:A,'CKadeaTelcoRegistre_Maintenance'!F:F,"Non repertorié")</f>
        <v>Non repertorié</v>
      </c>
    </row>
    <row r="360" spans="1:9" ht="20.5" customHeight="1" x14ac:dyDescent="0.35">
      <c r="A360" s="1">
        <v>45205.052083333336</v>
      </c>
      <c r="B360" s="5" t="s">
        <v>300</v>
      </c>
      <c r="C360">
        <v>81</v>
      </c>
      <c r="D360" t="s">
        <v>10</v>
      </c>
      <c r="E360" t="str">
        <f>_xlfn.XLOOKUP(CKadeaTelcoLogs_Reseau[[#This Row],[Cell_ID]],'CKadeaTelcoRegistre_Maintenance'!A:A,'CKadeaTelcoRegistre_Maintenance'!B:B,"Non repertorié")</f>
        <v>Kasai</v>
      </c>
      <c r="F360">
        <f>_xlfn.XLOOKUP(CKadeaTelcoLogs_Reseau[[#This Row],[Cell_ID]],'CKadeaTelcoRegistre_Maintenance'!A:A,'CKadeaTelcoRegistre_Maintenance'!C:C,"Non repertorié")</f>
        <v>1.5802860000000001</v>
      </c>
      <c r="G360">
        <f>_xlfn.XLOOKUP(CKadeaTelcoLogs_Reseau[[#This Row],[Cell_ID]],'CKadeaTelcoRegistre_Maintenance'!A:A,'CKadeaTelcoRegistre_Maintenance'!D:D,"Non repertorié")</f>
        <v>20.99053</v>
      </c>
      <c r="H360" t="str">
        <f>_xlfn.XLOOKUP(CKadeaTelcoLogs_Reseau[[#This Row],[Cell_ID]],'CKadeaTelcoRegistre_Maintenance'!A:A,'CKadeaTelcoRegistre_Maintenance'!E:E,"Non repertorié")</f>
        <v>4G</v>
      </c>
      <c r="I360" t="str">
        <f>_xlfn.XLOOKUP(CKadeaTelcoLogs_Reseau[[#This Row],[Cell_ID]],'CKadeaTelcoRegistre_Maintenance'!A:A,'CKadeaTelcoRegistre_Maintenance'!F:F,"Non repertorié")</f>
        <v>ZTE</v>
      </c>
    </row>
    <row r="361" spans="1:9" ht="20.5" customHeight="1" x14ac:dyDescent="0.35">
      <c r="A361" s="1">
        <v>45222.602777777778</v>
      </c>
      <c r="B361" s="5" t="s">
        <v>301</v>
      </c>
      <c r="C361">
        <v>53</v>
      </c>
      <c r="D361" t="s">
        <v>8</v>
      </c>
      <c r="E361" t="str">
        <f>_xlfn.XLOOKUP(CKadeaTelcoLogs_Reseau[[#This Row],[Cell_ID]],'CKadeaTelcoRegistre_Maintenance'!A:A,'CKadeaTelcoRegistre_Maintenance'!B:B,"Non repertorié")</f>
        <v>Non repertorié</v>
      </c>
      <c r="F361" t="str">
        <f>_xlfn.XLOOKUP(CKadeaTelcoLogs_Reseau[[#This Row],[Cell_ID]],'CKadeaTelcoRegistre_Maintenance'!A:A,'CKadeaTelcoRegistre_Maintenance'!C:C,"Non repertorié")</f>
        <v>Non repertorié</v>
      </c>
      <c r="G361" t="str">
        <f>_xlfn.XLOOKUP(CKadeaTelcoLogs_Reseau[[#This Row],[Cell_ID]],'CKadeaTelcoRegistre_Maintenance'!A:A,'CKadeaTelcoRegistre_Maintenance'!D:D,"Non repertorié")</f>
        <v>Non repertorié</v>
      </c>
      <c r="H361" t="str">
        <f>_xlfn.XLOOKUP(CKadeaTelcoLogs_Reseau[[#This Row],[Cell_ID]],'CKadeaTelcoRegistre_Maintenance'!A:A,'CKadeaTelcoRegistre_Maintenance'!E:E,"Non repertorié")</f>
        <v>Non repertorié</v>
      </c>
      <c r="I361" t="str">
        <f>_xlfn.XLOOKUP(CKadeaTelcoLogs_Reseau[[#This Row],[Cell_ID]],'CKadeaTelcoRegistre_Maintenance'!A:A,'CKadeaTelcoRegistre_Maintenance'!F:F,"Non repertorié")</f>
        <v>Non repertorié</v>
      </c>
    </row>
    <row r="362" spans="1:9" ht="20.5" customHeight="1" x14ac:dyDescent="0.35">
      <c r="A362" s="1">
        <v>45216.693749999999</v>
      </c>
      <c r="B362" s="5" t="s">
        <v>122</v>
      </c>
      <c r="C362">
        <v>24</v>
      </c>
      <c r="D362" t="s">
        <v>10</v>
      </c>
      <c r="E362" t="str">
        <f>_xlfn.XLOOKUP(CKadeaTelcoLogs_Reseau[[#This Row],[Cell_ID]],'CKadeaTelcoRegistre_Maintenance'!A:A,'CKadeaTelcoRegistre_Maintenance'!B:B,"Non repertorié")</f>
        <v>Haut-Uele</v>
      </c>
      <c r="F362">
        <f>_xlfn.XLOOKUP(CKadeaTelcoLogs_Reseau[[#This Row],[Cell_ID]],'CKadeaTelcoRegistre_Maintenance'!A:A,'CKadeaTelcoRegistre_Maintenance'!C:C,"Non repertorié")</f>
        <v>-12.100756000000001</v>
      </c>
      <c r="G362">
        <f>_xlfn.XLOOKUP(CKadeaTelcoLogs_Reseau[[#This Row],[Cell_ID]],'CKadeaTelcoRegistre_Maintenance'!A:A,'CKadeaTelcoRegistre_Maintenance'!D:D,"Non repertorié")</f>
        <v>21.938649999999999</v>
      </c>
      <c r="H362" t="str">
        <f>_xlfn.XLOOKUP(CKadeaTelcoLogs_Reseau[[#This Row],[Cell_ID]],'CKadeaTelcoRegistre_Maintenance'!A:A,'CKadeaTelcoRegistre_Maintenance'!E:E,"Non repertorié")</f>
        <v>4G</v>
      </c>
      <c r="I362" t="str">
        <f>_xlfn.XLOOKUP(CKadeaTelcoLogs_Reseau[[#This Row],[Cell_ID]],'CKadeaTelcoRegistre_Maintenance'!A:A,'CKadeaTelcoRegistre_Maintenance'!F:F,"Non repertorié")</f>
        <v>Huawei</v>
      </c>
    </row>
    <row r="363" spans="1:9" ht="20.5" customHeight="1" x14ac:dyDescent="0.35">
      <c r="A363" s="1">
        <v>45205.474305555559</v>
      </c>
      <c r="B363" s="5" t="s">
        <v>302</v>
      </c>
      <c r="C363">
        <v>25</v>
      </c>
      <c r="D363" t="s">
        <v>5</v>
      </c>
      <c r="E363" t="str">
        <f>_xlfn.XLOOKUP(CKadeaTelcoLogs_Reseau[[#This Row],[Cell_ID]],'CKadeaTelcoRegistre_Maintenance'!A:A,'CKadeaTelcoRegistre_Maintenance'!B:B,"Non repertorié")</f>
        <v>Haut-Uele</v>
      </c>
      <c r="F363">
        <f>_xlfn.XLOOKUP(CKadeaTelcoLogs_Reseau[[#This Row],[Cell_ID]],'CKadeaTelcoRegistre_Maintenance'!A:A,'CKadeaTelcoRegistre_Maintenance'!C:C,"Non repertorié")</f>
        <v>-1.013558</v>
      </c>
      <c r="G363">
        <f>_xlfn.XLOOKUP(CKadeaTelcoLogs_Reseau[[#This Row],[Cell_ID]],'CKadeaTelcoRegistre_Maintenance'!A:A,'CKadeaTelcoRegistre_Maintenance'!D:D,"Non repertorié")</f>
        <v>17.346937</v>
      </c>
      <c r="H363" t="str">
        <f>_xlfn.XLOOKUP(CKadeaTelcoLogs_Reseau[[#This Row],[Cell_ID]],'CKadeaTelcoRegistre_Maintenance'!A:A,'CKadeaTelcoRegistre_Maintenance'!E:E,"Non repertorié")</f>
        <v>5G</v>
      </c>
      <c r="I363" t="str">
        <f>_xlfn.XLOOKUP(CKadeaTelcoLogs_Reseau[[#This Row],[Cell_ID]],'CKadeaTelcoRegistre_Maintenance'!A:A,'CKadeaTelcoRegistre_Maintenance'!F:F,"Non repertorié")</f>
        <v>Huawei</v>
      </c>
    </row>
    <row r="364" spans="1:9" ht="20.5" customHeight="1" x14ac:dyDescent="0.35">
      <c r="A364" s="1">
        <v>45229.39166666667</v>
      </c>
      <c r="B364" s="5" t="s">
        <v>303</v>
      </c>
      <c r="C364">
        <v>28</v>
      </c>
      <c r="D364" t="s">
        <v>10</v>
      </c>
      <c r="E364" t="str">
        <f>_xlfn.XLOOKUP(CKadeaTelcoLogs_Reseau[[#This Row],[Cell_ID]],'CKadeaTelcoRegistre_Maintenance'!A:A,'CKadeaTelcoRegistre_Maintenance'!B:B,"Non repertorié")</f>
        <v>Lualaba</v>
      </c>
      <c r="F364">
        <f>_xlfn.XLOOKUP(CKadeaTelcoLogs_Reseau[[#This Row],[Cell_ID]],'CKadeaTelcoRegistre_Maintenance'!A:A,'CKadeaTelcoRegistre_Maintenance'!C:C,"Non repertorié")</f>
        <v>-10.967288</v>
      </c>
      <c r="G364">
        <f>_xlfn.XLOOKUP(CKadeaTelcoLogs_Reseau[[#This Row],[Cell_ID]],'CKadeaTelcoRegistre_Maintenance'!A:A,'CKadeaTelcoRegistre_Maintenance'!D:D,"Non repertorié")</f>
        <v>17.617781000000001</v>
      </c>
      <c r="H364" t="str">
        <f>_xlfn.XLOOKUP(CKadeaTelcoLogs_Reseau[[#This Row],[Cell_ID]],'CKadeaTelcoRegistre_Maintenance'!A:A,'CKadeaTelcoRegistre_Maintenance'!E:E,"Non repertorié")</f>
        <v>4G</v>
      </c>
      <c r="I364" t="str">
        <f>_xlfn.XLOOKUP(CKadeaTelcoLogs_Reseau[[#This Row],[Cell_ID]],'CKadeaTelcoRegistre_Maintenance'!A:A,'CKadeaTelcoRegistre_Maintenance'!F:F,"Non repertorié")</f>
        <v>Ericsson</v>
      </c>
    </row>
    <row r="365" spans="1:9" ht="20.5" customHeight="1" x14ac:dyDescent="0.35">
      <c r="A365" s="1">
        <v>45213.446527777778</v>
      </c>
      <c r="B365" s="5" t="s">
        <v>304</v>
      </c>
      <c r="C365">
        <v>111</v>
      </c>
      <c r="D365" t="s">
        <v>5</v>
      </c>
      <c r="E365" t="str">
        <f>_xlfn.XLOOKUP(CKadeaTelcoLogs_Reseau[[#This Row],[Cell_ID]],'CKadeaTelcoRegistre_Maintenance'!A:A,'CKadeaTelcoRegistre_Maintenance'!B:B,"Non repertorié")</f>
        <v>Non repertorié</v>
      </c>
      <c r="F365" t="str">
        <f>_xlfn.XLOOKUP(CKadeaTelcoLogs_Reseau[[#This Row],[Cell_ID]],'CKadeaTelcoRegistre_Maintenance'!A:A,'CKadeaTelcoRegistre_Maintenance'!C:C,"Non repertorié")</f>
        <v>Non repertorié</v>
      </c>
      <c r="G365" t="str">
        <f>_xlfn.XLOOKUP(CKadeaTelcoLogs_Reseau[[#This Row],[Cell_ID]],'CKadeaTelcoRegistre_Maintenance'!A:A,'CKadeaTelcoRegistre_Maintenance'!D:D,"Non repertorié")</f>
        <v>Non repertorié</v>
      </c>
      <c r="H365" t="str">
        <f>_xlfn.XLOOKUP(CKadeaTelcoLogs_Reseau[[#This Row],[Cell_ID]],'CKadeaTelcoRegistre_Maintenance'!A:A,'CKadeaTelcoRegistre_Maintenance'!E:E,"Non repertorié")</f>
        <v>Non repertorié</v>
      </c>
      <c r="I365" t="str">
        <f>_xlfn.XLOOKUP(CKadeaTelcoLogs_Reseau[[#This Row],[Cell_ID]],'CKadeaTelcoRegistre_Maintenance'!A:A,'CKadeaTelcoRegistre_Maintenance'!F:F,"Non repertorié")</f>
        <v>Non repertorié</v>
      </c>
    </row>
    <row r="366" spans="1:9" ht="20.5" customHeight="1" x14ac:dyDescent="0.35">
      <c r="A366" s="1">
        <v>45219.076388888891</v>
      </c>
      <c r="B366" s="5" t="s">
        <v>305</v>
      </c>
      <c r="C366">
        <v>93</v>
      </c>
      <c r="D366" t="s">
        <v>10</v>
      </c>
      <c r="E366" t="str">
        <f>_xlfn.XLOOKUP(CKadeaTelcoLogs_Reseau[[#This Row],[Cell_ID]],'CKadeaTelcoRegistre_Maintenance'!A:A,'CKadeaTelcoRegistre_Maintenance'!B:B,"Non repertorié")</f>
        <v>Non repertorié</v>
      </c>
      <c r="F366" t="str">
        <f>_xlfn.XLOOKUP(CKadeaTelcoLogs_Reseau[[#This Row],[Cell_ID]],'CKadeaTelcoRegistre_Maintenance'!A:A,'CKadeaTelcoRegistre_Maintenance'!C:C,"Non repertorié")</f>
        <v>Non repertorié</v>
      </c>
      <c r="G366" t="str">
        <f>_xlfn.XLOOKUP(CKadeaTelcoLogs_Reseau[[#This Row],[Cell_ID]],'CKadeaTelcoRegistre_Maintenance'!A:A,'CKadeaTelcoRegistre_Maintenance'!D:D,"Non repertorié")</f>
        <v>Non repertorié</v>
      </c>
      <c r="H366" t="str">
        <f>_xlfn.XLOOKUP(CKadeaTelcoLogs_Reseau[[#This Row],[Cell_ID]],'CKadeaTelcoRegistre_Maintenance'!A:A,'CKadeaTelcoRegistre_Maintenance'!E:E,"Non repertorié")</f>
        <v>Non repertorié</v>
      </c>
      <c r="I366" t="str">
        <f>_xlfn.XLOOKUP(CKadeaTelcoLogs_Reseau[[#This Row],[Cell_ID]],'CKadeaTelcoRegistre_Maintenance'!A:A,'CKadeaTelcoRegistre_Maintenance'!F:F,"Non repertorié")</f>
        <v>Non repertorié</v>
      </c>
    </row>
    <row r="367" spans="1:9" ht="20.5" customHeight="1" x14ac:dyDescent="0.35">
      <c r="A367" s="1">
        <v>45220.847916666666</v>
      </c>
      <c r="B367" s="5" t="s">
        <v>269</v>
      </c>
      <c r="C367">
        <v>103</v>
      </c>
      <c r="D367" t="s">
        <v>5</v>
      </c>
      <c r="E367" t="str">
        <f>_xlfn.XLOOKUP(CKadeaTelcoLogs_Reseau[[#This Row],[Cell_ID]],'CKadeaTelcoRegistre_Maintenance'!A:A,'CKadeaTelcoRegistre_Maintenance'!B:B,"Non repertorié")</f>
        <v>Kongo-Central</v>
      </c>
      <c r="F367">
        <f>_xlfn.XLOOKUP(CKadeaTelcoLogs_Reseau[[#This Row],[Cell_ID]],'CKadeaTelcoRegistre_Maintenance'!A:A,'CKadeaTelcoRegistre_Maintenance'!C:C,"Non repertorié")</f>
        <v>-12.112399999999999</v>
      </c>
      <c r="G367">
        <f>_xlfn.XLOOKUP(CKadeaTelcoLogs_Reseau[[#This Row],[Cell_ID]],'CKadeaTelcoRegistre_Maintenance'!A:A,'CKadeaTelcoRegistre_Maintenance'!D:D,"Non repertorié")</f>
        <v>15.872226</v>
      </c>
      <c r="H367" t="str">
        <f>_xlfn.XLOOKUP(CKadeaTelcoLogs_Reseau[[#This Row],[Cell_ID]],'CKadeaTelcoRegistre_Maintenance'!A:A,'CKadeaTelcoRegistre_Maintenance'!E:E,"Non repertorié")</f>
        <v>4G</v>
      </c>
      <c r="I367" t="str">
        <f>_xlfn.XLOOKUP(CKadeaTelcoLogs_Reseau[[#This Row],[Cell_ID]],'CKadeaTelcoRegistre_Maintenance'!A:A,'CKadeaTelcoRegistre_Maintenance'!F:F,"Non repertorié")</f>
        <v>Nokia</v>
      </c>
    </row>
    <row r="368" spans="1:9" ht="20.5" customHeight="1" x14ac:dyDescent="0.35">
      <c r="A368" s="1">
        <v>45202.42083333333</v>
      </c>
      <c r="B368" s="5" t="s">
        <v>30</v>
      </c>
      <c r="C368">
        <v>84</v>
      </c>
      <c r="D368" t="s">
        <v>5</v>
      </c>
      <c r="E368" t="str">
        <f>_xlfn.XLOOKUP(CKadeaTelcoLogs_Reseau[[#This Row],[Cell_ID]],'CKadeaTelcoRegistre_Maintenance'!A:A,'CKadeaTelcoRegistre_Maintenance'!B:B,"Non repertorié")</f>
        <v>Sud-Ubangi</v>
      </c>
      <c r="F368">
        <f>_xlfn.XLOOKUP(CKadeaTelcoLogs_Reseau[[#This Row],[Cell_ID]],'CKadeaTelcoRegistre_Maintenance'!A:A,'CKadeaTelcoRegistre_Maintenance'!C:C,"Non repertorié")</f>
        <v>-10.56448</v>
      </c>
      <c r="G368">
        <f>_xlfn.XLOOKUP(CKadeaTelcoLogs_Reseau[[#This Row],[Cell_ID]],'CKadeaTelcoRegistre_Maintenance'!A:A,'CKadeaTelcoRegistre_Maintenance'!D:D,"Non repertorié")</f>
        <v>19.792876</v>
      </c>
      <c r="H368" t="str">
        <f>_xlfn.XLOOKUP(CKadeaTelcoLogs_Reseau[[#This Row],[Cell_ID]],'CKadeaTelcoRegistre_Maintenance'!A:A,'CKadeaTelcoRegistre_Maintenance'!E:E,"Non repertorié")</f>
        <v>5G</v>
      </c>
      <c r="I368" t="str">
        <f>_xlfn.XLOOKUP(CKadeaTelcoLogs_Reseau[[#This Row],[Cell_ID]],'CKadeaTelcoRegistre_Maintenance'!A:A,'CKadeaTelcoRegistre_Maintenance'!F:F,"Non repertorié")</f>
        <v>Ericsson</v>
      </c>
    </row>
    <row r="369" spans="1:9" ht="20.5" customHeight="1" x14ac:dyDescent="0.35">
      <c r="A369" s="1">
        <v>45217.89166666667</v>
      </c>
      <c r="B369" s="5" t="s">
        <v>306</v>
      </c>
      <c r="C369">
        <v>108</v>
      </c>
      <c r="D369" t="s">
        <v>10</v>
      </c>
      <c r="E369" t="str">
        <f>_xlfn.XLOOKUP(CKadeaTelcoLogs_Reseau[[#This Row],[Cell_ID]],'CKadeaTelcoRegistre_Maintenance'!A:A,'CKadeaTelcoRegistre_Maintenance'!B:B,"Non repertorié")</f>
        <v>Mongala</v>
      </c>
      <c r="F369">
        <f>_xlfn.XLOOKUP(CKadeaTelcoLogs_Reseau[[#This Row],[Cell_ID]],'CKadeaTelcoRegistre_Maintenance'!A:A,'CKadeaTelcoRegistre_Maintenance'!C:C,"Non repertorié")</f>
        <v>-5.3762689999999997</v>
      </c>
      <c r="G369">
        <f>_xlfn.XLOOKUP(CKadeaTelcoLogs_Reseau[[#This Row],[Cell_ID]],'CKadeaTelcoRegistre_Maintenance'!A:A,'CKadeaTelcoRegistre_Maintenance'!D:D,"Non repertorié")</f>
        <v>28.189575999999999</v>
      </c>
      <c r="H369" t="str">
        <f>_xlfn.XLOOKUP(CKadeaTelcoLogs_Reseau[[#This Row],[Cell_ID]],'CKadeaTelcoRegistre_Maintenance'!A:A,'CKadeaTelcoRegistre_Maintenance'!E:E,"Non repertorié")</f>
        <v>5G</v>
      </c>
      <c r="I369" t="str">
        <f>_xlfn.XLOOKUP(CKadeaTelcoLogs_Reseau[[#This Row],[Cell_ID]],'CKadeaTelcoRegistre_Maintenance'!A:A,'CKadeaTelcoRegistre_Maintenance'!F:F,"Non repertorié")</f>
        <v>Huawei</v>
      </c>
    </row>
    <row r="370" spans="1:9" ht="20.5" customHeight="1" x14ac:dyDescent="0.35">
      <c r="A370" s="1">
        <v>45209.365277777775</v>
      </c>
      <c r="B370" s="5" t="s">
        <v>307</v>
      </c>
      <c r="C370">
        <v>120</v>
      </c>
      <c r="D370" t="s">
        <v>5</v>
      </c>
      <c r="E370" t="str">
        <f>_xlfn.XLOOKUP(CKadeaTelcoLogs_Reseau[[#This Row],[Cell_ID]],'CKadeaTelcoRegistre_Maintenance'!A:A,'CKadeaTelcoRegistre_Maintenance'!B:B,"Non repertorié")</f>
        <v>Sankuru</v>
      </c>
      <c r="F370">
        <f>_xlfn.XLOOKUP(CKadeaTelcoLogs_Reseau[[#This Row],[Cell_ID]],'CKadeaTelcoRegistre_Maintenance'!A:A,'CKadeaTelcoRegistre_Maintenance'!C:C,"Non repertorié")</f>
        <v>-1.4110389999999999</v>
      </c>
      <c r="G370">
        <f>_xlfn.XLOOKUP(CKadeaTelcoLogs_Reseau[[#This Row],[Cell_ID]],'CKadeaTelcoRegistre_Maintenance'!A:A,'CKadeaTelcoRegistre_Maintenance'!D:D,"Non repertorié")</f>
        <v>21.261644</v>
      </c>
      <c r="H370" t="str">
        <f>_xlfn.XLOOKUP(CKadeaTelcoLogs_Reseau[[#This Row],[Cell_ID]],'CKadeaTelcoRegistre_Maintenance'!A:A,'CKadeaTelcoRegistre_Maintenance'!E:E,"Non repertorié")</f>
        <v>4G</v>
      </c>
      <c r="I370" t="str">
        <f>_xlfn.XLOOKUP(CKadeaTelcoLogs_Reseau[[#This Row],[Cell_ID]],'CKadeaTelcoRegistre_Maintenance'!A:A,'CKadeaTelcoRegistre_Maintenance'!F:F,"Non repertorié")</f>
        <v>ZTE</v>
      </c>
    </row>
    <row r="371" spans="1:9" ht="20.5" customHeight="1" x14ac:dyDescent="0.35">
      <c r="A371" s="1">
        <v>45227.915277777778</v>
      </c>
      <c r="B371" s="5" t="s">
        <v>271</v>
      </c>
      <c r="C371">
        <v>26</v>
      </c>
      <c r="D371" t="s">
        <v>8</v>
      </c>
      <c r="E371" t="str">
        <f>_xlfn.XLOOKUP(CKadeaTelcoLogs_Reseau[[#This Row],[Cell_ID]],'CKadeaTelcoRegistre_Maintenance'!A:A,'CKadeaTelcoRegistre_Maintenance'!B:B,"Non repertorié")</f>
        <v>Ituri</v>
      </c>
      <c r="F371">
        <f>_xlfn.XLOOKUP(CKadeaTelcoLogs_Reseau[[#This Row],[Cell_ID]],'CKadeaTelcoRegistre_Maintenance'!A:A,'CKadeaTelcoRegistre_Maintenance'!C:C,"Non repertorié")</f>
        <v>-3.7720639999999999</v>
      </c>
      <c r="G371">
        <f>_xlfn.XLOOKUP(CKadeaTelcoLogs_Reseau[[#This Row],[Cell_ID]],'CKadeaTelcoRegistre_Maintenance'!A:A,'CKadeaTelcoRegistre_Maintenance'!D:D,"Non repertorié")</f>
        <v>16.006277999999998</v>
      </c>
      <c r="H371" t="str">
        <f>_xlfn.XLOOKUP(CKadeaTelcoLogs_Reseau[[#This Row],[Cell_ID]],'CKadeaTelcoRegistre_Maintenance'!A:A,'CKadeaTelcoRegistre_Maintenance'!E:E,"Non repertorié")</f>
        <v>5G</v>
      </c>
      <c r="I371" t="str">
        <f>_xlfn.XLOOKUP(CKadeaTelcoLogs_Reseau[[#This Row],[Cell_ID]],'CKadeaTelcoRegistre_Maintenance'!A:A,'CKadeaTelcoRegistre_Maintenance'!F:F,"Non repertorié")</f>
        <v>ZTE</v>
      </c>
    </row>
    <row r="372" spans="1:9" ht="20.5" customHeight="1" x14ac:dyDescent="0.35">
      <c r="A372" s="1">
        <v>45219.181250000001</v>
      </c>
      <c r="B372" s="5" t="s">
        <v>262</v>
      </c>
      <c r="C372">
        <v>97</v>
      </c>
      <c r="D372" t="s">
        <v>8</v>
      </c>
      <c r="E372" t="str">
        <f>_xlfn.XLOOKUP(CKadeaTelcoLogs_Reseau[[#This Row],[Cell_ID]],'CKadeaTelcoRegistre_Maintenance'!A:A,'CKadeaTelcoRegistre_Maintenance'!B:B,"Non repertorié")</f>
        <v>Nord-Kivu</v>
      </c>
      <c r="F372">
        <f>_xlfn.XLOOKUP(CKadeaTelcoLogs_Reseau[[#This Row],[Cell_ID]],'CKadeaTelcoRegistre_Maintenance'!A:A,'CKadeaTelcoRegistre_Maintenance'!C:C,"Non repertorié")</f>
        <v>-4.1754939999999996</v>
      </c>
      <c r="G372">
        <f>_xlfn.XLOOKUP(CKadeaTelcoLogs_Reseau[[#This Row],[Cell_ID]],'CKadeaTelcoRegistre_Maintenance'!A:A,'CKadeaTelcoRegistre_Maintenance'!D:D,"Non repertorié")</f>
        <v>16.704664999999999</v>
      </c>
      <c r="H372" t="str">
        <f>_xlfn.XLOOKUP(CKadeaTelcoLogs_Reseau[[#This Row],[Cell_ID]],'CKadeaTelcoRegistre_Maintenance'!A:A,'CKadeaTelcoRegistre_Maintenance'!E:E,"Non repertorié")</f>
        <v>3G</v>
      </c>
      <c r="I372" t="str">
        <f>_xlfn.XLOOKUP(CKadeaTelcoLogs_Reseau[[#This Row],[Cell_ID]],'CKadeaTelcoRegistre_Maintenance'!A:A,'CKadeaTelcoRegistre_Maintenance'!F:F,"Non repertorié")</f>
        <v>Ericsson</v>
      </c>
    </row>
    <row r="373" spans="1:9" ht="20.5" customHeight="1" x14ac:dyDescent="0.35">
      <c r="A373" s="1">
        <v>45202.779166666667</v>
      </c>
      <c r="B373" s="5" t="s">
        <v>308</v>
      </c>
      <c r="C373">
        <v>61</v>
      </c>
      <c r="D373" t="s">
        <v>10</v>
      </c>
      <c r="E373" t="str">
        <f>_xlfn.XLOOKUP(CKadeaTelcoLogs_Reseau[[#This Row],[Cell_ID]],'CKadeaTelcoRegistre_Maintenance'!A:A,'CKadeaTelcoRegistre_Maintenance'!B:B,"Non repertorié")</f>
        <v>Tanganyika</v>
      </c>
      <c r="F373">
        <f>_xlfn.XLOOKUP(CKadeaTelcoLogs_Reseau[[#This Row],[Cell_ID]],'CKadeaTelcoRegistre_Maintenance'!A:A,'CKadeaTelcoRegistre_Maintenance'!C:C,"Non repertorié")</f>
        <v>-12.229338</v>
      </c>
      <c r="G373">
        <f>_xlfn.XLOOKUP(CKadeaTelcoLogs_Reseau[[#This Row],[Cell_ID]],'CKadeaTelcoRegistre_Maintenance'!A:A,'CKadeaTelcoRegistre_Maintenance'!D:D,"Non repertorié")</f>
        <v>29.587834999999998</v>
      </c>
      <c r="H373" t="str">
        <f>_xlfn.XLOOKUP(CKadeaTelcoLogs_Reseau[[#This Row],[Cell_ID]],'CKadeaTelcoRegistre_Maintenance'!A:A,'CKadeaTelcoRegistre_Maintenance'!E:E,"Non repertorié")</f>
        <v>4G</v>
      </c>
      <c r="I373" t="str">
        <f>_xlfn.XLOOKUP(CKadeaTelcoLogs_Reseau[[#This Row],[Cell_ID]],'CKadeaTelcoRegistre_Maintenance'!A:A,'CKadeaTelcoRegistre_Maintenance'!F:F,"Non repertorié")</f>
        <v>Nokia</v>
      </c>
    </row>
    <row r="374" spans="1:9" ht="20.5" customHeight="1" x14ac:dyDescent="0.35">
      <c r="A374" s="1">
        <v>45204.47152777778</v>
      </c>
      <c r="B374" s="5" t="s">
        <v>309</v>
      </c>
      <c r="C374">
        <v>10</v>
      </c>
      <c r="D374" t="s">
        <v>5</v>
      </c>
      <c r="E374" t="str">
        <f>_xlfn.XLOOKUP(CKadeaTelcoLogs_Reseau[[#This Row],[Cell_ID]],'CKadeaTelcoRegistre_Maintenance'!A:A,'CKadeaTelcoRegistre_Maintenance'!B:B,"Non repertorié")</f>
        <v>Nord-Kivu</v>
      </c>
      <c r="F374">
        <f>_xlfn.XLOOKUP(CKadeaTelcoLogs_Reseau[[#This Row],[Cell_ID]],'CKadeaTelcoRegistre_Maintenance'!A:A,'CKadeaTelcoRegistre_Maintenance'!C:C,"Non repertorié")</f>
        <v>4.9455159999999996</v>
      </c>
      <c r="G374">
        <f>_xlfn.XLOOKUP(CKadeaTelcoLogs_Reseau[[#This Row],[Cell_ID]],'CKadeaTelcoRegistre_Maintenance'!A:A,'CKadeaTelcoRegistre_Maintenance'!D:D,"Non repertorié")</f>
        <v>23.647746000000001</v>
      </c>
      <c r="H374" t="str">
        <f>_xlfn.XLOOKUP(CKadeaTelcoLogs_Reseau[[#This Row],[Cell_ID]],'CKadeaTelcoRegistre_Maintenance'!A:A,'CKadeaTelcoRegistre_Maintenance'!E:E,"Non repertorié")</f>
        <v>5G</v>
      </c>
      <c r="I374" t="str">
        <f>_xlfn.XLOOKUP(CKadeaTelcoLogs_Reseau[[#This Row],[Cell_ID]],'CKadeaTelcoRegistre_Maintenance'!A:A,'CKadeaTelcoRegistre_Maintenance'!F:F,"Non repertorié")</f>
        <v>Huawei</v>
      </c>
    </row>
    <row r="375" spans="1:9" ht="20.5" customHeight="1" x14ac:dyDescent="0.35">
      <c r="A375" s="1">
        <v>45230.863888888889</v>
      </c>
      <c r="B375" s="5" t="s">
        <v>310</v>
      </c>
      <c r="C375">
        <v>57</v>
      </c>
      <c r="D375" t="s">
        <v>5</v>
      </c>
      <c r="E375" t="str">
        <f>_xlfn.XLOOKUP(CKadeaTelcoLogs_Reseau[[#This Row],[Cell_ID]],'CKadeaTelcoRegistre_Maintenance'!A:A,'CKadeaTelcoRegistre_Maintenance'!B:B,"Non repertorié")</f>
        <v>Sud-Kivu</v>
      </c>
      <c r="F375">
        <f>_xlfn.XLOOKUP(CKadeaTelcoLogs_Reseau[[#This Row],[Cell_ID]],'CKadeaTelcoRegistre_Maintenance'!A:A,'CKadeaTelcoRegistre_Maintenance'!C:C,"Non repertorié")</f>
        <v>-4.1694589999999998</v>
      </c>
      <c r="G375">
        <f>_xlfn.XLOOKUP(CKadeaTelcoLogs_Reseau[[#This Row],[Cell_ID]],'CKadeaTelcoRegistre_Maintenance'!A:A,'CKadeaTelcoRegistre_Maintenance'!D:D,"Non repertorié")</f>
        <v>23.376487000000001</v>
      </c>
      <c r="H375" t="str">
        <f>_xlfn.XLOOKUP(CKadeaTelcoLogs_Reseau[[#This Row],[Cell_ID]],'CKadeaTelcoRegistre_Maintenance'!A:A,'CKadeaTelcoRegistre_Maintenance'!E:E,"Non repertorié")</f>
        <v>3G</v>
      </c>
      <c r="I375" t="str">
        <f>_xlfn.XLOOKUP(CKadeaTelcoLogs_Reseau[[#This Row],[Cell_ID]],'CKadeaTelcoRegistre_Maintenance'!A:A,'CKadeaTelcoRegistre_Maintenance'!F:F,"Non repertorié")</f>
        <v>Nokia</v>
      </c>
    </row>
    <row r="376" spans="1:9" ht="20.5" customHeight="1" x14ac:dyDescent="0.35">
      <c r="A376" s="1">
        <v>45221.505555555559</v>
      </c>
      <c r="B376" s="5" t="s">
        <v>311</v>
      </c>
      <c r="C376">
        <v>51</v>
      </c>
      <c r="D376" t="s">
        <v>5</v>
      </c>
      <c r="E376" t="str">
        <f>_xlfn.XLOOKUP(CKadeaTelcoLogs_Reseau[[#This Row],[Cell_ID]],'CKadeaTelcoRegistre_Maintenance'!A:A,'CKadeaTelcoRegistre_Maintenance'!B:B,"Non repertorié")</f>
        <v>Mongala</v>
      </c>
      <c r="F376">
        <f>_xlfn.XLOOKUP(CKadeaTelcoLogs_Reseau[[#This Row],[Cell_ID]],'CKadeaTelcoRegistre_Maintenance'!A:A,'CKadeaTelcoRegistre_Maintenance'!C:C,"Non repertorié")</f>
        <v>-1.231033</v>
      </c>
      <c r="G376">
        <f>_xlfn.XLOOKUP(CKadeaTelcoLogs_Reseau[[#This Row],[Cell_ID]],'CKadeaTelcoRegistre_Maintenance'!A:A,'CKadeaTelcoRegistre_Maintenance'!D:D,"Non repertorié")</f>
        <v>28.851388</v>
      </c>
      <c r="H376" t="str">
        <f>_xlfn.XLOOKUP(CKadeaTelcoLogs_Reseau[[#This Row],[Cell_ID]],'CKadeaTelcoRegistre_Maintenance'!A:A,'CKadeaTelcoRegistre_Maintenance'!E:E,"Non repertorié")</f>
        <v>3G</v>
      </c>
      <c r="I376" t="str">
        <f>_xlfn.XLOOKUP(CKadeaTelcoLogs_Reseau[[#This Row],[Cell_ID]],'CKadeaTelcoRegistre_Maintenance'!A:A,'CKadeaTelcoRegistre_Maintenance'!F:F,"Non repertorié")</f>
        <v>Ericsson</v>
      </c>
    </row>
    <row r="377" spans="1:9" ht="20.5" customHeight="1" x14ac:dyDescent="0.35">
      <c r="A377" s="1">
        <v>45219.920138888891</v>
      </c>
      <c r="B377" s="5" t="s">
        <v>312</v>
      </c>
      <c r="C377">
        <v>91</v>
      </c>
      <c r="D377" t="s">
        <v>10</v>
      </c>
      <c r="E377" t="str">
        <f>_xlfn.XLOOKUP(CKadeaTelcoLogs_Reseau[[#This Row],[Cell_ID]],'CKadeaTelcoRegistre_Maintenance'!A:A,'CKadeaTelcoRegistre_Maintenance'!B:B,"Non repertorié")</f>
        <v>Non repertorié</v>
      </c>
      <c r="F377" t="str">
        <f>_xlfn.XLOOKUP(CKadeaTelcoLogs_Reseau[[#This Row],[Cell_ID]],'CKadeaTelcoRegistre_Maintenance'!A:A,'CKadeaTelcoRegistre_Maintenance'!C:C,"Non repertorié")</f>
        <v>Non repertorié</v>
      </c>
      <c r="G377" t="str">
        <f>_xlfn.XLOOKUP(CKadeaTelcoLogs_Reseau[[#This Row],[Cell_ID]],'CKadeaTelcoRegistre_Maintenance'!A:A,'CKadeaTelcoRegistre_Maintenance'!D:D,"Non repertorié")</f>
        <v>Non repertorié</v>
      </c>
      <c r="H377" t="str">
        <f>_xlfn.XLOOKUP(CKadeaTelcoLogs_Reseau[[#This Row],[Cell_ID]],'CKadeaTelcoRegistre_Maintenance'!A:A,'CKadeaTelcoRegistre_Maintenance'!E:E,"Non repertorié")</f>
        <v>Non repertorié</v>
      </c>
      <c r="I377" t="str">
        <f>_xlfn.XLOOKUP(CKadeaTelcoLogs_Reseau[[#This Row],[Cell_ID]],'CKadeaTelcoRegistre_Maintenance'!A:A,'CKadeaTelcoRegistre_Maintenance'!F:F,"Non repertorié")</f>
        <v>Non repertorié</v>
      </c>
    </row>
    <row r="378" spans="1:9" ht="20.5" customHeight="1" x14ac:dyDescent="0.35">
      <c r="A378" s="1">
        <v>45209.724999999999</v>
      </c>
      <c r="B378" s="5" t="s">
        <v>313</v>
      </c>
      <c r="C378">
        <v>97</v>
      </c>
      <c r="D378" t="s">
        <v>10</v>
      </c>
      <c r="E378" t="str">
        <f>_xlfn.XLOOKUP(CKadeaTelcoLogs_Reseau[[#This Row],[Cell_ID]],'CKadeaTelcoRegistre_Maintenance'!A:A,'CKadeaTelcoRegistre_Maintenance'!B:B,"Non repertorié")</f>
        <v>Non repertorié</v>
      </c>
      <c r="F378" t="str">
        <f>_xlfn.XLOOKUP(CKadeaTelcoLogs_Reseau[[#This Row],[Cell_ID]],'CKadeaTelcoRegistre_Maintenance'!A:A,'CKadeaTelcoRegistre_Maintenance'!C:C,"Non repertorié")</f>
        <v>Non repertorié</v>
      </c>
      <c r="G378" t="str">
        <f>_xlfn.XLOOKUP(CKadeaTelcoLogs_Reseau[[#This Row],[Cell_ID]],'CKadeaTelcoRegistre_Maintenance'!A:A,'CKadeaTelcoRegistre_Maintenance'!D:D,"Non repertorié")</f>
        <v>Non repertorié</v>
      </c>
      <c r="H378" t="str">
        <f>_xlfn.XLOOKUP(CKadeaTelcoLogs_Reseau[[#This Row],[Cell_ID]],'CKadeaTelcoRegistre_Maintenance'!A:A,'CKadeaTelcoRegistre_Maintenance'!E:E,"Non repertorié")</f>
        <v>Non repertorié</v>
      </c>
      <c r="I378" t="str">
        <f>_xlfn.XLOOKUP(CKadeaTelcoLogs_Reseau[[#This Row],[Cell_ID]],'CKadeaTelcoRegistre_Maintenance'!A:A,'CKadeaTelcoRegistre_Maintenance'!F:F,"Non repertorié")</f>
        <v>Non repertorié</v>
      </c>
    </row>
    <row r="379" spans="1:9" ht="20.5" customHeight="1" x14ac:dyDescent="0.35">
      <c r="A379" s="1">
        <v>45220.452777777777</v>
      </c>
      <c r="B379" s="5" t="s">
        <v>314</v>
      </c>
      <c r="C379">
        <v>35</v>
      </c>
      <c r="D379" t="s">
        <v>8</v>
      </c>
      <c r="E379" t="str">
        <f>_xlfn.XLOOKUP(CKadeaTelcoLogs_Reseau[[#This Row],[Cell_ID]],'CKadeaTelcoRegistre_Maintenance'!A:A,'CKadeaTelcoRegistre_Maintenance'!B:B,"Non repertorié")</f>
        <v>Non repertorié</v>
      </c>
      <c r="F379" t="str">
        <f>_xlfn.XLOOKUP(CKadeaTelcoLogs_Reseau[[#This Row],[Cell_ID]],'CKadeaTelcoRegistre_Maintenance'!A:A,'CKadeaTelcoRegistre_Maintenance'!C:C,"Non repertorié")</f>
        <v>Non repertorié</v>
      </c>
      <c r="G379" t="str">
        <f>_xlfn.XLOOKUP(CKadeaTelcoLogs_Reseau[[#This Row],[Cell_ID]],'CKadeaTelcoRegistre_Maintenance'!A:A,'CKadeaTelcoRegistre_Maintenance'!D:D,"Non repertorié")</f>
        <v>Non repertorié</v>
      </c>
      <c r="H379" t="str">
        <f>_xlfn.XLOOKUP(CKadeaTelcoLogs_Reseau[[#This Row],[Cell_ID]],'CKadeaTelcoRegistre_Maintenance'!A:A,'CKadeaTelcoRegistre_Maintenance'!E:E,"Non repertorié")</f>
        <v>Non repertorié</v>
      </c>
      <c r="I379" t="str">
        <f>_xlfn.XLOOKUP(CKadeaTelcoLogs_Reseau[[#This Row],[Cell_ID]],'CKadeaTelcoRegistre_Maintenance'!A:A,'CKadeaTelcoRegistre_Maintenance'!F:F,"Non repertorié")</f>
        <v>Non repertorié</v>
      </c>
    </row>
    <row r="380" spans="1:9" ht="20.5" customHeight="1" x14ac:dyDescent="0.35">
      <c r="A380" s="1">
        <v>45204.905555555553</v>
      </c>
      <c r="B380" s="5" t="s">
        <v>315</v>
      </c>
      <c r="C380">
        <v>61</v>
      </c>
      <c r="D380" t="s">
        <v>5</v>
      </c>
      <c r="E380" t="str">
        <f>_xlfn.XLOOKUP(CKadeaTelcoLogs_Reseau[[#This Row],[Cell_ID]],'CKadeaTelcoRegistre_Maintenance'!A:A,'CKadeaTelcoRegistre_Maintenance'!B:B,"Non repertorié")</f>
        <v>Bas-Uele</v>
      </c>
      <c r="F380">
        <f>_xlfn.XLOOKUP(CKadeaTelcoLogs_Reseau[[#This Row],[Cell_ID]],'CKadeaTelcoRegistre_Maintenance'!A:A,'CKadeaTelcoRegistre_Maintenance'!C:C,"Non repertorié")</f>
        <v>4.497306</v>
      </c>
      <c r="G380">
        <f>_xlfn.XLOOKUP(CKadeaTelcoLogs_Reseau[[#This Row],[Cell_ID]],'CKadeaTelcoRegistre_Maintenance'!A:A,'CKadeaTelcoRegistre_Maintenance'!D:D,"Non repertorié")</f>
        <v>12.857251</v>
      </c>
      <c r="H380" t="str">
        <f>_xlfn.XLOOKUP(CKadeaTelcoLogs_Reseau[[#This Row],[Cell_ID]],'CKadeaTelcoRegistre_Maintenance'!A:A,'CKadeaTelcoRegistre_Maintenance'!E:E,"Non repertorié")</f>
        <v>5G</v>
      </c>
      <c r="I380" t="str">
        <f>_xlfn.XLOOKUP(CKadeaTelcoLogs_Reseau[[#This Row],[Cell_ID]],'CKadeaTelcoRegistre_Maintenance'!A:A,'CKadeaTelcoRegistre_Maintenance'!F:F,"Non repertorié")</f>
        <v>Ericsson</v>
      </c>
    </row>
    <row r="381" spans="1:9" ht="20.5" customHeight="1" x14ac:dyDescent="0.35">
      <c r="A381" s="1">
        <v>45226.988194444442</v>
      </c>
      <c r="B381" s="5" t="s">
        <v>316</v>
      </c>
      <c r="C381">
        <v>83</v>
      </c>
      <c r="D381" t="s">
        <v>8</v>
      </c>
      <c r="E381" t="str">
        <f>_xlfn.XLOOKUP(CKadeaTelcoLogs_Reseau[[#This Row],[Cell_ID]],'CKadeaTelcoRegistre_Maintenance'!A:A,'CKadeaTelcoRegistre_Maintenance'!B:B,"Non repertorié")</f>
        <v>Non repertorié</v>
      </c>
      <c r="F381" t="str">
        <f>_xlfn.XLOOKUP(CKadeaTelcoLogs_Reseau[[#This Row],[Cell_ID]],'CKadeaTelcoRegistre_Maintenance'!A:A,'CKadeaTelcoRegistre_Maintenance'!C:C,"Non repertorié")</f>
        <v>Non repertorié</v>
      </c>
      <c r="G381" t="str">
        <f>_xlfn.XLOOKUP(CKadeaTelcoLogs_Reseau[[#This Row],[Cell_ID]],'CKadeaTelcoRegistre_Maintenance'!A:A,'CKadeaTelcoRegistre_Maintenance'!D:D,"Non repertorié")</f>
        <v>Non repertorié</v>
      </c>
      <c r="H381" t="str">
        <f>_xlfn.XLOOKUP(CKadeaTelcoLogs_Reseau[[#This Row],[Cell_ID]],'CKadeaTelcoRegistre_Maintenance'!A:A,'CKadeaTelcoRegistre_Maintenance'!E:E,"Non repertorié")</f>
        <v>Non repertorié</v>
      </c>
      <c r="I381" t="str">
        <f>_xlfn.XLOOKUP(CKadeaTelcoLogs_Reseau[[#This Row],[Cell_ID]],'CKadeaTelcoRegistre_Maintenance'!A:A,'CKadeaTelcoRegistre_Maintenance'!F:F,"Non repertorié")</f>
        <v>Non repertorié</v>
      </c>
    </row>
    <row r="382" spans="1:9" ht="20.5" customHeight="1" x14ac:dyDescent="0.35">
      <c r="A382" s="1">
        <v>45229.670138888891</v>
      </c>
      <c r="B382" s="5" t="s">
        <v>317</v>
      </c>
      <c r="C382">
        <v>41</v>
      </c>
      <c r="D382" t="s">
        <v>10</v>
      </c>
      <c r="E382" t="str">
        <f>_xlfn.XLOOKUP(CKadeaTelcoLogs_Reseau[[#This Row],[Cell_ID]],'CKadeaTelcoRegistre_Maintenance'!A:A,'CKadeaTelcoRegistre_Maintenance'!B:B,"Non repertorié")</f>
        <v>Haut-Lomami</v>
      </c>
      <c r="F382">
        <f>_xlfn.XLOOKUP(CKadeaTelcoLogs_Reseau[[#This Row],[Cell_ID]],'CKadeaTelcoRegistre_Maintenance'!A:A,'CKadeaTelcoRegistre_Maintenance'!C:C,"Non repertorié")</f>
        <v>-7.1785899999999998</v>
      </c>
      <c r="G382">
        <f>_xlfn.XLOOKUP(CKadeaTelcoLogs_Reseau[[#This Row],[Cell_ID]],'CKadeaTelcoRegistre_Maintenance'!A:A,'CKadeaTelcoRegistre_Maintenance'!D:D,"Non repertorié")</f>
        <v>24.4404</v>
      </c>
      <c r="H382" t="str">
        <f>_xlfn.XLOOKUP(CKadeaTelcoLogs_Reseau[[#This Row],[Cell_ID]],'CKadeaTelcoRegistre_Maintenance'!A:A,'CKadeaTelcoRegistre_Maintenance'!E:E,"Non repertorié")</f>
        <v>4G</v>
      </c>
      <c r="I382" t="str">
        <f>_xlfn.XLOOKUP(CKadeaTelcoLogs_Reseau[[#This Row],[Cell_ID]],'CKadeaTelcoRegistre_Maintenance'!A:A,'CKadeaTelcoRegistre_Maintenance'!F:F,"Non repertorié")</f>
        <v>Nokia</v>
      </c>
    </row>
    <row r="383" spans="1:9" ht="20.5" customHeight="1" x14ac:dyDescent="0.35">
      <c r="A383" s="1">
        <v>45220.893750000003</v>
      </c>
      <c r="B383" s="5" t="s">
        <v>318</v>
      </c>
      <c r="C383">
        <v>101</v>
      </c>
      <c r="D383" t="s">
        <v>10</v>
      </c>
      <c r="E383" t="str">
        <f>_xlfn.XLOOKUP(CKadeaTelcoLogs_Reseau[[#This Row],[Cell_ID]],'CKadeaTelcoRegistre_Maintenance'!A:A,'CKadeaTelcoRegistre_Maintenance'!B:B,"Non repertorié")</f>
        <v>Bas-Uele</v>
      </c>
      <c r="F383">
        <f>_xlfn.XLOOKUP(CKadeaTelcoLogs_Reseau[[#This Row],[Cell_ID]],'CKadeaTelcoRegistre_Maintenance'!A:A,'CKadeaTelcoRegistre_Maintenance'!C:C,"Non repertorié")</f>
        <v>-2.2876210000000001</v>
      </c>
      <c r="G383">
        <f>_xlfn.XLOOKUP(CKadeaTelcoLogs_Reseau[[#This Row],[Cell_ID]],'CKadeaTelcoRegistre_Maintenance'!A:A,'CKadeaTelcoRegistre_Maintenance'!D:D,"Non repertorié")</f>
        <v>27.582545</v>
      </c>
      <c r="H383" t="str">
        <f>_xlfn.XLOOKUP(CKadeaTelcoLogs_Reseau[[#This Row],[Cell_ID]],'CKadeaTelcoRegistre_Maintenance'!A:A,'CKadeaTelcoRegistre_Maintenance'!E:E,"Non repertorié")</f>
        <v>4G</v>
      </c>
      <c r="I383" t="str">
        <f>_xlfn.XLOOKUP(CKadeaTelcoLogs_Reseau[[#This Row],[Cell_ID]],'CKadeaTelcoRegistre_Maintenance'!A:A,'CKadeaTelcoRegistre_Maintenance'!F:F,"Non repertorié")</f>
        <v>Huawei</v>
      </c>
    </row>
    <row r="384" spans="1:9" ht="20.5" customHeight="1" x14ac:dyDescent="0.35">
      <c r="A384" s="1">
        <v>45216.459027777775</v>
      </c>
      <c r="B384" s="5" t="s">
        <v>150</v>
      </c>
      <c r="C384">
        <v>100</v>
      </c>
      <c r="D384" t="s">
        <v>8</v>
      </c>
      <c r="E384" t="str">
        <f>_xlfn.XLOOKUP(CKadeaTelcoLogs_Reseau[[#This Row],[Cell_ID]],'CKadeaTelcoRegistre_Maintenance'!A:A,'CKadeaTelcoRegistre_Maintenance'!B:B,"Non repertorié")</f>
        <v>Non repertorié</v>
      </c>
      <c r="F384" t="str">
        <f>_xlfn.XLOOKUP(CKadeaTelcoLogs_Reseau[[#This Row],[Cell_ID]],'CKadeaTelcoRegistre_Maintenance'!A:A,'CKadeaTelcoRegistre_Maintenance'!C:C,"Non repertorié")</f>
        <v>Non repertorié</v>
      </c>
      <c r="G384" t="str">
        <f>_xlfn.XLOOKUP(CKadeaTelcoLogs_Reseau[[#This Row],[Cell_ID]],'CKadeaTelcoRegistre_Maintenance'!A:A,'CKadeaTelcoRegistre_Maintenance'!D:D,"Non repertorié")</f>
        <v>Non repertorié</v>
      </c>
      <c r="H384" t="str">
        <f>_xlfn.XLOOKUP(CKadeaTelcoLogs_Reseau[[#This Row],[Cell_ID]],'CKadeaTelcoRegistre_Maintenance'!A:A,'CKadeaTelcoRegistre_Maintenance'!E:E,"Non repertorié")</f>
        <v>Non repertorié</v>
      </c>
      <c r="I384" t="str">
        <f>_xlfn.XLOOKUP(CKadeaTelcoLogs_Reseau[[#This Row],[Cell_ID]],'CKadeaTelcoRegistre_Maintenance'!A:A,'CKadeaTelcoRegistre_Maintenance'!F:F,"Non repertorié")</f>
        <v>Non repertorié</v>
      </c>
    </row>
    <row r="385" spans="1:9" ht="20.5" customHeight="1" x14ac:dyDescent="0.35">
      <c r="A385" s="1">
        <v>45211.382638888892</v>
      </c>
      <c r="B385" s="5" t="s">
        <v>59</v>
      </c>
      <c r="C385">
        <v>105</v>
      </c>
      <c r="D385" t="s">
        <v>5</v>
      </c>
      <c r="E385" t="str">
        <f>_xlfn.XLOOKUP(CKadeaTelcoLogs_Reseau[[#This Row],[Cell_ID]],'CKadeaTelcoRegistre_Maintenance'!A:A,'CKadeaTelcoRegistre_Maintenance'!B:B,"Non repertorié")</f>
        <v>Non repertorié</v>
      </c>
      <c r="F385" t="str">
        <f>_xlfn.XLOOKUP(CKadeaTelcoLogs_Reseau[[#This Row],[Cell_ID]],'CKadeaTelcoRegistre_Maintenance'!A:A,'CKadeaTelcoRegistre_Maintenance'!C:C,"Non repertorié")</f>
        <v>Non repertorié</v>
      </c>
      <c r="G385" t="str">
        <f>_xlfn.XLOOKUP(CKadeaTelcoLogs_Reseau[[#This Row],[Cell_ID]],'CKadeaTelcoRegistre_Maintenance'!A:A,'CKadeaTelcoRegistre_Maintenance'!D:D,"Non repertorié")</f>
        <v>Non repertorié</v>
      </c>
      <c r="H385" t="str">
        <f>_xlfn.XLOOKUP(CKadeaTelcoLogs_Reseau[[#This Row],[Cell_ID]],'CKadeaTelcoRegistre_Maintenance'!A:A,'CKadeaTelcoRegistre_Maintenance'!E:E,"Non repertorié")</f>
        <v>Non repertorié</v>
      </c>
      <c r="I385" t="str">
        <f>_xlfn.XLOOKUP(CKadeaTelcoLogs_Reseau[[#This Row],[Cell_ID]],'CKadeaTelcoRegistre_Maintenance'!A:A,'CKadeaTelcoRegistre_Maintenance'!F:F,"Non repertorié")</f>
        <v>Non repertorié</v>
      </c>
    </row>
    <row r="386" spans="1:9" ht="20.5" customHeight="1" x14ac:dyDescent="0.35">
      <c r="A386" s="1">
        <v>45230.26458333333</v>
      </c>
      <c r="B386" s="5" t="s">
        <v>319</v>
      </c>
      <c r="C386">
        <v>62</v>
      </c>
      <c r="D386" t="s">
        <v>5</v>
      </c>
      <c r="E386" t="str">
        <f>_xlfn.XLOOKUP(CKadeaTelcoLogs_Reseau[[#This Row],[Cell_ID]],'CKadeaTelcoRegistre_Maintenance'!A:A,'CKadeaTelcoRegistre_Maintenance'!B:B,"Non repertorié")</f>
        <v>Mongala</v>
      </c>
      <c r="F386">
        <f>_xlfn.XLOOKUP(CKadeaTelcoLogs_Reseau[[#This Row],[Cell_ID]],'CKadeaTelcoRegistre_Maintenance'!A:A,'CKadeaTelcoRegistre_Maintenance'!C:C,"Non repertorié")</f>
        <v>3.6344850000000002</v>
      </c>
      <c r="G386">
        <f>_xlfn.XLOOKUP(CKadeaTelcoLogs_Reseau[[#This Row],[Cell_ID]],'CKadeaTelcoRegistre_Maintenance'!A:A,'CKadeaTelcoRegistre_Maintenance'!D:D,"Non repertorié")</f>
        <v>12.158348999999999</v>
      </c>
      <c r="H386" t="str">
        <f>_xlfn.XLOOKUP(CKadeaTelcoLogs_Reseau[[#This Row],[Cell_ID]],'CKadeaTelcoRegistre_Maintenance'!A:A,'CKadeaTelcoRegistre_Maintenance'!E:E,"Non repertorié")</f>
        <v>5G</v>
      </c>
      <c r="I386" t="str">
        <f>_xlfn.XLOOKUP(CKadeaTelcoLogs_Reseau[[#This Row],[Cell_ID]],'CKadeaTelcoRegistre_Maintenance'!A:A,'CKadeaTelcoRegistre_Maintenance'!F:F,"Non repertorié")</f>
        <v>Ericsson</v>
      </c>
    </row>
    <row r="387" spans="1:9" ht="20.5" customHeight="1" x14ac:dyDescent="0.35">
      <c r="A387" s="1">
        <v>45230.633333333331</v>
      </c>
      <c r="B387" s="5" t="s">
        <v>320</v>
      </c>
      <c r="C387">
        <v>34</v>
      </c>
      <c r="D387" t="s">
        <v>5</v>
      </c>
      <c r="E387" t="str">
        <f>_xlfn.XLOOKUP(CKadeaTelcoLogs_Reseau[[#This Row],[Cell_ID]],'CKadeaTelcoRegistre_Maintenance'!A:A,'CKadeaTelcoRegistre_Maintenance'!B:B,"Non repertorié")</f>
        <v>Kasai-Oriental</v>
      </c>
      <c r="F387">
        <f>_xlfn.XLOOKUP(CKadeaTelcoLogs_Reseau[[#This Row],[Cell_ID]],'CKadeaTelcoRegistre_Maintenance'!A:A,'CKadeaTelcoRegistre_Maintenance'!C:C,"Non repertorié")</f>
        <v>2.486888</v>
      </c>
      <c r="G387">
        <f>_xlfn.XLOOKUP(CKadeaTelcoLogs_Reseau[[#This Row],[Cell_ID]],'CKadeaTelcoRegistre_Maintenance'!A:A,'CKadeaTelcoRegistre_Maintenance'!D:D,"Non repertorié")</f>
        <v>23.798074</v>
      </c>
      <c r="H387" t="str">
        <f>_xlfn.XLOOKUP(CKadeaTelcoLogs_Reseau[[#This Row],[Cell_ID]],'CKadeaTelcoRegistre_Maintenance'!A:A,'CKadeaTelcoRegistre_Maintenance'!E:E,"Non repertorié")</f>
        <v>5G</v>
      </c>
      <c r="I387" t="str">
        <f>_xlfn.XLOOKUP(CKadeaTelcoLogs_Reseau[[#This Row],[Cell_ID]],'CKadeaTelcoRegistre_Maintenance'!A:A,'CKadeaTelcoRegistre_Maintenance'!F:F,"Non repertorié")</f>
        <v>ZTE</v>
      </c>
    </row>
    <row r="388" spans="1:9" ht="20.5" customHeight="1" x14ac:dyDescent="0.35">
      <c r="A388" s="1">
        <v>45207.17291666667</v>
      </c>
      <c r="B388" s="5" t="s">
        <v>321</v>
      </c>
      <c r="C388">
        <v>73</v>
      </c>
      <c r="D388" t="s">
        <v>10</v>
      </c>
      <c r="E388" t="str">
        <f>_xlfn.XLOOKUP(CKadeaTelcoLogs_Reseau[[#This Row],[Cell_ID]],'CKadeaTelcoRegistre_Maintenance'!A:A,'CKadeaTelcoRegistre_Maintenance'!B:B,"Non repertorié")</f>
        <v>Non repertorié</v>
      </c>
      <c r="F388" t="str">
        <f>_xlfn.XLOOKUP(CKadeaTelcoLogs_Reseau[[#This Row],[Cell_ID]],'CKadeaTelcoRegistre_Maintenance'!A:A,'CKadeaTelcoRegistre_Maintenance'!C:C,"Non repertorié")</f>
        <v>Non repertorié</v>
      </c>
      <c r="G388" t="str">
        <f>_xlfn.XLOOKUP(CKadeaTelcoLogs_Reseau[[#This Row],[Cell_ID]],'CKadeaTelcoRegistre_Maintenance'!A:A,'CKadeaTelcoRegistre_Maintenance'!D:D,"Non repertorié")</f>
        <v>Non repertorié</v>
      </c>
      <c r="H388" t="str">
        <f>_xlfn.XLOOKUP(CKadeaTelcoLogs_Reseau[[#This Row],[Cell_ID]],'CKadeaTelcoRegistre_Maintenance'!A:A,'CKadeaTelcoRegistre_Maintenance'!E:E,"Non repertorié")</f>
        <v>Non repertorié</v>
      </c>
      <c r="I388" t="str">
        <f>_xlfn.XLOOKUP(CKadeaTelcoLogs_Reseau[[#This Row],[Cell_ID]],'CKadeaTelcoRegistre_Maintenance'!A:A,'CKadeaTelcoRegistre_Maintenance'!F:F,"Non repertorié")</f>
        <v>Non repertorié</v>
      </c>
    </row>
    <row r="389" spans="1:9" ht="20.5" customHeight="1" x14ac:dyDescent="0.35">
      <c r="A389" s="1">
        <v>45202.412499999999</v>
      </c>
      <c r="B389" s="5" t="s">
        <v>322</v>
      </c>
      <c r="C389">
        <v>35</v>
      </c>
      <c r="D389" t="s">
        <v>5</v>
      </c>
      <c r="E389" t="str">
        <f>_xlfn.XLOOKUP(CKadeaTelcoLogs_Reseau[[#This Row],[Cell_ID]],'CKadeaTelcoRegistre_Maintenance'!A:A,'CKadeaTelcoRegistre_Maintenance'!B:B,"Non repertorié")</f>
        <v>Bas-Uele</v>
      </c>
      <c r="F389">
        <f>_xlfn.XLOOKUP(CKadeaTelcoLogs_Reseau[[#This Row],[Cell_ID]],'CKadeaTelcoRegistre_Maintenance'!A:A,'CKadeaTelcoRegistre_Maintenance'!C:C,"Non repertorié")</f>
        <v>-6.4197189999999997</v>
      </c>
      <c r="G389">
        <f>_xlfn.XLOOKUP(CKadeaTelcoLogs_Reseau[[#This Row],[Cell_ID]],'CKadeaTelcoRegistre_Maintenance'!A:A,'CKadeaTelcoRegistre_Maintenance'!D:D,"Non repertorié")</f>
        <v>22.287264</v>
      </c>
      <c r="H389" t="str">
        <f>_xlfn.XLOOKUP(CKadeaTelcoLogs_Reseau[[#This Row],[Cell_ID]],'CKadeaTelcoRegistre_Maintenance'!A:A,'CKadeaTelcoRegistre_Maintenance'!E:E,"Non repertorié")</f>
        <v>3G</v>
      </c>
      <c r="I389" t="str">
        <f>_xlfn.XLOOKUP(CKadeaTelcoLogs_Reseau[[#This Row],[Cell_ID]],'CKadeaTelcoRegistre_Maintenance'!A:A,'CKadeaTelcoRegistre_Maintenance'!F:F,"Non repertorié")</f>
        <v>Ericsson</v>
      </c>
    </row>
    <row r="390" spans="1:9" ht="20.5" customHeight="1" x14ac:dyDescent="0.35">
      <c r="A390" s="1">
        <v>45225.147222222222</v>
      </c>
      <c r="B390" s="5" t="s">
        <v>323</v>
      </c>
      <c r="C390">
        <v>44</v>
      </c>
      <c r="D390" t="s">
        <v>5</v>
      </c>
      <c r="E390" t="str">
        <f>_xlfn.XLOOKUP(CKadeaTelcoLogs_Reseau[[#This Row],[Cell_ID]],'CKadeaTelcoRegistre_Maintenance'!A:A,'CKadeaTelcoRegistre_Maintenance'!B:B,"Non repertorié")</f>
        <v>Sud-Kivu</v>
      </c>
      <c r="F390">
        <f>_xlfn.XLOOKUP(CKadeaTelcoLogs_Reseau[[#This Row],[Cell_ID]],'CKadeaTelcoRegistre_Maintenance'!A:A,'CKadeaTelcoRegistre_Maintenance'!C:C,"Non repertorié")</f>
        <v>4.2904629999999999</v>
      </c>
      <c r="G390">
        <f>_xlfn.XLOOKUP(CKadeaTelcoLogs_Reseau[[#This Row],[Cell_ID]],'CKadeaTelcoRegistre_Maintenance'!A:A,'CKadeaTelcoRegistre_Maintenance'!D:D,"Non repertorié")</f>
        <v>26.354195000000001</v>
      </c>
      <c r="H390" t="str">
        <f>_xlfn.XLOOKUP(CKadeaTelcoLogs_Reseau[[#This Row],[Cell_ID]],'CKadeaTelcoRegistre_Maintenance'!A:A,'CKadeaTelcoRegistre_Maintenance'!E:E,"Non repertorié")</f>
        <v>3G</v>
      </c>
      <c r="I390" t="str">
        <f>_xlfn.XLOOKUP(CKadeaTelcoLogs_Reseau[[#This Row],[Cell_ID]],'CKadeaTelcoRegistre_Maintenance'!A:A,'CKadeaTelcoRegistre_Maintenance'!F:F,"Non repertorié")</f>
        <v>Ericsson</v>
      </c>
    </row>
    <row r="391" spans="1:9" ht="20.5" customHeight="1" x14ac:dyDescent="0.35">
      <c r="A391" s="1">
        <v>45207.379861111112</v>
      </c>
      <c r="B391" s="5" t="s">
        <v>248</v>
      </c>
      <c r="C391">
        <v>118</v>
      </c>
      <c r="D391" t="s">
        <v>10</v>
      </c>
      <c r="E391" t="str">
        <f>_xlfn.XLOOKUP(CKadeaTelcoLogs_Reseau[[#This Row],[Cell_ID]],'CKadeaTelcoRegistre_Maintenance'!A:A,'CKadeaTelcoRegistre_Maintenance'!B:B,"Non repertorié")</f>
        <v>Non repertorié</v>
      </c>
      <c r="F391" t="str">
        <f>_xlfn.XLOOKUP(CKadeaTelcoLogs_Reseau[[#This Row],[Cell_ID]],'CKadeaTelcoRegistre_Maintenance'!A:A,'CKadeaTelcoRegistre_Maintenance'!C:C,"Non repertorié")</f>
        <v>Non repertorié</v>
      </c>
      <c r="G391" t="str">
        <f>_xlfn.XLOOKUP(CKadeaTelcoLogs_Reseau[[#This Row],[Cell_ID]],'CKadeaTelcoRegistre_Maintenance'!A:A,'CKadeaTelcoRegistre_Maintenance'!D:D,"Non repertorié")</f>
        <v>Non repertorié</v>
      </c>
      <c r="H391" t="str">
        <f>_xlfn.XLOOKUP(CKadeaTelcoLogs_Reseau[[#This Row],[Cell_ID]],'CKadeaTelcoRegistre_Maintenance'!A:A,'CKadeaTelcoRegistre_Maintenance'!E:E,"Non repertorié")</f>
        <v>Non repertorié</v>
      </c>
      <c r="I391" t="str">
        <f>_xlfn.XLOOKUP(CKadeaTelcoLogs_Reseau[[#This Row],[Cell_ID]],'CKadeaTelcoRegistre_Maintenance'!A:A,'CKadeaTelcoRegistre_Maintenance'!F:F,"Non repertorié")</f>
        <v>Non repertorié</v>
      </c>
    </row>
    <row r="392" spans="1:9" ht="20.5" customHeight="1" x14ac:dyDescent="0.35">
      <c r="A392" s="1">
        <v>45201.30972222222</v>
      </c>
      <c r="B392" s="5" t="s">
        <v>324</v>
      </c>
      <c r="C392">
        <v>56</v>
      </c>
      <c r="D392" t="s">
        <v>10</v>
      </c>
      <c r="E392" t="str">
        <f>_xlfn.XLOOKUP(CKadeaTelcoLogs_Reseau[[#This Row],[Cell_ID]],'CKadeaTelcoRegistre_Maintenance'!A:A,'CKadeaTelcoRegistre_Maintenance'!B:B,"Non repertorié")</f>
        <v>Non repertorié</v>
      </c>
      <c r="F392" t="str">
        <f>_xlfn.XLOOKUP(CKadeaTelcoLogs_Reseau[[#This Row],[Cell_ID]],'CKadeaTelcoRegistre_Maintenance'!A:A,'CKadeaTelcoRegistre_Maintenance'!C:C,"Non repertorié")</f>
        <v>Non repertorié</v>
      </c>
      <c r="G392" t="str">
        <f>_xlfn.XLOOKUP(CKadeaTelcoLogs_Reseau[[#This Row],[Cell_ID]],'CKadeaTelcoRegistre_Maintenance'!A:A,'CKadeaTelcoRegistre_Maintenance'!D:D,"Non repertorié")</f>
        <v>Non repertorié</v>
      </c>
      <c r="H392" t="str">
        <f>_xlfn.XLOOKUP(CKadeaTelcoLogs_Reseau[[#This Row],[Cell_ID]],'CKadeaTelcoRegistre_Maintenance'!A:A,'CKadeaTelcoRegistre_Maintenance'!E:E,"Non repertorié")</f>
        <v>Non repertorié</v>
      </c>
      <c r="I392" t="str">
        <f>_xlfn.XLOOKUP(CKadeaTelcoLogs_Reseau[[#This Row],[Cell_ID]],'CKadeaTelcoRegistre_Maintenance'!A:A,'CKadeaTelcoRegistre_Maintenance'!F:F,"Non repertorié")</f>
        <v>Non repertorié</v>
      </c>
    </row>
    <row r="393" spans="1:9" ht="20.5" customHeight="1" x14ac:dyDescent="0.35">
      <c r="A393" s="1">
        <v>45220.811805555553</v>
      </c>
      <c r="B393" s="5" t="s">
        <v>325</v>
      </c>
      <c r="C393">
        <v>100</v>
      </c>
      <c r="D393" t="s">
        <v>10</v>
      </c>
      <c r="E393" t="str">
        <f>_xlfn.XLOOKUP(CKadeaTelcoLogs_Reseau[[#This Row],[Cell_ID]],'CKadeaTelcoRegistre_Maintenance'!A:A,'CKadeaTelcoRegistre_Maintenance'!B:B,"Non repertorié")</f>
        <v>Kwilu</v>
      </c>
      <c r="F393">
        <f>_xlfn.XLOOKUP(CKadeaTelcoLogs_Reseau[[#This Row],[Cell_ID]],'CKadeaTelcoRegistre_Maintenance'!A:A,'CKadeaTelcoRegistre_Maintenance'!C:C,"Non repertorié")</f>
        <v>-0.98830399999999996</v>
      </c>
      <c r="G393">
        <f>_xlfn.XLOOKUP(CKadeaTelcoLogs_Reseau[[#This Row],[Cell_ID]],'CKadeaTelcoRegistre_Maintenance'!A:A,'CKadeaTelcoRegistre_Maintenance'!D:D,"Non repertorié")</f>
        <v>28.099966999999999</v>
      </c>
      <c r="H393" t="str">
        <f>_xlfn.XLOOKUP(CKadeaTelcoLogs_Reseau[[#This Row],[Cell_ID]],'CKadeaTelcoRegistre_Maintenance'!A:A,'CKadeaTelcoRegistre_Maintenance'!E:E,"Non repertorié")</f>
        <v>3G</v>
      </c>
      <c r="I393" t="str">
        <f>_xlfn.XLOOKUP(CKadeaTelcoLogs_Reseau[[#This Row],[Cell_ID]],'CKadeaTelcoRegistre_Maintenance'!A:A,'CKadeaTelcoRegistre_Maintenance'!F:F,"Non repertorié")</f>
        <v>Huawei</v>
      </c>
    </row>
    <row r="394" spans="1:9" ht="20.5" customHeight="1" x14ac:dyDescent="0.35">
      <c r="A394" s="1">
        <v>45202.161805555559</v>
      </c>
      <c r="B394" s="5" t="s">
        <v>326</v>
      </c>
      <c r="C394">
        <v>61</v>
      </c>
      <c r="D394" t="s">
        <v>8</v>
      </c>
      <c r="E394" t="str">
        <f>_xlfn.XLOOKUP(CKadeaTelcoLogs_Reseau[[#This Row],[Cell_ID]],'CKadeaTelcoRegistre_Maintenance'!A:A,'CKadeaTelcoRegistre_Maintenance'!B:B,"Non repertorié")</f>
        <v>Nord-Kivu</v>
      </c>
      <c r="F394">
        <f>_xlfn.XLOOKUP(CKadeaTelcoLogs_Reseau[[#This Row],[Cell_ID]],'CKadeaTelcoRegistre_Maintenance'!A:A,'CKadeaTelcoRegistre_Maintenance'!C:C,"Non repertorié")</f>
        <v>-6.5529849999999996</v>
      </c>
      <c r="G394">
        <f>_xlfn.XLOOKUP(CKadeaTelcoLogs_Reseau[[#This Row],[Cell_ID]],'CKadeaTelcoRegistre_Maintenance'!A:A,'CKadeaTelcoRegistre_Maintenance'!D:D,"Non repertorié")</f>
        <v>21.990606</v>
      </c>
      <c r="H394" t="str">
        <f>_xlfn.XLOOKUP(CKadeaTelcoLogs_Reseau[[#This Row],[Cell_ID]],'CKadeaTelcoRegistre_Maintenance'!A:A,'CKadeaTelcoRegistre_Maintenance'!E:E,"Non repertorié")</f>
        <v>3G</v>
      </c>
      <c r="I394" t="str">
        <f>_xlfn.XLOOKUP(CKadeaTelcoLogs_Reseau[[#This Row],[Cell_ID]],'CKadeaTelcoRegistre_Maintenance'!A:A,'CKadeaTelcoRegistre_Maintenance'!F:F,"Non repertorié")</f>
        <v>Huawei</v>
      </c>
    </row>
    <row r="395" spans="1:9" ht="20.5" customHeight="1" x14ac:dyDescent="0.35">
      <c r="A395" s="1">
        <v>45228.651388888888</v>
      </c>
      <c r="B395" s="5" t="s">
        <v>327</v>
      </c>
      <c r="C395">
        <v>119</v>
      </c>
      <c r="D395" t="s">
        <v>5</v>
      </c>
      <c r="E395" t="str">
        <f>_xlfn.XLOOKUP(CKadeaTelcoLogs_Reseau[[#This Row],[Cell_ID]],'CKadeaTelcoRegistre_Maintenance'!A:A,'CKadeaTelcoRegistre_Maintenance'!B:B,"Non repertorié")</f>
        <v>Sud-Kivu</v>
      </c>
      <c r="F395">
        <f>_xlfn.XLOOKUP(CKadeaTelcoLogs_Reseau[[#This Row],[Cell_ID]],'CKadeaTelcoRegistre_Maintenance'!A:A,'CKadeaTelcoRegistre_Maintenance'!C:C,"Non repertorié")</f>
        <v>2.453036</v>
      </c>
      <c r="G395">
        <f>_xlfn.XLOOKUP(CKadeaTelcoLogs_Reseau[[#This Row],[Cell_ID]],'CKadeaTelcoRegistre_Maintenance'!A:A,'CKadeaTelcoRegistre_Maintenance'!D:D,"Non repertorié")</f>
        <v>20.555484</v>
      </c>
      <c r="H395" t="str">
        <f>_xlfn.XLOOKUP(CKadeaTelcoLogs_Reseau[[#This Row],[Cell_ID]],'CKadeaTelcoRegistre_Maintenance'!A:A,'CKadeaTelcoRegistre_Maintenance'!E:E,"Non repertorié")</f>
        <v>5G</v>
      </c>
      <c r="I395" t="str">
        <f>_xlfn.XLOOKUP(CKadeaTelcoLogs_Reseau[[#This Row],[Cell_ID]],'CKadeaTelcoRegistre_Maintenance'!A:A,'CKadeaTelcoRegistre_Maintenance'!F:F,"Non repertorié")</f>
        <v>Ericsson</v>
      </c>
    </row>
    <row r="396" spans="1:9" ht="20.5" customHeight="1" x14ac:dyDescent="0.35">
      <c r="A396" s="1">
        <v>45217.027777777781</v>
      </c>
      <c r="B396" s="5" t="s">
        <v>182</v>
      </c>
      <c r="C396">
        <v>54</v>
      </c>
      <c r="D396" t="s">
        <v>8</v>
      </c>
      <c r="E396" t="str">
        <f>_xlfn.XLOOKUP(CKadeaTelcoLogs_Reseau[[#This Row],[Cell_ID]],'CKadeaTelcoRegistre_Maintenance'!A:A,'CKadeaTelcoRegistre_Maintenance'!B:B,"Non repertorié")</f>
        <v>Non repertorié</v>
      </c>
      <c r="F396" t="str">
        <f>_xlfn.XLOOKUP(CKadeaTelcoLogs_Reseau[[#This Row],[Cell_ID]],'CKadeaTelcoRegistre_Maintenance'!A:A,'CKadeaTelcoRegistre_Maintenance'!C:C,"Non repertorié")</f>
        <v>Non repertorié</v>
      </c>
      <c r="G396" t="str">
        <f>_xlfn.XLOOKUP(CKadeaTelcoLogs_Reseau[[#This Row],[Cell_ID]],'CKadeaTelcoRegistre_Maintenance'!A:A,'CKadeaTelcoRegistre_Maintenance'!D:D,"Non repertorié")</f>
        <v>Non repertorié</v>
      </c>
      <c r="H396" t="str">
        <f>_xlfn.XLOOKUP(CKadeaTelcoLogs_Reseau[[#This Row],[Cell_ID]],'CKadeaTelcoRegistre_Maintenance'!A:A,'CKadeaTelcoRegistre_Maintenance'!E:E,"Non repertorié")</f>
        <v>Non repertorié</v>
      </c>
      <c r="I396" t="str">
        <f>_xlfn.XLOOKUP(CKadeaTelcoLogs_Reseau[[#This Row],[Cell_ID]],'CKadeaTelcoRegistre_Maintenance'!A:A,'CKadeaTelcoRegistre_Maintenance'!F:F,"Non repertorié")</f>
        <v>Non repertorié</v>
      </c>
    </row>
    <row r="397" spans="1:9" ht="20.5" customHeight="1" x14ac:dyDescent="0.35">
      <c r="A397" s="1">
        <v>45216.760416666664</v>
      </c>
      <c r="B397" s="5" t="s">
        <v>328</v>
      </c>
      <c r="C397">
        <v>48</v>
      </c>
      <c r="D397" t="s">
        <v>5</v>
      </c>
      <c r="E397" t="str">
        <f>_xlfn.XLOOKUP(CKadeaTelcoLogs_Reseau[[#This Row],[Cell_ID]],'CKadeaTelcoRegistre_Maintenance'!A:A,'CKadeaTelcoRegistre_Maintenance'!B:B,"Non repertorié")</f>
        <v>Ituri</v>
      </c>
      <c r="F397">
        <f>_xlfn.XLOOKUP(CKadeaTelcoLogs_Reseau[[#This Row],[Cell_ID]],'CKadeaTelcoRegistre_Maintenance'!A:A,'CKadeaTelcoRegistre_Maintenance'!C:C,"Non repertorié")</f>
        <v>-11.002602</v>
      </c>
      <c r="G397">
        <f>_xlfn.XLOOKUP(CKadeaTelcoLogs_Reseau[[#This Row],[Cell_ID]],'CKadeaTelcoRegistre_Maintenance'!A:A,'CKadeaTelcoRegistre_Maintenance'!D:D,"Non repertorié")</f>
        <v>23.918247999999998</v>
      </c>
      <c r="H397" t="str">
        <f>_xlfn.XLOOKUP(CKadeaTelcoLogs_Reseau[[#This Row],[Cell_ID]],'CKadeaTelcoRegistre_Maintenance'!A:A,'CKadeaTelcoRegistre_Maintenance'!E:E,"Non repertorié")</f>
        <v>5G</v>
      </c>
      <c r="I397" t="str">
        <f>_xlfn.XLOOKUP(CKadeaTelcoLogs_Reseau[[#This Row],[Cell_ID]],'CKadeaTelcoRegistre_Maintenance'!A:A,'CKadeaTelcoRegistre_Maintenance'!F:F,"Non repertorié")</f>
        <v>ZTE</v>
      </c>
    </row>
    <row r="398" spans="1:9" ht="20.5" customHeight="1" x14ac:dyDescent="0.35">
      <c r="A398" s="1">
        <v>45222.179166666669</v>
      </c>
      <c r="B398" s="5" t="s">
        <v>329</v>
      </c>
      <c r="C398">
        <v>28</v>
      </c>
      <c r="D398" t="s">
        <v>8</v>
      </c>
      <c r="E398" t="str">
        <f>_xlfn.XLOOKUP(CKadeaTelcoLogs_Reseau[[#This Row],[Cell_ID]],'CKadeaTelcoRegistre_Maintenance'!A:A,'CKadeaTelcoRegistre_Maintenance'!B:B,"Non repertorié")</f>
        <v>Kinshasa</v>
      </c>
      <c r="F398">
        <f>_xlfn.XLOOKUP(CKadeaTelcoLogs_Reseau[[#This Row],[Cell_ID]],'CKadeaTelcoRegistre_Maintenance'!A:A,'CKadeaTelcoRegistre_Maintenance'!C:C,"Non repertorié")</f>
        <v>-0.90854400000000002</v>
      </c>
      <c r="G398">
        <f>_xlfn.XLOOKUP(CKadeaTelcoLogs_Reseau[[#This Row],[Cell_ID]],'CKadeaTelcoRegistre_Maintenance'!A:A,'CKadeaTelcoRegistre_Maintenance'!D:D,"Non repertorié")</f>
        <v>17.154896999999998</v>
      </c>
      <c r="H398" t="str">
        <f>_xlfn.XLOOKUP(CKadeaTelcoLogs_Reseau[[#This Row],[Cell_ID]],'CKadeaTelcoRegistre_Maintenance'!A:A,'CKadeaTelcoRegistre_Maintenance'!E:E,"Non repertorié")</f>
        <v>3G</v>
      </c>
      <c r="I398" t="str">
        <f>_xlfn.XLOOKUP(CKadeaTelcoLogs_Reseau[[#This Row],[Cell_ID]],'CKadeaTelcoRegistre_Maintenance'!A:A,'CKadeaTelcoRegistre_Maintenance'!F:F,"Non repertorié")</f>
        <v>Huawei</v>
      </c>
    </row>
    <row r="399" spans="1:9" ht="20.5" customHeight="1" x14ac:dyDescent="0.35">
      <c r="A399" s="1">
        <v>45213.027083333334</v>
      </c>
      <c r="B399" s="5" t="s">
        <v>330</v>
      </c>
      <c r="C399">
        <v>68</v>
      </c>
      <c r="D399" t="s">
        <v>10</v>
      </c>
      <c r="E399" t="str">
        <f>_xlfn.XLOOKUP(CKadeaTelcoLogs_Reseau[[#This Row],[Cell_ID]],'CKadeaTelcoRegistre_Maintenance'!A:A,'CKadeaTelcoRegistre_Maintenance'!B:B,"Non repertorié")</f>
        <v>Kwango</v>
      </c>
      <c r="F399">
        <f>_xlfn.XLOOKUP(CKadeaTelcoLogs_Reseau[[#This Row],[Cell_ID]],'CKadeaTelcoRegistre_Maintenance'!A:A,'CKadeaTelcoRegistre_Maintenance'!C:C,"Non repertorié")</f>
        <v>-8.1210620000000002</v>
      </c>
      <c r="G399">
        <f>_xlfn.XLOOKUP(CKadeaTelcoLogs_Reseau[[#This Row],[Cell_ID]],'CKadeaTelcoRegistre_Maintenance'!A:A,'CKadeaTelcoRegistre_Maintenance'!D:D,"Non repertorié")</f>
        <v>21.094390000000001</v>
      </c>
      <c r="H399" t="str">
        <f>_xlfn.XLOOKUP(CKadeaTelcoLogs_Reseau[[#This Row],[Cell_ID]],'CKadeaTelcoRegistre_Maintenance'!A:A,'CKadeaTelcoRegistre_Maintenance'!E:E,"Non repertorié")</f>
        <v>5G</v>
      </c>
      <c r="I399" t="str">
        <f>_xlfn.XLOOKUP(CKadeaTelcoLogs_Reseau[[#This Row],[Cell_ID]],'CKadeaTelcoRegistre_Maintenance'!A:A,'CKadeaTelcoRegistre_Maintenance'!F:F,"Non repertorié")</f>
        <v>ZTE</v>
      </c>
    </row>
    <row r="400" spans="1:9" ht="20.5" customHeight="1" x14ac:dyDescent="0.35">
      <c r="A400" s="1">
        <v>45211.316666666666</v>
      </c>
      <c r="B400" s="5" t="s">
        <v>331</v>
      </c>
      <c r="C400">
        <v>93</v>
      </c>
      <c r="D400" t="s">
        <v>10</v>
      </c>
      <c r="E400" t="str">
        <f>_xlfn.XLOOKUP(CKadeaTelcoLogs_Reseau[[#This Row],[Cell_ID]],'CKadeaTelcoRegistre_Maintenance'!A:A,'CKadeaTelcoRegistre_Maintenance'!B:B,"Non repertorié")</f>
        <v>Lualaba</v>
      </c>
      <c r="F400">
        <f>_xlfn.XLOOKUP(CKadeaTelcoLogs_Reseau[[#This Row],[Cell_ID]],'CKadeaTelcoRegistre_Maintenance'!A:A,'CKadeaTelcoRegistre_Maintenance'!C:C,"Non repertorié")</f>
        <v>1.286548</v>
      </c>
      <c r="G400">
        <f>_xlfn.XLOOKUP(CKadeaTelcoLogs_Reseau[[#This Row],[Cell_ID]],'CKadeaTelcoRegistre_Maintenance'!A:A,'CKadeaTelcoRegistre_Maintenance'!D:D,"Non repertorié")</f>
        <v>29.823702999999998</v>
      </c>
      <c r="H400" t="str">
        <f>_xlfn.XLOOKUP(CKadeaTelcoLogs_Reseau[[#This Row],[Cell_ID]],'CKadeaTelcoRegistre_Maintenance'!A:A,'CKadeaTelcoRegistre_Maintenance'!E:E,"Non repertorié")</f>
        <v>4G</v>
      </c>
      <c r="I400" t="str">
        <f>_xlfn.XLOOKUP(CKadeaTelcoLogs_Reseau[[#This Row],[Cell_ID]],'CKadeaTelcoRegistre_Maintenance'!A:A,'CKadeaTelcoRegistre_Maintenance'!F:F,"Non repertorié")</f>
        <v>ZTE</v>
      </c>
    </row>
    <row r="401" spans="1:9" ht="20.5" customHeight="1" x14ac:dyDescent="0.35">
      <c r="A401" s="1">
        <v>45213.237500000003</v>
      </c>
      <c r="B401" s="5" t="s">
        <v>127</v>
      </c>
      <c r="C401">
        <v>68</v>
      </c>
      <c r="D401" t="s">
        <v>10</v>
      </c>
      <c r="E401" t="str">
        <f>_xlfn.XLOOKUP(CKadeaTelcoLogs_Reseau[[#This Row],[Cell_ID]],'CKadeaTelcoRegistre_Maintenance'!A:A,'CKadeaTelcoRegistre_Maintenance'!B:B,"Non repertorié")</f>
        <v>Nord-Kivu</v>
      </c>
      <c r="F401">
        <f>_xlfn.XLOOKUP(CKadeaTelcoLogs_Reseau[[#This Row],[Cell_ID]],'CKadeaTelcoRegistre_Maintenance'!A:A,'CKadeaTelcoRegistre_Maintenance'!C:C,"Non repertorié")</f>
        <v>-10.25074</v>
      </c>
      <c r="G401">
        <f>_xlfn.XLOOKUP(CKadeaTelcoLogs_Reseau[[#This Row],[Cell_ID]],'CKadeaTelcoRegistre_Maintenance'!A:A,'CKadeaTelcoRegistre_Maintenance'!D:D,"Non repertorié")</f>
        <v>26.099086</v>
      </c>
      <c r="H401" t="str">
        <f>_xlfn.XLOOKUP(CKadeaTelcoLogs_Reseau[[#This Row],[Cell_ID]],'CKadeaTelcoRegistre_Maintenance'!A:A,'CKadeaTelcoRegistre_Maintenance'!E:E,"Non repertorié")</f>
        <v>4G</v>
      </c>
      <c r="I401" t="str">
        <f>_xlfn.XLOOKUP(CKadeaTelcoLogs_Reseau[[#This Row],[Cell_ID]],'CKadeaTelcoRegistre_Maintenance'!A:A,'CKadeaTelcoRegistre_Maintenance'!F:F,"Non repertorié")</f>
        <v>Huawei</v>
      </c>
    </row>
    <row r="402" spans="1:9" ht="20.5" customHeight="1" x14ac:dyDescent="0.35">
      <c r="A402" s="1">
        <v>45221.106249999997</v>
      </c>
      <c r="B402" s="5" t="s">
        <v>25</v>
      </c>
      <c r="C402">
        <v>52</v>
      </c>
      <c r="D402" t="s">
        <v>10</v>
      </c>
      <c r="E402" t="str">
        <f>_xlfn.XLOOKUP(CKadeaTelcoLogs_Reseau[[#This Row],[Cell_ID]],'CKadeaTelcoRegistre_Maintenance'!A:A,'CKadeaTelcoRegistre_Maintenance'!B:B,"Non repertorié")</f>
        <v>Non repertorié</v>
      </c>
      <c r="F402" t="str">
        <f>_xlfn.XLOOKUP(CKadeaTelcoLogs_Reseau[[#This Row],[Cell_ID]],'CKadeaTelcoRegistre_Maintenance'!A:A,'CKadeaTelcoRegistre_Maintenance'!C:C,"Non repertorié")</f>
        <v>Non repertorié</v>
      </c>
      <c r="G402" t="str">
        <f>_xlfn.XLOOKUP(CKadeaTelcoLogs_Reseau[[#This Row],[Cell_ID]],'CKadeaTelcoRegistre_Maintenance'!A:A,'CKadeaTelcoRegistre_Maintenance'!D:D,"Non repertorié")</f>
        <v>Non repertorié</v>
      </c>
      <c r="H402" t="str">
        <f>_xlfn.XLOOKUP(CKadeaTelcoLogs_Reseau[[#This Row],[Cell_ID]],'CKadeaTelcoRegistre_Maintenance'!A:A,'CKadeaTelcoRegistre_Maintenance'!E:E,"Non repertorié")</f>
        <v>Non repertorié</v>
      </c>
      <c r="I402" t="str">
        <f>_xlfn.XLOOKUP(CKadeaTelcoLogs_Reseau[[#This Row],[Cell_ID]],'CKadeaTelcoRegistre_Maintenance'!A:A,'CKadeaTelcoRegistre_Maintenance'!F:F,"Non repertorié")</f>
        <v>Non repertorié</v>
      </c>
    </row>
    <row r="403" spans="1:9" ht="20.5" customHeight="1" x14ac:dyDescent="0.35">
      <c r="A403" s="1">
        <v>45211.106249999997</v>
      </c>
      <c r="B403" s="5" t="s">
        <v>332</v>
      </c>
      <c r="C403">
        <v>107</v>
      </c>
      <c r="D403" t="s">
        <v>5</v>
      </c>
      <c r="E403" t="str">
        <f>_xlfn.XLOOKUP(CKadeaTelcoLogs_Reseau[[#This Row],[Cell_ID]],'CKadeaTelcoRegistre_Maintenance'!A:A,'CKadeaTelcoRegistre_Maintenance'!B:B,"Non repertorié")</f>
        <v>Kasai</v>
      </c>
      <c r="F403">
        <f>_xlfn.XLOOKUP(CKadeaTelcoLogs_Reseau[[#This Row],[Cell_ID]],'CKadeaTelcoRegistre_Maintenance'!A:A,'CKadeaTelcoRegistre_Maintenance'!C:C,"Non repertorié")</f>
        <v>-5.125</v>
      </c>
      <c r="G403">
        <f>_xlfn.XLOOKUP(CKadeaTelcoLogs_Reseau[[#This Row],[Cell_ID]],'CKadeaTelcoRegistre_Maintenance'!A:A,'CKadeaTelcoRegistre_Maintenance'!D:D,"Non repertorié")</f>
        <v>23.513119</v>
      </c>
      <c r="H403" t="str">
        <f>_xlfn.XLOOKUP(CKadeaTelcoLogs_Reseau[[#This Row],[Cell_ID]],'CKadeaTelcoRegistre_Maintenance'!A:A,'CKadeaTelcoRegistre_Maintenance'!E:E,"Non repertorié")</f>
        <v>5G</v>
      </c>
      <c r="I403" t="str">
        <f>_xlfn.XLOOKUP(CKadeaTelcoLogs_Reseau[[#This Row],[Cell_ID]],'CKadeaTelcoRegistre_Maintenance'!A:A,'CKadeaTelcoRegistre_Maintenance'!F:F,"Non repertorié")</f>
        <v>Huawei</v>
      </c>
    </row>
    <row r="404" spans="1:9" ht="20.5" customHeight="1" x14ac:dyDescent="0.35">
      <c r="A404" s="1">
        <v>45217.701388888891</v>
      </c>
      <c r="B404" s="5" t="s">
        <v>140</v>
      </c>
      <c r="C404">
        <v>71</v>
      </c>
      <c r="D404" t="s">
        <v>8</v>
      </c>
      <c r="E404" t="str">
        <f>_xlfn.XLOOKUP(CKadeaTelcoLogs_Reseau[[#This Row],[Cell_ID]],'CKadeaTelcoRegistre_Maintenance'!A:A,'CKadeaTelcoRegistre_Maintenance'!B:B,"Non repertorié")</f>
        <v>Non repertorié</v>
      </c>
      <c r="F404" t="str">
        <f>_xlfn.XLOOKUP(CKadeaTelcoLogs_Reseau[[#This Row],[Cell_ID]],'CKadeaTelcoRegistre_Maintenance'!A:A,'CKadeaTelcoRegistre_Maintenance'!C:C,"Non repertorié")</f>
        <v>Non repertorié</v>
      </c>
      <c r="G404" t="str">
        <f>_xlfn.XLOOKUP(CKadeaTelcoLogs_Reseau[[#This Row],[Cell_ID]],'CKadeaTelcoRegistre_Maintenance'!A:A,'CKadeaTelcoRegistre_Maintenance'!D:D,"Non repertorié")</f>
        <v>Non repertorié</v>
      </c>
      <c r="H404" t="str">
        <f>_xlfn.XLOOKUP(CKadeaTelcoLogs_Reseau[[#This Row],[Cell_ID]],'CKadeaTelcoRegistre_Maintenance'!A:A,'CKadeaTelcoRegistre_Maintenance'!E:E,"Non repertorié")</f>
        <v>Non repertorié</v>
      </c>
      <c r="I404" t="str">
        <f>_xlfn.XLOOKUP(CKadeaTelcoLogs_Reseau[[#This Row],[Cell_ID]],'CKadeaTelcoRegistre_Maintenance'!A:A,'CKadeaTelcoRegistre_Maintenance'!F:F,"Non repertorié")</f>
        <v>Non repertorié</v>
      </c>
    </row>
    <row r="405" spans="1:9" ht="20.5" customHeight="1" x14ac:dyDescent="0.35">
      <c r="A405" s="1">
        <v>45216.709027777775</v>
      </c>
      <c r="B405" s="5" t="s">
        <v>333</v>
      </c>
      <c r="C405">
        <v>39</v>
      </c>
      <c r="D405" t="s">
        <v>5</v>
      </c>
      <c r="E405" t="str">
        <f>_xlfn.XLOOKUP(CKadeaTelcoLogs_Reseau[[#This Row],[Cell_ID]],'CKadeaTelcoRegistre_Maintenance'!A:A,'CKadeaTelcoRegistre_Maintenance'!B:B,"Non repertorié")</f>
        <v>Ituri</v>
      </c>
      <c r="F405">
        <f>_xlfn.XLOOKUP(CKadeaTelcoLogs_Reseau[[#This Row],[Cell_ID]],'CKadeaTelcoRegistre_Maintenance'!A:A,'CKadeaTelcoRegistre_Maintenance'!C:C,"Non repertorié")</f>
        <v>-0.34051900000000002</v>
      </c>
      <c r="G405">
        <f>_xlfn.XLOOKUP(CKadeaTelcoLogs_Reseau[[#This Row],[Cell_ID]],'CKadeaTelcoRegistre_Maintenance'!A:A,'CKadeaTelcoRegistre_Maintenance'!D:D,"Non repertorié")</f>
        <v>17.079799000000001</v>
      </c>
      <c r="H405" t="str">
        <f>_xlfn.XLOOKUP(CKadeaTelcoLogs_Reseau[[#This Row],[Cell_ID]],'CKadeaTelcoRegistre_Maintenance'!A:A,'CKadeaTelcoRegistre_Maintenance'!E:E,"Non repertorié")</f>
        <v>5G</v>
      </c>
      <c r="I405" t="str">
        <f>_xlfn.XLOOKUP(CKadeaTelcoLogs_Reseau[[#This Row],[Cell_ID]],'CKadeaTelcoRegistre_Maintenance'!A:A,'CKadeaTelcoRegistre_Maintenance'!F:F,"Non repertorié")</f>
        <v>Ericsson</v>
      </c>
    </row>
    <row r="406" spans="1:9" ht="20.5" customHeight="1" x14ac:dyDescent="0.35">
      <c r="A406" s="1">
        <v>45212.626388888886</v>
      </c>
      <c r="B406" s="5" t="s">
        <v>334</v>
      </c>
      <c r="C406">
        <v>107</v>
      </c>
      <c r="D406" t="s">
        <v>8</v>
      </c>
      <c r="E406" t="str">
        <f>_xlfn.XLOOKUP(CKadeaTelcoLogs_Reseau[[#This Row],[Cell_ID]],'CKadeaTelcoRegistre_Maintenance'!A:A,'CKadeaTelcoRegistre_Maintenance'!B:B,"Non repertorié")</f>
        <v>Non repertorié</v>
      </c>
      <c r="F406" t="str">
        <f>_xlfn.XLOOKUP(CKadeaTelcoLogs_Reseau[[#This Row],[Cell_ID]],'CKadeaTelcoRegistre_Maintenance'!A:A,'CKadeaTelcoRegistre_Maintenance'!C:C,"Non repertorié")</f>
        <v>Non repertorié</v>
      </c>
      <c r="G406" t="str">
        <f>_xlfn.XLOOKUP(CKadeaTelcoLogs_Reseau[[#This Row],[Cell_ID]],'CKadeaTelcoRegistre_Maintenance'!A:A,'CKadeaTelcoRegistre_Maintenance'!D:D,"Non repertorié")</f>
        <v>Non repertorié</v>
      </c>
      <c r="H406" t="str">
        <f>_xlfn.XLOOKUP(CKadeaTelcoLogs_Reseau[[#This Row],[Cell_ID]],'CKadeaTelcoRegistre_Maintenance'!A:A,'CKadeaTelcoRegistre_Maintenance'!E:E,"Non repertorié")</f>
        <v>Non repertorié</v>
      </c>
      <c r="I406" t="str">
        <f>_xlfn.XLOOKUP(CKadeaTelcoLogs_Reseau[[#This Row],[Cell_ID]],'CKadeaTelcoRegistre_Maintenance'!A:A,'CKadeaTelcoRegistre_Maintenance'!F:F,"Non repertorié")</f>
        <v>Non repertorié</v>
      </c>
    </row>
    <row r="407" spans="1:9" ht="20.5" customHeight="1" x14ac:dyDescent="0.35">
      <c r="A407" s="1">
        <v>45220.515972222223</v>
      </c>
      <c r="B407" s="5" t="s">
        <v>335</v>
      </c>
      <c r="C407">
        <v>15</v>
      </c>
      <c r="D407" t="s">
        <v>10</v>
      </c>
      <c r="E407" t="str">
        <f>_xlfn.XLOOKUP(CKadeaTelcoLogs_Reseau[[#This Row],[Cell_ID]],'CKadeaTelcoRegistre_Maintenance'!A:A,'CKadeaTelcoRegistre_Maintenance'!B:B,"Non repertorié")</f>
        <v>Non repertorié</v>
      </c>
      <c r="F407" t="str">
        <f>_xlfn.XLOOKUP(CKadeaTelcoLogs_Reseau[[#This Row],[Cell_ID]],'CKadeaTelcoRegistre_Maintenance'!A:A,'CKadeaTelcoRegistre_Maintenance'!C:C,"Non repertorié")</f>
        <v>Non repertorié</v>
      </c>
      <c r="G407" t="str">
        <f>_xlfn.XLOOKUP(CKadeaTelcoLogs_Reseau[[#This Row],[Cell_ID]],'CKadeaTelcoRegistre_Maintenance'!A:A,'CKadeaTelcoRegistre_Maintenance'!D:D,"Non repertorié")</f>
        <v>Non repertorié</v>
      </c>
      <c r="H407" t="str">
        <f>_xlfn.XLOOKUP(CKadeaTelcoLogs_Reseau[[#This Row],[Cell_ID]],'CKadeaTelcoRegistre_Maintenance'!A:A,'CKadeaTelcoRegistre_Maintenance'!E:E,"Non repertorié")</f>
        <v>Non repertorié</v>
      </c>
      <c r="I407" t="str">
        <f>_xlfn.XLOOKUP(CKadeaTelcoLogs_Reseau[[#This Row],[Cell_ID]],'CKadeaTelcoRegistre_Maintenance'!A:A,'CKadeaTelcoRegistre_Maintenance'!F:F,"Non repertorié")</f>
        <v>Non repertorié</v>
      </c>
    </row>
    <row r="408" spans="1:9" ht="20.5" customHeight="1" x14ac:dyDescent="0.35">
      <c r="A408" s="1">
        <v>45208.959027777775</v>
      </c>
      <c r="B408" s="5" t="s">
        <v>69</v>
      </c>
      <c r="C408">
        <v>98</v>
      </c>
      <c r="D408" t="s">
        <v>10</v>
      </c>
      <c r="E408" t="str">
        <f>_xlfn.XLOOKUP(CKadeaTelcoLogs_Reseau[[#This Row],[Cell_ID]],'CKadeaTelcoRegistre_Maintenance'!A:A,'CKadeaTelcoRegistre_Maintenance'!B:B,"Non repertorié")</f>
        <v>Nord-Kivu</v>
      </c>
      <c r="F408">
        <f>_xlfn.XLOOKUP(CKadeaTelcoLogs_Reseau[[#This Row],[Cell_ID]],'CKadeaTelcoRegistre_Maintenance'!A:A,'CKadeaTelcoRegistre_Maintenance'!C:C,"Non repertorié")</f>
        <v>0.82868600000000003</v>
      </c>
      <c r="G408">
        <f>_xlfn.XLOOKUP(CKadeaTelcoLogs_Reseau[[#This Row],[Cell_ID]],'CKadeaTelcoRegistre_Maintenance'!A:A,'CKadeaTelcoRegistre_Maintenance'!D:D,"Non repertorié")</f>
        <v>26.958843999999999</v>
      </c>
      <c r="H408" t="str">
        <f>_xlfn.XLOOKUP(CKadeaTelcoLogs_Reseau[[#This Row],[Cell_ID]],'CKadeaTelcoRegistre_Maintenance'!A:A,'CKadeaTelcoRegistre_Maintenance'!E:E,"Non repertorié")</f>
        <v>5G</v>
      </c>
      <c r="I408" t="str">
        <f>_xlfn.XLOOKUP(CKadeaTelcoLogs_Reseau[[#This Row],[Cell_ID]],'CKadeaTelcoRegistre_Maintenance'!A:A,'CKadeaTelcoRegistre_Maintenance'!F:F,"Non repertorié")</f>
        <v>ZTE</v>
      </c>
    </row>
    <row r="409" spans="1:9" ht="20.5" customHeight="1" x14ac:dyDescent="0.35">
      <c r="A409" s="1">
        <v>45211.098611111112</v>
      </c>
      <c r="B409" s="5" t="s">
        <v>336</v>
      </c>
      <c r="C409">
        <v>59</v>
      </c>
      <c r="D409" t="s">
        <v>10</v>
      </c>
      <c r="E409" t="str">
        <f>_xlfn.XLOOKUP(CKadeaTelcoLogs_Reseau[[#This Row],[Cell_ID]],'CKadeaTelcoRegistre_Maintenance'!A:A,'CKadeaTelcoRegistre_Maintenance'!B:B,"Non repertorié")</f>
        <v>Sud-Ubangi</v>
      </c>
      <c r="F409">
        <f>_xlfn.XLOOKUP(CKadeaTelcoLogs_Reseau[[#This Row],[Cell_ID]],'CKadeaTelcoRegistre_Maintenance'!A:A,'CKadeaTelcoRegistre_Maintenance'!C:C,"Non repertorié")</f>
        <v>-11.387295999999999</v>
      </c>
      <c r="G409">
        <f>_xlfn.XLOOKUP(CKadeaTelcoLogs_Reseau[[#This Row],[Cell_ID]],'CKadeaTelcoRegistre_Maintenance'!A:A,'CKadeaTelcoRegistre_Maintenance'!D:D,"Non repertorié")</f>
        <v>19.384257999999999</v>
      </c>
      <c r="H409" t="str">
        <f>_xlfn.XLOOKUP(CKadeaTelcoLogs_Reseau[[#This Row],[Cell_ID]],'CKadeaTelcoRegistre_Maintenance'!A:A,'CKadeaTelcoRegistre_Maintenance'!E:E,"Non repertorié")</f>
        <v>3G</v>
      </c>
      <c r="I409" t="str">
        <f>_xlfn.XLOOKUP(CKadeaTelcoLogs_Reseau[[#This Row],[Cell_ID]],'CKadeaTelcoRegistre_Maintenance'!A:A,'CKadeaTelcoRegistre_Maintenance'!F:F,"Non repertorié")</f>
        <v>Huawei</v>
      </c>
    </row>
    <row r="410" spans="1:9" ht="20.5" customHeight="1" x14ac:dyDescent="0.35">
      <c r="A410" s="1">
        <v>45207.987500000003</v>
      </c>
      <c r="B410" s="5" t="s">
        <v>337</v>
      </c>
      <c r="C410">
        <v>15</v>
      </c>
      <c r="D410" t="s">
        <v>8</v>
      </c>
      <c r="E410" t="str">
        <f>_xlfn.XLOOKUP(CKadeaTelcoLogs_Reseau[[#This Row],[Cell_ID]],'CKadeaTelcoRegistre_Maintenance'!A:A,'CKadeaTelcoRegistre_Maintenance'!B:B,"Non repertorié")</f>
        <v>Kwango</v>
      </c>
      <c r="F410">
        <f>_xlfn.XLOOKUP(CKadeaTelcoLogs_Reseau[[#This Row],[Cell_ID]],'CKadeaTelcoRegistre_Maintenance'!A:A,'CKadeaTelcoRegistre_Maintenance'!C:C,"Non repertorié")</f>
        <v>-9.0798120000000004</v>
      </c>
      <c r="G410">
        <f>_xlfn.XLOOKUP(CKadeaTelcoLogs_Reseau[[#This Row],[Cell_ID]],'CKadeaTelcoRegistre_Maintenance'!A:A,'CKadeaTelcoRegistre_Maintenance'!D:D,"Non repertorié")</f>
        <v>14.945484</v>
      </c>
      <c r="H410" t="str">
        <f>_xlfn.XLOOKUP(CKadeaTelcoLogs_Reseau[[#This Row],[Cell_ID]],'CKadeaTelcoRegistre_Maintenance'!A:A,'CKadeaTelcoRegistre_Maintenance'!E:E,"Non repertorié")</f>
        <v>5G</v>
      </c>
      <c r="I410" t="str">
        <f>_xlfn.XLOOKUP(CKadeaTelcoLogs_Reseau[[#This Row],[Cell_ID]],'CKadeaTelcoRegistre_Maintenance'!A:A,'CKadeaTelcoRegistre_Maintenance'!F:F,"Non repertorié")</f>
        <v>Ericsson</v>
      </c>
    </row>
    <row r="411" spans="1:9" ht="20.5" customHeight="1" x14ac:dyDescent="0.35">
      <c r="A411" s="1">
        <v>45220.15902777778</v>
      </c>
      <c r="B411" s="5" t="s">
        <v>338</v>
      </c>
      <c r="C411">
        <v>60</v>
      </c>
      <c r="D411" t="s">
        <v>10</v>
      </c>
      <c r="E411" t="str">
        <f>_xlfn.XLOOKUP(CKadeaTelcoLogs_Reseau[[#This Row],[Cell_ID]],'CKadeaTelcoRegistre_Maintenance'!A:A,'CKadeaTelcoRegistre_Maintenance'!B:B,"Non repertorié")</f>
        <v>Tshopo</v>
      </c>
      <c r="F411">
        <f>_xlfn.XLOOKUP(CKadeaTelcoLogs_Reseau[[#This Row],[Cell_ID]],'CKadeaTelcoRegistre_Maintenance'!A:A,'CKadeaTelcoRegistre_Maintenance'!C:C,"Non repertorié")</f>
        <v>-9.4133639999999996</v>
      </c>
      <c r="G411">
        <f>_xlfn.XLOOKUP(CKadeaTelcoLogs_Reseau[[#This Row],[Cell_ID]],'CKadeaTelcoRegistre_Maintenance'!A:A,'CKadeaTelcoRegistre_Maintenance'!D:D,"Non repertorié")</f>
        <v>15.682482</v>
      </c>
      <c r="H411" t="str">
        <f>_xlfn.XLOOKUP(CKadeaTelcoLogs_Reseau[[#This Row],[Cell_ID]],'CKadeaTelcoRegistre_Maintenance'!A:A,'CKadeaTelcoRegistre_Maintenance'!E:E,"Non repertorié")</f>
        <v>4G</v>
      </c>
      <c r="I411" t="str">
        <f>_xlfn.XLOOKUP(CKadeaTelcoLogs_Reseau[[#This Row],[Cell_ID]],'CKadeaTelcoRegistre_Maintenance'!A:A,'CKadeaTelcoRegistre_Maintenance'!F:F,"Non repertorié")</f>
        <v>Huawei</v>
      </c>
    </row>
    <row r="412" spans="1:9" ht="20.5" customHeight="1" x14ac:dyDescent="0.35">
      <c r="A412" s="1">
        <v>45218.991666666669</v>
      </c>
      <c r="B412" s="5" t="s">
        <v>271</v>
      </c>
      <c r="C412">
        <v>82</v>
      </c>
      <c r="D412" t="s">
        <v>5</v>
      </c>
      <c r="E412" t="str">
        <f>_xlfn.XLOOKUP(CKadeaTelcoLogs_Reseau[[#This Row],[Cell_ID]],'CKadeaTelcoRegistre_Maintenance'!A:A,'CKadeaTelcoRegistre_Maintenance'!B:B,"Non repertorié")</f>
        <v>Ituri</v>
      </c>
      <c r="F412">
        <f>_xlfn.XLOOKUP(CKadeaTelcoLogs_Reseau[[#This Row],[Cell_ID]],'CKadeaTelcoRegistre_Maintenance'!A:A,'CKadeaTelcoRegistre_Maintenance'!C:C,"Non repertorié")</f>
        <v>-3.7720639999999999</v>
      </c>
      <c r="G412">
        <f>_xlfn.XLOOKUP(CKadeaTelcoLogs_Reseau[[#This Row],[Cell_ID]],'CKadeaTelcoRegistre_Maintenance'!A:A,'CKadeaTelcoRegistre_Maintenance'!D:D,"Non repertorié")</f>
        <v>16.006277999999998</v>
      </c>
      <c r="H412" t="str">
        <f>_xlfn.XLOOKUP(CKadeaTelcoLogs_Reseau[[#This Row],[Cell_ID]],'CKadeaTelcoRegistre_Maintenance'!A:A,'CKadeaTelcoRegistre_Maintenance'!E:E,"Non repertorié")</f>
        <v>5G</v>
      </c>
      <c r="I412" t="str">
        <f>_xlfn.XLOOKUP(CKadeaTelcoLogs_Reseau[[#This Row],[Cell_ID]],'CKadeaTelcoRegistre_Maintenance'!A:A,'CKadeaTelcoRegistre_Maintenance'!F:F,"Non repertorié")</f>
        <v>ZTE</v>
      </c>
    </row>
    <row r="413" spans="1:9" ht="20.5" customHeight="1" x14ac:dyDescent="0.35">
      <c r="A413" s="1">
        <v>45210.168055555558</v>
      </c>
      <c r="B413" s="5" t="s">
        <v>339</v>
      </c>
      <c r="C413">
        <v>110</v>
      </c>
      <c r="D413" t="s">
        <v>5</v>
      </c>
      <c r="E413" t="str">
        <f>_xlfn.XLOOKUP(CKadeaTelcoLogs_Reseau[[#This Row],[Cell_ID]],'CKadeaTelcoRegistre_Maintenance'!A:A,'CKadeaTelcoRegistre_Maintenance'!B:B,"Non repertorié")</f>
        <v>Tanganyika</v>
      </c>
      <c r="F413">
        <f>_xlfn.XLOOKUP(CKadeaTelcoLogs_Reseau[[#This Row],[Cell_ID]],'CKadeaTelcoRegistre_Maintenance'!A:A,'CKadeaTelcoRegistre_Maintenance'!C:C,"Non repertorié")</f>
        <v>-9.9565739999999998</v>
      </c>
      <c r="G413">
        <f>_xlfn.XLOOKUP(CKadeaTelcoLogs_Reseau[[#This Row],[Cell_ID]],'CKadeaTelcoRegistre_Maintenance'!A:A,'CKadeaTelcoRegistre_Maintenance'!D:D,"Non repertorié")</f>
        <v>21.017202000000001</v>
      </c>
      <c r="H413" t="str">
        <f>_xlfn.XLOOKUP(CKadeaTelcoLogs_Reseau[[#This Row],[Cell_ID]],'CKadeaTelcoRegistre_Maintenance'!A:A,'CKadeaTelcoRegistre_Maintenance'!E:E,"Non repertorié")</f>
        <v>4G</v>
      </c>
      <c r="I413" t="str">
        <f>_xlfn.XLOOKUP(CKadeaTelcoLogs_Reseau[[#This Row],[Cell_ID]],'CKadeaTelcoRegistre_Maintenance'!A:A,'CKadeaTelcoRegistre_Maintenance'!F:F,"Non repertorié")</f>
        <v>Huawei</v>
      </c>
    </row>
    <row r="414" spans="1:9" ht="20.5" customHeight="1" x14ac:dyDescent="0.35">
      <c r="A414" s="1">
        <v>45211.722916666666</v>
      </c>
      <c r="B414" s="5" t="s">
        <v>340</v>
      </c>
      <c r="C414">
        <v>28</v>
      </c>
      <c r="D414" t="s">
        <v>5</v>
      </c>
      <c r="E414" t="str">
        <f>_xlfn.XLOOKUP(CKadeaTelcoLogs_Reseau[[#This Row],[Cell_ID]],'CKadeaTelcoRegistre_Maintenance'!A:A,'CKadeaTelcoRegistre_Maintenance'!B:B,"Non repertorié")</f>
        <v>Haut-Uele</v>
      </c>
      <c r="F414">
        <f>_xlfn.XLOOKUP(CKadeaTelcoLogs_Reseau[[#This Row],[Cell_ID]],'CKadeaTelcoRegistre_Maintenance'!A:A,'CKadeaTelcoRegistre_Maintenance'!C:C,"Non repertorié")</f>
        <v>-6.9624990000000002</v>
      </c>
      <c r="G414">
        <f>_xlfn.XLOOKUP(CKadeaTelcoLogs_Reseau[[#This Row],[Cell_ID]],'CKadeaTelcoRegistre_Maintenance'!A:A,'CKadeaTelcoRegistre_Maintenance'!D:D,"Non repertorié")</f>
        <v>20.759834999999999</v>
      </c>
      <c r="H414" t="str">
        <f>_xlfn.XLOOKUP(CKadeaTelcoLogs_Reseau[[#This Row],[Cell_ID]],'CKadeaTelcoRegistre_Maintenance'!A:A,'CKadeaTelcoRegistre_Maintenance'!E:E,"Non repertorié")</f>
        <v>4G</v>
      </c>
      <c r="I414" t="str">
        <f>_xlfn.XLOOKUP(CKadeaTelcoLogs_Reseau[[#This Row],[Cell_ID]],'CKadeaTelcoRegistre_Maintenance'!A:A,'CKadeaTelcoRegistre_Maintenance'!F:F,"Non repertorié")</f>
        <v>Huawei</v>
      </c>
    </row>
    <row r="415" spans="1:9" ht="20.5" customHeight="1" x14ac:dyDescent="0.35">
      <c r="A415" s="1">
        <v>45226.84097222222</v>
      </c>
      <c r="B415" s="5" t="s">
        <v>341</v>
      </c>
      <c r="C415">
        <v>74</v>
      </c>
      <c r="D415" t="s">
        <v>8</v>
      </c>
      <c r="E415" t="str">
        <f>_xlfn.XLOOKUP(CKadeaTelcoLogs_Reseau[[#This Row],[Cell_ID]],'CKadeaTelcoRegistre_Maintenance'!A:A,'CKadeaTelcoRegistre_Maintenance'!B:B,"Non repertorié")</f>
        <v>Kinshasa</v>
      </c>
      <c r="F415">
        <f>_xlfn.XLOOKUP(CKadeaTelcoLogs_Reseau[[#This Row],[Cell_ID]],'CKadeaTelcoRegistre_Maintenance'!A:A,'CKadeaTelcoRegistre_Maintenance'!C:C,"Non repertorié")</f>
        <v>-11.389362</v>
      </c>
      <c r="G415">
        <f>_xlfn.XLOOKUP(CKadeaTelcoLogs_Reseau[[#This Row],[Cell_ID]],'CKadeaTelcoRegistre_Maintenance'!A:A,'CKadeaTelcoRegistre_Maintenance'!D:D,"Non repertorié")</f>
        <v>22.240174</v>
      </c>
      <c r="H415" t="str">
        <f>_xlfn.XLOOKUP(CKadeaTelcoLogs_Reseau[[#This Row],[Cell_ID]],'CKadeaTelcoRegistre_Maintenance'!A:A,'CKadeaTelcoRegistre_Maintenance'!E:E,"Non repertorié")</f>
        <v>5G</v>
      </c>
      <c r="I415" t="str">
        <f>_xlfn.XLOOKUP(CKadeaTelcoLogs_Reseau[[#This Row],[Cell_ID]],'CKadeaTelcoRegistre_Maintenance'!A:A,'CKadeaTelcoRegistre_Maintenance'!F:F,"Non repertorié")</f>
        <v>ZTE</v>
      </c>
    </row>
    <row r="416" spans="1:9" ht="20.5" customHeight="1" x14ac:dyDescent="0.35">
      <c r="A416" s="1">
        <v>45226.895138888889</v>
      </c>
      <c r="B416" s="5" t="s">
        <v>342</v>
      </c>
      <c r="C416">
        <v>42</v>
      </c>
      <c r="D416" t="s">
        <v>5</v>
      </c>
      <c r="E416" t="str">
        <f>_xlfn.XLOOKUP(CKadeaTelcoLogs_Reseau[[#This Row],[Cell_ID]],'CKadeaTelcoRegistre_Maintenance'!A:A,'CKadeaTelcoRegistre_Maintenance'!B:B,"Non repertorié")</f>
        <v>Non repertorié</v>
      </c>
      <c r="F416" t="str">
        <f>_xlfn.XLOOKUP(CKadeaTelcoLogs_Reseau[[#This Row],[Cell_ID]],'CKadeaTelcoRegistre_Maintenance'!A:A,'CKadeaTelcoRegistre_Maintenance'!C:C,"Non repertorié")</f>
        <v>Non repertorié</v>
      </c>
      <c r="G416" t="str">
        <f>_xlfn.XLOOKUP(CKadeaTelcoLogs_Reseau[[#This Row],[Cell_ID]],'CKadeaTelcoRegistre_Maintenance'!A:A,'CKadeaTelcoRegistre_Maintenance'!D:D,"Non repertorié")</f>
        <v>Non repertorié</v>
      </c>
      <c r="H416" t="str">
        <f>_xlfn.XLOOKUP(CKadeaTelcoLogs_Reseau[[#This Row],[Cell_ID]],'CKadeaTelcoRegistre_Maintenance'!A:A,'CKadeaTelcoRegistre_Maintenance'!E:E,"Non repertorié")</f>
        <v>Non repertorié</v>
      </c>
      <c r="I416" t="str">
        <f>_xlfn.XLOOKUP(CKadeaTelcoLogs_Reseau[[#This Row],[Cell_ID]],'CKadeaTelcoRegistre_Maintenance'!A:A,'CKadeaTelcoRegistre_Maintenance'!F:F,"Non repertorié")</f>
        <v>Non repertorié</v>
      </c>
    </row>
    <row r="417" spans="1:9" ht="20.5" customHeight="1" x14ac:dyDescent="0.35">
      <c r="A417" s="1">
        <v>45222.652777777781</v>
      </c>
      <c r="B417" s="5" t="s">
        <v>343</v>
      </c>
      <c r="C417">
        <v>46</v>
      </c>
      <c r="D417" t="s">
        <v>10</v>
      </c>
      <c r="E417" t="str">
        <f>_xlfn.XLOOKUP(CKadeaTelcoLogs_Reseau[[#This Row],[Cell_ID]],'CKadeaTelcoRegistre_Maintenance'!A:A,'CKadeaTelcoRegistre_Maintenance'!B:B,"Non repertorié")</f>
        <v>Lomami</v>
      </c>
      <c r="F417">
        <f>_xlfn.XLOOKUP(CKadeaTelcoLogs_Reseau[[#This Row],[Cell_ID]],'CKadeaTelcoRegistre_Maintenance'!A:A,'CKadeaTelcoRegistre_Maintenance'!C:C,"Non repertorié")</f>
        <v>-11.266565999999999</v>
      </c>
      <c r="G417">
        <f>_xlfn.XLOOKUP(CKadeaTelcoLogs_Reseau[[#This Row],[Cell_ID]],'CKadeaTelcoRegistre_Maintenance'!A:A,'CKadeaTelcoRegistre_Maintenance'!D:D,"Non repertorié")</f>
        <v>26.245055000000001</v>
      </c>
      <c r="H417" t="str">
        <f>_xlfn.XLOOKUP(CKadeaTelcoLogs_Reseau[[#This Row],[Cell_ID]],'CKadeaTelcoRegistre_Maintenance'!A:A,'CKadeaTelcoRegistre_Maintenance'!E:E,"Non repertorié")</f>
        <v>3G</v>
      </c>
      <c r="I417" t="str">
        <f>_xlfn.XLOOKUP(CKadeaTelcoLogs_Reseau[[#This Row],[Cell_ID]],'CKadeaTelcoRegistre_Maintenance'!A:A,'CKadeaTelcoRegistre_Maintenance'!F:F,"Non repertorié")</f>
        <v>Ericsson</v>
      </c>
    </row>
    <row r="418" spans="1:9" ht="20.5" customHeight="1" x14ac:dyDescent="0.35">
      <c r="A418" s="1">
        <v>45205.169444444444</v>
      </c>
      <c r="B418" s="5" t="s">
        <v>344</v>
      </c>
      <c r="C418">
        <v>18</v>
      </c>
      <c r="D418" t="s">
        <v>8</v>
      </c>
      <c r="E418" t="str">
        <f>_xlfn.XLOOKUP(CKadeaTelcoLogs_Reseau[[#This Row],[Cell_ID]],'CKadeaTelcoRegistre_Maintenance'!A:A,'CKadeaTelcoRegistre_Maintenance'!B:B,"Non repertorié")</f>
        <v>Kasai</v>
      </c>
      <c r="F418">
        <f>_xlfn.XLOOKUP(CKadeaTelcoLogs_Reseau[[#This Row],[Cell_ID]],'CKadeaTelcoRegistre_Maintenance'!A:A,'CKadeaTelcoRegistre_Maintenance'!C:C,"Non repertorié")</f>
        <v>4.8689660000000003</v>
      </c>
      <c r="G418">
        <f>_xlfn.XLOOKUP(CKadeaTelcoLogs_Reseau[[#This Row],[Cell_ID]],'CKadeaTelcoRegistre_Maintenance'!A:A,'CKadeaTelcoRegistre_Maintenance'!D:D,"Non repertorié")</f>
        <v>25.112373000000002</v>
      </c>
      <c r="H418" t="str">
        <f>_xlfn.XLOOKUP(CKadeaTelcoLogs_Reseau[[#This Row],[Cell_ID]],'CKadeaTelcoRegistre_Maintenance'!A:A,'CKadeaTelcoRegistre_Maintenance'!E:E,"Non repertorié")</f>
        <v>3G</v>
      </c>
      <c r="I418" t="str">
        <f>_xlfn.XLOOKUP(CKadeaTelcoLogs_Reseau[[#This Row],[Cell_ID]],'CKadeaTelcoRegistre_Maintenance'!A:A,'CKadeaTelcoRegistre_Maintenance'!F:F,"Non repertorié")</f>
        <v>Huawei</v>
      </c>
    </row>
    <row r="419" spans="1:9" ht="20.5" customHeight="1" x14ac:dyDescent="0.35">
      <c r="A419" s="1">
        <v>45222.584722222222</v>
      </c>
      <c r="B419" s="5" t="s">
        <v>345</v>
      </c>
      <c r="C419">
        <v>15</v>
      </c>
      <c r="D419" t="s">
        <v>10</v>
      </c>
      <c r="E419" t="str">
        <f>_xlfn.XLOOKUP(CKadeaTelcoLogs_Reseau[[#This Row],[Cell_ID]],'CKadeaTelcoRegistre_Maintenance'!A:A,'CKadeaTelcoRegistre_Maintenance'!B:B,"Non repertorié")</f>
        <v>Equateur</v>
      </c>
      <c r="F419">
        <f>_xlfn.XLOOKUP(CKadeaTelcoLogs_Reseau[[#This Row],[Cell_ID]],'CKadeaTelcoRegistre_Maintenance'!A:A,'CKadeaTelcoRegistre_Maintenance'!C:C,"Non repertorié")</f>
        <v>-9.1215879999999991</v>
      </c>
      <c r="G419">
        <f>_xlfn.XLOOKUP(CKadeaTelcoLogs_Reseau[[#This Row],[Cell_ID]],'CKadeaTelcoRegistre_Maintenance'!A:A,'CKadeaTelcoRegistre_Maintenance'!D:D,"Non repertorié")</f>
        <v>16.457916999999998</v>
      </c>
      <c r="H419" t="str">
        <f>_xlfn.XLOOKUP(CKadeaTelcoLogs_Reseau[[#This Row],[Cell_ID]],'CKadeaTelcoRegistre_Maintenance'!A:A,'CKadeaTelcoRegistre_Maintenance'!E:E,"Non repertorié")</f>
        <v>4G</v>
      </c>
      <c r="I419" t="str">
        <f>_xlfn.XLOOKUP(CKadeaTelcoLogs_Reseau[[#This Row],[Cell_ID]],'CKadeaTelcoRegistre_Maintenance'!A:A,'CKadeaTelcoRegistre_Maintenance'!F:F,"Non repertorié")</f>
        <v>Nokia</v>
      </c>
    </row>
    <row r="420" spans="1:9" ht="20.5" customHeight="1" x14ac:dyDescent="0.35">
      <c r="A420" s="1">
        <v>45209.251388888886</v>
      </c>
      <c r="B420" s="5" t="s">
        <v>253</v>
      </c>
      <c r="C420">
        <v>46</v>
      </c>
      <c r="D420" t="s">
        <v>8</v>
      </c>
      <c r="E420" t="str">
        <f>_xlfn.XLOOKUP(CKadeaTelcoLogs_Reseau[[#This Row],[Cell_ID]],'CKadeaTelcoRegistre_Maintenance'!A:A,'CKadeaTelcoRegistre_Maintenance'!B:B,"Non repertorié")</f>
        <v>Non repertorié</v>
      </c>
      <c r="F420" t="str">
        <f>_xlfn.XLOOKUP(CKadeaTelcoLogs_Reseau[[#This Row],[Cell_ID]],'CKadeaTelcoRegistre_Maintenance'!A:A,'CKadeaTelcoRegistre_Maintenance'!C:C,"Non repertorié")</f>
        <v>Non repertorié</v>
      </c>
      <c r="G420" t="str">
        <f>_xlfn.XLOOKUP(CKadeaTelcoLogs_Reseau[[#This Row],[Cell_ID]],'CKadeaTelcoRegistre_Maintenance'!A:A,'CKadeaTelcoRegistre_Maintenance'!D:D,"Non repertorié")</f>
        <v>Non repertorié</v>
      </c>
      <c r="H420" t="str">
        <f>_xlfn.XLOOKUP(CKadeaTelcoLogs_Reseau[[#This Row],[Cell_ID]],'CKadeaTelcoRegistre_Maintenance'!A:A,'CKadeaTelcoRegistre_Maintenance'!E:E,"Non repertorié")</f>
        <v>Non repertorié</v>
      </c>
      <c r="I420" t="str">
        <f>_xlfn.XLOOKUP(CKadeaTelcoLogs_Reseau[[#This Row],[Cell_ID]],'CKadeaTelcoRegistre_Maintenance'!A:A,'CKadeaTelcoRegistre_Maintenance'!F:F,"Non repertorié")</f>
        <v>Non repertorié</v>
      </c>
    </row>
    <row r="421" spans="1:9" ht="20.5" customHeight="1" x14ac:dyDescent="0.35">
      <c r="A421" s="1">
        <v>45225.288888888892</v>
      </c>
      <c r="B421" s="5" t="s">
        <v>297</v>
      </c>
      <c r="C421">
        <v>89</v>
      </c>
      <c r="D421" t="s">
        <v>5</v>
      </c>
      <c r="E421" t="str">
        <f>_xlfn.XLOOKUP(CKadeaTelcoLogs_Reseau[[#This Row],[Cell_ID]],'CKadeaTelcoRegistre_Maintenance'!A:A,'CKadeaTelcoRegistre_Maintenance'!B:B,"Non repertorié")</f>
        <v>Haut-Lomami</v>
      </c>
      <c r="F421">
        <f>_xlfn.XLOOKUP(CKadeaTelcoLogs_Reseau[[#This Row],[Cell_ID]],'CKadeaTelcoRegistre_Maintenance'!A:A,'CKadeaTelcoRegistre_Maintenance'!C:C,"Non repertorié")</f>
        <v>0.16327700000000001</v>
      </c>
      <c r="G421">
        <f>_xlfn.XLOOKUP(CKadeaTelcoLogs_Reseau[[#This Row],[Cell_ID]],'CKadeaTelcoRegistre_Maintenance'!A:A,'CKadeaTelcoRegistre_Maintenance'!D:D,"Non repertorié")</f>
        <v>14.871577</v>
      </c>
      <c r="H421" t="str">
        <f>_xlfn.XLOOKUP(CKadeaTelcoLogs_Reseau[[#This Row],[Cell_ID]],'CKadeaTelcoRegistre_Maintenance'!A:A,'CKadeaTelcoRegistre_Maintenance'!E:E,"Non repertorié")</f>
        <v>4G</v>
      </c>
      <c r="I421" t="str">
        <f>_xlfn.XLOOKUP(CKadeaTelcoLogs_Reseau[[#This Row],[Cell_ID]],'CKadeaTelcoRegistre_Maintenance'!A:A,'CKadeaTelcoRegistre_Maintenance'!F:F,"Non repertorié")</f>
        <v>Huawei</v>
      </c>
    </row>
    <row r="422" spans="1:9" ht="20.5" customHeight="1" x14ac:dyDescent="0.35">
      <c r="A422" s="1">
        <v>45201.457638888889</v>
      </c>
      <c r="B422" s="5" t="s">
        <v>346</v>
      </c>
      <c r="C422">
        <v>42</v>
      </c>
      <c r="D422" t="s">
        <v>10</v>
      </c>
      <c r="E422" t="str">
        <f>_xlfn.XLOOKUP(CKadeaTelcoLogs_Reseau[[#This Row],[Cell_ID]],'CKadeaTelcoRegistre_Maintenance'!A:A,'CKadeaTelcoRegistre_Maintenance'!B:B,"Non repertorié")</f>
        <v>Non repertorié</v>
      </c>
      <c r="F422" t="str">
        <f>_xlfn.XLOOKUP(CKadeaTelcoLogs_Reseau[[#This Row],[Cell_ID]],'CKadeaTelcoRegistre_Maintenance'!A:A,'CKadeaTelcoRegistre_Maintenance'!C:C,"Non repertorié")</f>
        <v>Non repertorié</v>
      </c>
      <c r="G422" t="str">
        <f>_xlfn.XLOOKUP(CKadeaTelcoLogs_Reseau[[#This Row],[Cell_ID]],'CKadeaTelcoRegistre_Maintenance'!A:A,'CKadeaTelcoRegistre_Maintenance'!D:D,"Non repertorié")</f>
        <v>Non repertorié</v>
      </c>
      <c r="H422" t="str">
        <f>_xlfn.XLOOKUP(CKadeaTelcoLogs_Reseau[[#This Row],[Cell_ID]],'CKadeaTelcoRegistre_Maintenance'!A:A,'CKadeaTelcoRegistre_Maintenance'!E:E,"Non repertorié")</f>
        <v>Non repertorié</v>
      </c>
      <c r="I422" t="str">
        <f>_xlfn.XLOOKUP(CKadeaTelcoLogs_Reseau[[#This Row],[Cell_ID]],'CKadeaTelcoRegistre_Maintenance'!A:A,'CKadeaTelcoRegistre_Maintenance'!F:F,"Non repertorié")</f>
        <v>Non repertorié</v>
      </c>
    </row>
    <row r="423" spans="1:9" ht="20.5" customHeight="1" x14ac:dyDescent="0.35">
      <c r="A423" s="1">
        <v>45209.684027777781</v>
      </c>
      <c r="B423" s="5" t="s">
        <v>200</v>
      </c>
      <c r="C423">
        <v>44</v>
      </c>
      <c r="D423" t="s">
        <v>10</v>
      </c>
      <c r="E423" t="str">
        <f>_xlfn.XLOOKUP(CKadeaTelcoLogs_Reseau[[#This Row],[Cell_ID]],'CKadeaTelcoRegistre_Maintenance'!A:A,'CKadeaTelcoRegistre_Maintenance'!B:B,"Non repertorié")</f>
        <v>Non repertorié</v>
      </c>
      <c r="F423" t="str">
        <f>_xlfn.XLOOKUP(CKadeaTelcoLogs_Reseau[[#This Row],[Cell_ID]],'CKadeaTelcoRegistre_Maintenance'!A:A,'CKadeaTelcoRegistre_Maintenance'!C:C,"Non repertorié")</f>
        <v>Non repertorié</v>
      </c>
      <c r="G423" t="str">
        <f>_xlfn.XLOOKUP(CKadeaTelcoLogs_Reseau[[#This Row],[Cell_ID]],'CKadeaTelcoRegistre_Maintenance'!A:A,'CKadeaTelcoRegistre_Maintenance'!D:D,"Non repertorié")</f>
        <v>Non repertorié</v>
      </c>
      <c r="H423" t="str">
        <f>_xlfn.XLOOKUP(CKadeaTelcoLogs_Reseau[[#This Row],[Cell_ID]],'CKadeaTelcoRegistre_Maintenance'!A:A,'CKadeaTelcoRegistre_Maintenance'!E:E,"Non repertorié")</f>
        <v>Non repertorié</v>
      </c>
      <c r="I423" t="str">
        <f>_xlfn.XLOOKUP(CKadeaTelcoLogs_Reseau[[#This Row],[Cell_ID]],'CKadeaTelcoRegistre_Maintenance'!A:A,'CKadeaTelcoRegistre_Maintenance'!F:F,"Non repertorié")</f>
        <v>Non repertorié</v>
      </c>
    </row>
    <row r="424" spans="1:9" ht="20.5" customHeight="1" x14ac:dyDescent="0.35">
      <c r="A424" s="1">
        <v>45226.729166666664</v>
      </c>
      <c r="B424" s="5" t="s">
        <v>347</v>
      </c>
      <c r="C424">
        <v>62</v>
      </c>
      <c r="D424" t="s">
        <v>8</v>
      </c>
      <c r="E424" t="str">
        <f>_xlfn.XLOOKUP(CKadeaTelcoLogs_Reseau[[#This Row],[Cell_ID]],'CKadeaTelcoRegistre_Maintenance'!A:A,'CKadeaTelcoRegistre_Maintenance'!B:B,"Non repertorié")</f>
        <v>Non repertorié</v>
      </c>
      <c r="F424" t="str">
        <f>_xlfn.XLOOKUP(CKadeaTelcoLogs_Reseau[[#This Row],[Cell_ID]],'CKadeaTelcoRegistre_Maintenance'!A:A,'CKadeaTelcoRegistre_Maintenance'!C:C,"Non repertorié")</f>
        <v>Non repertorié</v>
      </c>
      <c r="G424" t="str">
        <f>_xlfn.XLOOKUP(CKadeaTelcoLogs_Reseau[[#This Row],[Cell_ID]],'CKadeaTelcoRegistre_Maintenance'!A:A,'CKadeaTelcoRegistre_Maintenance'!D:D,"Non repertorié")</f>
        <v>Non repertorié</v>
      </c>
      <c r="H424" t="str">
        <f>_xlfn.XLOOKUP(CKadeaTelcoLogs_Reseau[[#This Row],[Cell_ID]],'CKadeaTelcoRegistre_Maintenance'!A:A,'CKadeaTelcoRegistre_Maintenance'!E:E,"Non repertorié")</f>
        <v>Non repertorié</v>
      </c>
      <c r="I424" t="str">
        <f>_xlfn.XLOOKUP(CKadeaTelcoLogs_Reseau[[#This Row],[Cell_ID]],'CKadeaTelcoRegistre_Maintenance'!A:A,'CKadeaTelcoRegistre_Maintenance'!F:F,"Non repertorié")</f>
        <v>Non repertorié</v>
      </c>
    </row>
    <row r="425" spans="1:9" ht="20.5" customHeight="1" x14ac:dyDescent="0.35">
      <c r="A425" s="1">
        <v>45208.074999999997</v>
      </c>
      <c r="B425" s="5" t="s">
        <v>255</v>
      </c>
      <c r="C425">
        <v>82</v>
      </c>
      <c r="D425" t="s">
        <v>10</v>
      </c>
      <c r="E425" t="str">
        <f>_xlfn.XLOOKUP(CKadeaTelcoLogs_Reseau[[#This Row],[Cell_ID]],'CKadeaTelcoRegistre_Maintenance'!A:A,'CKadeaTelcoRegistre_Maintenance'!B:B,"Non repertorié")</f>
        <v>Non repertorié</v>
      </c>
      <c r="F425" t="str">
        <f>_xlfn.XLOOKUP(CKadeaTelcoLogs_Reseau[[#This Row],[Cell_ID]],'CKadeaTelcoRegistre_Maintenance'!A:A,'CKadeaTelcoRegistre_Maintenance'!C:C,"Non repertorié")</f>
        <v>Non repertorié</v>
      </c>
      <c r="G425" t="str">
        <f>_xlfn.XLOOKUP(CKadeaTelcoLogs_Reseau[[#This Row],[Cell_ID]],'CKadeaTelcoRegistre_Maintenance'!A:A,'CKadeaTelcoRegistre_Maintenance'!D:D,"Non repertorié")</f>
        <v>Non repertorié</v>
      </c>
      <c r="H425" t="str">
        <f>_xlfn.XLOOKUP(CKadeaTelcoLogs_Reseau[[#This Row],[Cell_ID]],'CKadeaTelcoRegistre_Maintenance'!A:A,'CKadeaTelcoRegistre_Maintenance'!E:E,"Non repertorié")</f>
        <v>Non repertorié</v>
      </c>
      <c r="I425" t="str">
        <f>_xlfn.XLOOKUP(CKadeaTelcoLogs_Reseau[[#This Row],[Cell_ID]],'CKadeaTelcoRegistre_Maintenance'!A:A,'CKadeaTelcoRegistre_Maintenance'!F:F,"Non repertorié")</f>
        <v>Non repertorié</v>
      </c>
    </row>
    <row r="426" spans="1:9" ht="20.5" customHeight="1" x14ac:dyDescent="0.35">
      <c r="A426" s="1">
        <v>45220.262499999997</v>
      </c>
      <c r="B426" s="5" t="s">
        <v>348</v>
      </c>
      <c r="C426">
        <v>96</v>
      </c>
      <c r="D426" t="s">
        <v>5</v>
      </c>
      <c r="E426" t="str">
        <f>_xlfn.XLOOKUP(CKadeaTelcoLogs_Reseau[[#This Row],[Cell_ID]],'CKadeaTelcoRegistre_Maintenance'!A:A,'CKadeaTelcoRegistre_Maintenance'!B:B,"Non repertorié")</f>
        <v>Non repertorié</v>
      </c>
      <c r="F426" t="str">
        <f>_xlfn.XLOOKUP(CKadeaTelcoLogs_Reseau[[#This Row],[Cell_ID]],'CKadeaTelcoRegistre_Maintenance'!A:A,'CKadeaTelcoRegistre_Maintenance'!C:C,"Non repertorié")</f>
        <v>Non repertorié</v>
      </c>
      <c r="G426" t="str">
        <f>_xlfn.XLOOKUP(CKadeaTelcoLogs_Reseau[[#This Row],[Cell_ID]],'CKadeaTelcoRegistre_Maintenance'!A:A,'CKadeaTelcoRegistre_Maintenance'!D:D,"Non repertorié")</f>
        <v>Non repertorié</v>
      </c>
      <c r="H426" t="str">
        <f>_xlfn.XLOOKUP(CKadeaTelcoLogs_Reseau[[#This Row],[Cell_ID]],'CKadeaTelcoRegistre_Maintenance'!A:A,'CKadeaTelcoRegistre_Maintenance'!E:E,"Non repertorié")</f>
        <v>Non repertorié</v>
      </c>
      <c r="I426" t="str">
        <f>_xlfn.XLOOKUP(CKadeaTelcoLogs_Reseau[[#This Row],[Cell_ID]],'CKadeaTelcoRegistre_Maintenance'!A:A,'CKadeaTelcoRegistre_Maintenance'!F:F,"Non repertorié")</f>
        <v>Non repertorié</v>
      </c>
    </row>
    <row r="427" spans="1:9" ht="20.5" customHeight="1" x14ac:dyDescent="0.35">
      <c r="A427" s="1">
        <v>45211.079861111109</v>
      </c>
      <c r="B427" s="5" t="s">
        <v>349</v>
      </c>
      <c r="C427">
        <v>59</v>
      </c>
      <c r="D427" t="s">
        <v>8</v>
      </c>
      <c r="E427" t="str">
        <f>_xlfn.XLOOKUP(CKadeaTelcoLogs_Reseau[[#This Row],[Cell_ID]],'CKadeaTelcoRegistre_Maintenance'!A:A,'CKadeaTelcoRegistre_Maintenance'!B:B,"Non repertorié")</f>
        <v>Non repertorié</v>
      </c>
      <c r="F427" t="str">
        <f>_xlfn.XLOOKUP(CKadeaTelcoLogs_Reseau[[#This Row],[Cell_ID]],'CKadeaTelcoRegistre_Maintenance'!A:A,'CKadeaTelcoRegistre_Maintenance'!C:C,"Non repertorié")</f>
        <v>Non repertorié</v>
      </c>
      <c r="G427" t="str">
        <f>_xlfn.XLOOKUP(CKadeaTelcoLogs_Reseau[[#This Row],[Cell_ID]],'CKadeaTelcoRegistre_Maintenance'!A:A,'CKadeaTelcoRegistre_Maintenance'!D:D,"Non repertorié")</f>
        <v>Non repertorié</v>
      </c>
      <c r="H427" t="str">
        <f>_xlfn.XLOOKUP(CKadeaTelcoLogs_Reseau[[#This Row],[Cell_ID]],'CKadeaTelcoRegistre_Maintenance'!A:A,'CKadeaTelcoRegistre_Maintenance'!E:E,"Non repertorié")</f>
        <v>Non repertorié</v>
      </c>
      <c r="I427" t="str">
        <f>_xlfn.XLOOKUP(CKadeaTelcoLogs_Reseau[[#This Row],[Cell_ID]],'CKadeaTelcoRegistre_Maintenance'!A:A,'CKadeaTelcoRegistre_Maintenance'!F:F,"Non repertorié")</f>
        <v>Non repertorié</v>
      </c>
    </row>
    <row r="428" spans="1:9" ht="20.5" customHeight="1" x14ac:dyDescent="0.35">
      <c r="A428" s="1">
        <v>45220.428472222222</v>
      </c>
      <c r="B428" s="5" t="s">
        <v>32</v>
      </c>
      <c r="C428">
        <v>26</v>
      </c>
      <c r="D428" t="s">
        <v>10</v>
      </c>
      <c r="E428" t="str">
        <f>_xlfn.XLOOKUP(CKadeaTelcoLogs_Reseau[[#This Row],[Cell_ID]],'CKadeaTelcoRegistre_Maintenance'!A:A,'CKadeaTelcoRegistre_Maintenance'!B:B,"Non repertorié")</f>
        <v>Non repertorié</v>
      </c>
      <c r="F428" t="str">
        <f>_xlfn.XLOOKUP(CKadeaTelcoLogs_Reseau[[#This Row],[Cell_ID]],'CKadeaTelcoRegistre_Maintenance'!A:A,'CKadeaTelcoRegistre_Maintenance'!C:C,"Non repertorié")</f>
        <v>Non repertorié</v>
      </c>
      <c r="G428" t="str">
        <f>_xlfn.XLOOKUP(CKadeaTelcoLogs_Reseau[[#This Row],[Cell_ID]],'CKadeaTelcoRegistre_Maintenance'!A:A,'CKadeaTelcoRegistre_Maintenance'!D:D,"Non repertorié")</f>
        <v>Non repertorié</v>
      </c>
      <c r="H428" t="str">
        <f>_xlfn.XLOOKUP(CKadeaTelcoLogs_Reseau[[#This Row],[Cell_ID]],'CKadeaTelcoRegistre_Maintenance'!A:A,'CKadeaTelcoRegistre_Maintenance'!E:E,"Non repertorié")</f>
        <v>Non repertorié</v>
      </c>
      <c r="I428" t="str">
        <f>_xlfn.XLOOKUP(CKadeaTelcoLogs_Reseau[[#This Row],[Cell_ID]],'CKadeaTelcoRegistre_Maintenance'!A:A,'CKadeaTelcoRegistre_Maintenance'!F:F,"Non repertorié")</f>
        <v>Non repertorié</v>
      </c>
    </row>
    <row r="429" spans="1:9" ht="20.5" customHeight="1" x14ac:dyDescent="0.35">
      <c r="A429" s="1">
        <v>45203.477083333331</v>
      </c>
      <c r="B429" s="5" t="s">
        <v>350</v>
      </c>
      <c r="C429">
        <v>93</v>
      </c>
      <c r="D429" t="s">
        <v>8</v>
      </c>
      <c r="E429" t="str">
        <f>_xlfn.XLOOKUP(CKadeaTelcoLogs_Reseau[[#This Row],[Cell_ID]],'CKadeaTelcoRegistre_Maintenance'!A:A,'CKadeaTelcoRegistre_Maintenance'!B:B,"Non repertorié")</f>
        <v>Non repertorié</v>
      </c>
      <c r="F429" t="str">
        <f>_xlfn.XLOOKUP(CKadeaTelcoLogs_Reseau[[#This Row],[Cell_ID]],'CKadeaTelcoRegistre_Maintenance'!A:A,'CKadeaTelcoRegistre_Maintenance'!C:C,"Non repertorié")</f>
        <v>Non repertorié</v>
      </c>
      <c r="G429" t="str">
        <f>_xlfn.XLOOKUP(CKadeaTelcoLogs_Reseau[[#This Row],[Cell_ID]],'CKadeaTelcoRegistre_Maintenance'!A:A,'CKadeaTelcoRegistre_Maintenance'!D:D,"Non repertorié")</f>
        <v>Non repertorié</v>
      </c>
      <c r="H429" t="str">
        <f>_xlfn.XLOOKUP(CKadeaTelcoLogs_Reseau[[#This Row],[Cell_ID]],'CKadeaTelcoRegistre_Maintenance'!A:A,'CKadeaTelcoRegistre_Maintenance'!E:E,"Non repertorié")</f>
        <v>Non repertorié</v>
      </c>
      <c r="I429" t="str">
        <f>_xlfn.XLOOKUP(CKadeaTelcoLogs_Reseau[[#This Row],[Cell_ID]],'CKadeaTelcoRegistre_Maintenance'!A:A,'CKadeaTelcoRegistre_Maintenance'!F:F,"Non repertorié")</f>
        <v>Non repertorié</v>
      </c>
    </row>
    <row r="430" spans="1:9" ht="20.5" customHeight="1" x14ac:dyDescent="0.35">
      <c r="A430" s="1">
        <v>45202.912499999999</v>
      </c>
      <c r="B430" s="5" t="s">
        <v>351</v>
      </c>
      <c r="C430">
        <v>68</v>
      </c>
      <c r="D430" t="s">
        <v>10</v>
      </c>
      <c r="E430" t="str">
        <f>_xlfn.XLOOKUP(CKadeaTelcoLogs_Reseau[[#This Row],[Cell_ID]],'CKadeaTelcoRegistre_Maintenance'!A:A,'CKadeaTelcoRegistre_Maintenance'!B:B,"Non repertorié")</f>
        <v>Non repertorié</v>
      </c>
      <c r="F430" t="str">
        <f>_xlfn.XLOOKUP(CKadeaTelcoLogs_Reseau[[#This Row],[Cell_ID]],'CKadeaTelcoRegistre_Maintenance'!A:A,'CKadeaTelcoRegistre_Maintenance'!C:C,"Non repertorié")</f>
        <v>Non repertorié</v>
      </c>
      <c r="G430" t="str">
        <f>_xlfn.XLOOKUP(CKadeaTelcoLogs_Reseau[[#This Row],[Cell_ID]],'CKadeaTelcoRegistre_Maintenance'!A:A,'CKadeaTelcoRegistre_Maintenance'!D:D,"Non repertorié")</f>
        <v>Non repertorié</v>
      </c>
      <c r="H430" t="str">
        <f>_xlfn.XLOOKUP(CKadeaTelcoLogs_Reseau[[#This Row],[Cell_ID]],'CKadeaTelcoRegistre_Maintenance'!A:A,'CKadeaTelcoRegistre_Maintenance'!E:E,"Non repertorié")</f>
        <v>Non repertorié</v>
      </c>
      <c r="I430" t="str">
        <f>_xlfn.XLOOKUP(CKadeaTelcoLogs_Reseau[[#This Row],[Cell_ID]],'CKadeaTelcoRegistre_Maintenance'!A:A,'CKadeaTelcoRegistre_Maintenance'!F:F,"Non repertorié")</f>
        <v>Non repertorié</v>
      </c>
    </row>
    <row r="431" spans="1:9" ht="20.5" customHeight="1" x14ac:dyDescent="0.35">
      <c r="A431" s="1">
        <v>45210.890277777777</v>
      </c>
      <c r="B431" s="5" t="s">
        <v>195</v>
      </c>
      <c r="C431">
        <v>118</v>
      </c>
      <c r="D431" t="s">
        <v>5</v>
      </c>
      <c r="E431" t="str">
        <f>_xlfn.XLOOKUP(CKadeaTelcoLogs_Reseau[[#This Row],[Cell_ID]],'CKadeaTelcoRegistre_Maintenance'!A:A,'CKadeaTelcoRegistre_Maintenance'!B:B,"Non repertorié")</f>
        <v>Non repertorié</v>
      </c>
      <c r="F431" t="str">
        <f>_xlfn.XLOOKUP(CKadeaTelcoLogs_Reseau[[#This Row],[Cell_ID]],'CKadeaTelcoRegistre_Maintenance'!A:A,'CKadeaTelcoRegistre_Maintenance'!C:C,"Non repertorié")</f>
        <v>Non repertorié</v>
      </c>
      <c r="G431" t="str">
        <f>_xlfn.XLOOKUP(CKadeaTelcoLogs_Reseau[[#This Row],[Cell_ID]],'CKadeaTelcoRegistre_Maintenance'!A:A,'CKadeaTelcoRegistre_Maintenance'!D:D,"Non repertorié")</f>
        <v>Non repertorié</v>
      </c>
      <c r="H431" t="str">
        <f>_xlfn.XLOOKUP(CKadeaTelcoLogs_Reseau[[#This Row],[Cell_ID]],'CKadeaTelcoRegistre_Maintenance'!A:A,'CKadeaTelcoRegistre_Maintenance'!E:E,"Non repertorié")</f>
        <v>Non repertorié</v>
      </c>
      <c r="I431" t="str">
        <f>_xlfn.XLOOKUP(CKadeaTelcoLogs_Reseau[[#This Row],[Cell_ID]],'CKadeaTelcoRegistre_Maintenance'!A:A,'CKadeaTelcoRegistre_Maintenance'!F:F,"Non repertorié")</f>
        <v>Non repertorié</v>
      </c>
    </row>
    <row r="432" spans="1:9" ht="20.5" customHeight="1" x14ac:dyDescent="0.35">
      <c r="A432" s="1">
        <v>45222.107638888891</v>
      </c>
      <c r="B432" s="5" t="s">
        <v>116</v>
      </c>
      <c r="C432">
        <v>85</v>
      </c>
      <c r="D432" t="s">
        <v>5</v>
      </c>
      <c r="E432" t="str">
        <f>_xlfn.XLOOKUP(CKadeaTelcoLogs_Reseau[[#This Row],[Cell_ID]],'CKadeaTelcoRegistre_Maintenance'!A:A,'CKadeaTelcoRegistre_Maintenance'!B:B,"Non repertorié")</f>
        <v>Non repertorié</v>
      </c>
      <c r="F432" t="str">
        <f>_xlfn.XLOOKUP(CKadeaTelcoLogs_Reseau[[#This Row],[Cell_ID]],'CKadeaTelcoRegistre_Maintenance'!A:A,'CKadeaTelcoRegistre_Maintenance'!C:C,"Non repertorié")</f>
        <v>Non repertorié</v>
      </c>
      <c r="G432" t="str">
        <f>_xlfn.XLOOKUP(CKadeaTelcoLogs_Reseau[[#This Row],[Cell_ID]],'CKadeaTelcoRegistre_Maintenance'!A:A,'CKadeaTelcoRegistre_Maintenance'!D:D,"Non repertorié")</f>
        <v>Non repertorié</v>
      </c>
      <c r="H432" t="str">
        <f>_xlfn.XLOOKUP(CKadeaTelcoLogs_Reseau[[#This Row],[Cell_ID]],'CKadeaTelcoRegistre_Maintenance'!A:A,'CKadeaTelcoRegistre_Maintenance'!E:E,"Non repertorié")</f>
        <v>Non repertorié</v>
      </c>
      <c r="I432" t="str">
        <f>_xlfn.XLOOKUP(CKadeaTelcoLogs_Reseau[[#This Row],[Cell_ID]],'CKadeaTelcoRegistre_Maintenance'!A:A,'CKadeaTelcoRegistre_Maintenance'!F:F,"Non repertorié")</f>
        <v>Non repertorié</v>
      </c>
    </row>
    <row r="433" spans="1:9" ht="20.5" customHeight="1" x14ac:dyDescent="0.35">
      <c r="A433" s="1">
        <v>45217.414583333331</v>
      </c>
      <c r="B433" s="5" t="s">
        <v>119</v>
      </c>
      <c r="C433">
        <v>74</v>
      </c>
      <c r="D433" t="s">
        <v>10</v>
      </c>
      <c r="E433" t="str">
        <f>_xlfn.XLOOKUP(CKadeaTelcoLogs_Reseau[[#This Row],[Cell_ID]],'CKadeaTelcoRegistre_Maintenance'!A:A,'CKadeaTelcoRegistre_Maintenance'!B:B,"Non repertorié")</f>
        <v>Non repertorié</v>
      </c>
      <c r="F433" t="str">
        <f>_xlfn.XLOOKUP(CKadeaTelcoLogs_Reseau[[#This Row],[Cell_ID]],'CKadeaTelcoRegistre_Maintenance'!A:A,'CKadeaTelcoRegistre_Maintenance'!C:C,"Non repertorié")</f>
        <v>Non repertorié</v>
      </c>
      <c r="G433" t="str">
        <f>_xlfn.XLOOKUP(CKadeaTelcoLogs_Reseau[[#This Row],[Cell_ID]],'CKadeaTelcoRegistre_Maintenance'!A:A,'CKadeaTelcoRegistre_Maintenance'!D:D,"Non repertorié")</f>
        <v>Non repertorié</v>
      </c>
      <c r="H433" t="str">
        <f>_xlfn.XLOOKUP(CKadeaTelcoLogs_Reseau[[#This Row],[Cell_ID]],'CKadeaTelcoRegistre_Maintenance'!A:A,'CKadeaTelcoRegistre_Maintenance'!E:E,"Non repertorié")</f>
        <v>Non repertorié</v>
      </c>
      <c r="I433" t="str">
        <f>_xlfn.XLOOKUP(CKadeaTelcoLogs_Reseau[[#This Row],[Cell_ID]],'CKadeaTelcoRegistre_Maintenance'!A:A,'CKadeaTelcoRegistre_Maintenance'!F:F,"Non repertorié")</f>
        <v>Non repertorié</v>
      </c>
    </row>
    <row r="434" spans="1:9" ht="20.5" customHeight="1" x14ac:dyDescent="0.35">
      <c r="A434" s="1">
        <v>45209.239583333336</v>
      </c>
      <c r="B434" s="5" t="s">
        <v>352</v>
      </c>
      <c r="C434">
        <v>42</v>
      </c>
      <c r="D434" t="s">
        <v>10</v>
      </c>
      <c r="E434" t="str">
        <f>_xlfn.XLOOKUP(CKadeaTelcoLogs_Reseau[[#This Row],[Cell_ID]],'CKadeaTelcoRegistre_Maintenance'!A:A,'CKadeaTelcoRegistre_Maintenance'!B:B,"Non repertorié")</f>
        <v>Non repertorié</v>
      </c>
      <c r="F434" t="str">
        <f>_xlfn.XLOOKUP(CKadeaTelcoLogs_Reseau[[#This Row],[Cell_ID]],'CKadeaTelcoRegistre_Maintenance'!A:A,'CKadeaTelcoRegistre_Maintenance'!C:C,"Non repertorié")</f>
        <v>Non repertorié</v>
      </c>
      <c r="G434" t="str">
        <f>_xlfn.XLOOKUP(CKadeaTelcoLogs_Reseau[[#This Row],[Cell_ID]],'CKadeaTelcoRegistre_Maintenance'!A:A,'CKadeaTelcoRegistre_Maintenance'!D:D,"Non repertorié")</f>
        <v>Non repertorié</v>
      </c>
      <c r="H434" t="str">
        <f>_xlfn.XLOOKUP(CKadeaTelcoLogs_Reseau[[#This Row],[Cell_ID]],'CKadeaTelcoRegistre_Maintenance'!A:A,'CKadeaTelcoRegistre_Maintenance'!E:E,"Non repertorié")</f>
        <v>Non repertorié</v>
      </c>
      <c r="I434" t="str">
        <f>_xlfn.XLOOKUP(CKadeaTelcoLogs_Reseau[[#This Row],[Cell_ID]],'CKadeaTelcoRegistre_Maintenance'!A:A,'CKadeaTelcoRegistre_Maintenance'!F:F,"Non repertorié")</f>
        <v>Non repertorié</v>
      </c>
    </row>
    <row r="435" spans="1:9" ht="20.5" customHeight="1" x14ac:dyDescent="0.35">
      <c r="A435" s="1">
        <v>45222.944444444445</v>
      </c>
      <c r="B435" s="5" t="s">
        <v>214</v>
      </c>
      <c r="C435">
        <v>87</v>
      </c>
      <c r="D435" t="s">
        <v>8</v>
      </c>
      <c r="E435" t="str">
        <f>_xlfn.XLOOKUP(CKadeaTelcoLogs_Reseau[[#This Row],[Cell_ID]],'CKadeaTelcoRegistre_Maintenance'!A:A,'CKadeaTelcoRegistre_Maintenance'!B:B,"Non repertorié")</f>
        <v>Non repertorié</v>
      </c>
      <c r="F435" t="str">
        <f>_xlfn.XLOOKUP(CKadeaTelcoLogs_Reseau[[#This Row],[Cell_ID]],'CKadeaTelcoRegistre_Maintenance'!A:A,'CKadeaTelcoRegistre_Maintenance'!C:C,"Non repertorié")</f>
        <v>Non repertorié</v>
      </c>
      <c r="G435" t="str">
        <f>_xlfn.XLOOKUP(CKadeaTelcoLogs_Reseau[[#This Row],[Cell_ID]],'CKadeaTelcoRegistre_Maintenance'!A:A,'CKadeaTelcoRegistre_Maintenance'!D:D,"Non repertorié")</f>
        <v>Non repertorié</v>
      </c>
      <c r="H435" t="str">
        <f>_xlfn.XLOOKUP(CKadeaTelcoLogs_Reseau[[#This Row],[Cell_ID]],'CKadeaTelcoRegistre_Maintenance'!A:A,'CKadeaTelcoRegistre_Maintenance'!E:E,"Non repertorié")</f>
        <v>Non repertorié</v>
      </c>
      <c r="I435" t="str">
        <f>_xlfn.XLOOKUP(CKadeaTelcoLogs_Reseau[[#This Row],[Cell_ID]],'CKadeaTelcoRegistre_Maintenance'!A:A,'CKadeaTelcoRegistre_Maintenance'!F:F,"Non repertorié")</f>
        <v>Non repertorié</v>
      </c>
    </row>
    <row r="436" spans="1:9" ht="20.5" customHeight="1" x14ac:dyDescent="0.35">
      <c r="A436" s="1">
        <v>45205.480555555558</v>
      </c>
      <c r="B436" s="5" t="s">
        <v>353</v>
      </c>
      <c r="C436">
        <v>43</v>
      </c>
      <c r="D436" t="s">
        <v>8</v>
      </c>
      <c r="E436" t="str">
        <f>_xlfn.XLOOKUP(CKadeaTelcoLogs_Reseau[[#This Row],[Cell_ID]],'CKadeaTelcoRegistre_Maintenance'!A:A,'CKadeaTelcoRegistre_Maintenance'!B:B,"Non repertorié")</f>
        <v>Non repertorié</v>
      </c>
      <c r="F436" t="str">
        <f>_xlfn.XLOOKUP(CKadeaTelcoLogs_Reseau[[#This Row],[Cell_ID]],'CKadeaTelcoRegistre_Maintenance'!A:A,'CKadeaTelcoRegistre_Maintenance'!C:C,"Non repertorié")</f>
        <v>Non repertorié</v>
      </c>
      <c r="G436" t="str">
        <f>_xlfn.XLOOKUP(CKadeaTelcoLogs_Reseau[[#This Row],[Cell_ID]],'CKadeaTelcoRegistre_Maintenance'!A:A,'CKadeaTelcoRegistre_Maintenance'!D:D,"Non repertorié")</f>
        <v>Non repertorié</v>
      </c>
      <c r="H436" t="str">
        <f>_xlfn.XLOOKUP(CKadeaTelcoLogs_Reseau[[#This Row],[Cell_ID]],'CKadeaTelcoRegistre_Maintenance'!A:A,'CKadeaTelcoRegistre_Maintenance'!E:E,"Non repertorié")</f>
        <v>Non repertorié</v>
      </c>
      <c r="I436" t="str">
        <f>_xlfn.XLOOKUP(CKadeaTelcoLogs_Reseau[[#This Row],[Cell_ID]],'CKadeaTelcoRegistre_Maintenance'!A:A,'CKadeaTelcoRegistre_Maintenance'!F:F,"Non repertorié")</f>
        <v>Non repertorié</v>
      </c>
    </row>
    <row r="437" spans="1:9" ht="20.5" customHeight="1" x14ac:dyDescent="0.35">
      <c r="A437" s="1">
        <v>45207.133333333331</v>
      </c>
      <c r="B437" s="5" t="s">
        <v>354</v>
      </c>
      <c r="C437">
        <v>66</v>
      </c>
      <c r="D437" t="s">
        <v>8</v>
      </c>
      <c r="E437" t="str">
        <f>_xlfn.XLOOKUP(CKadeaTelcoLogs_Reseau[[#This Row],[Cell_ID]],'CKadeaTelcoRegistre_Maintenance'!A:A,'CKadeaTelcoRegistre_Maintenance'!B:B,"Non repertorié")</f>
        <v>Kasai-Oriental</v>
      </c>
      <c r="F437">
        <f>_xlfn.XLOOKUP(CKadeaTelcoLogs_Reseau[[#This Row],[Cell_ID]],'CKadeaTelcoRegistre_Maintenance'!A:A,'CKadeaTelcoRegistre_Maintenance'!C:C,"Non repertorié")</f>
        <v>-5.4073029999999997</v>
      </c>
      <c r="G437">
        <f>_xlfn.XLOOKUP(CKadeaTelcoLogs_Reseau[[#This Row],[Cell_ID]],'CKadeaTelcoRegistre_Maintenance'!A:A,'CKadeaTelcoRegistre_Maintenance'!D:D,"Non repertorié")</f>
        <v>29.762294000000001</v>
      </c>
      <c r="H437" t="str">
        <f>_xlfn.XLOOKUP(CKadeaTelcoLogs_Reseau[[#This Row],[Cell_ID]],'CKadeaTelcoRegistre_Maintenance'!A:A,'CKadeaTelcoRegistre_Maintenance'!E:E,"Non repertorié")</f>
        <v>3G</v>
      </c>
      <c r="I437" t="str">
        <f>_xlfn.XLOOKUP(CKadeaTelcoLogs_Reseau[[#This Row],[Cell_ID]],'CKadeaTelcoRegistre_Maintenance'!A:A,'CKadeaTelcoRegistre_Maintenance'!F:F,"Non repertorié")</f>
        <v>Ericsson</v>
      </c>
    </row>
    <row r="438" spans="1:9" ht="20.5" customHeight="1" x14ac:dyDescent="0.35">
      <c r="A438" s="1">
        <v>45225.177083333336</v>
      </c>
      <c r="B438" s="5" t="s">
        <v>355</v>
      </c>
      <c r="C438">
        <v>36</v>
      </c>
      <c r="D438" t="s">
        <v>10</v>
      </c>
      <c r="E438" t="str">
        <f>_xlfn.XLOOKUP(CKadeaTelcoLogs_Reseau[[#This Row],[Cell_ID]],'CKadeaTelcoRegistre_Maintenance'!A:A,'CKadeaTelcoRegistre_Maintenance'!B:B,"Non repertorié")</f>
        <v>Non repertorié</v>
      </c>
      <c r="F438" t="str">
        <f>_xlfn.XLOOKUP(CKadeaTelcoLogs_Reseau[[#This Row],[Cell_ID]],'CKadeaTelcoRegistre_Maintenance'!A:A,'CKadeaTelcoRegistre_Maintenance'!C:C,"Non repertorié")</f>
        <v>Non repertorié</v>
      </c>
      <c r="G438" t="str">
        <f>_xlfn.XLOOKUP(CKadeaTelcoLogs_Reseau[[#This Row],[Cell_ID]],'CKadeaTelcoRegistre_Maintenance'!A:A,'CKadeaTelcoRegistre_Maintenance'!D:D,"Non repertorié")</f>
        <v>Non repertorié</v>
      </c>
      <c r="H438" t="str">
        <f>_xlfn.XLOOKUP(CKadeaTelcoLogs_Reseau[[#This Row],[Cell_ID]],'CKadeaTelcoRegistre_Maintenance'!A:A,'CKadeaTelcoRegistre_Maintenance'!E:E,"Non repertorié")</f>
        <v>Non repertorié</v>
      </c>
      <c r="I438" t="str">
        <f>_xlfn.XLOOKUP(CKadeaTelcoLogs_Reseau[[#This Row],[Cell_ID]],'CKadeaTelcoRegistre_Maintenance'!A:A,'CKadeaTelcoRegistre_Maintenance'!F:F,"Non repertorié")</f>
        <v>Non repertorié</v>
      </c>
    </row>
    <row r="439" spans="1:9" ht="20.5" customHeight="1" x14ac:dyDescent="0.35">
      <c r="A439" s="1">
        <v>45225.625694444447</v>
      </c>
      <c r="B439" s="5" t="s">
        <v>356</v>
      </c>
      <c r="C439">
        <v>108</v>
      </c>
      <c r="D439" t="s">
        <v>10</v>
      </c>
      <c r="E439" t="str">
        <f>_xlfn.XLOOKUP(CKadeaTelcoLogs_Reseau[[#This Row],[Cell_ID]],'CKadeaTelcoRegistre_Maintenance'!A:A,'CKadeaTelcoRegistre_Maintenance'!B:B,"Non repertorié")</f>
        <v>Sud-Ubangi</v>
      </c>
      <c r="F439">
        <f>_xlfn.XLOOKUP(CKadeaTelcoLogs_Reseau[[#This Row],[Cell_ID]],'CKadeaTelcoRegistre_Maintenance'!A:A,'CKadeaTelcoRegistre_Maintenance'!C:C,"Non repertorié")</f>
        <v>-10.611184</v>
      </c>
      <c r="G439">
        <f>_xlfn.XLOOKUP(CKadeaTelcoLogs_Reseau[[#This Row],[Cell_ID]],'CKadeaTelcoRegistre_Maintenance'!A:A,'CKadeaTelcoRegistre_Maintenance'!D:D,"Non repertorié")</f>
        <v>23.022268</v>
      </c>
      <c r="H439" t="str">
        <f>_xlfn.XLOOKUP(CKadeaTelcoLogs_Reseau[[#This Row],[Cell_ID]],'CKadeaTelcoRegistre_Maintenance'!A:A,'CKadeaTelcoRegistre_Maintenance'!E:E,"Non repertorié")</f>
        <v>5G</v>
      </c>
      <c r="I439" t="str">
        <f>_xlfn.XLOOKUP(CKadeaTelcoLogs_Reseau[[#This Row],[Cell_ID]],'CKadeaTelcoRegistre_Maintenance'!A:A,'CKadeaTelcoRegistre_Maintenance'!F:F,"Non repertorié")</f>
        <v>ZTE</v>
      </c>
    </row>
    <row r="440" spans="1:9" ht="20.5" customHeight="1" x14ac:dyDescent="0.35">
      <c r="A440" s="1">
        <v>45211.73333333333</v>
      </c>
      <c r="B440" s="5" t="s">
        <v>357</v>
      </c>
      <c r="C440">
        <v>108</v>
      </c>
      <c r="D440" t="s">
        <v>8</v>
      </c>
      <c r="E440" t="str">
        <f>_xlfn.XLOOKUP(CKadeaTelcoLogs_Reseau[[#This Row],[Cell_ID]],'CKadeaTelcoRegistre_Maintenance'!A:A,'CKadeaTelcoRegistre_Maintenance'!B:B,"Non repertorié")</f>
        <v>Non repertorié</v>
      </c>
      <c r="F440" t="str">
        <f>_xlfn.XLOOKUP(CKadeaTelcoLogs_Reseau[[#This Row],[Cell_ID]],'CKadeaTelcoRegistre_Maintenance'!A:A,'CKadeaTelcoRegistre_Maintenance'!C:C,"Non repertorié")</f>
        <v>Non repertorié</v>
      </c>
      <c r="G440" t="str">
        <f>_xlfn.XLOOKUP(CKadeaTelcoLogs_Reseau[[#This Row],[Cell_ID]],'CKadeaTelcoRegistre_Maintenance'!A:A,'CKadeaTelcoRegistre_Maintenance'!D:D,"Non repertorié")</f>
        <v>Non repertorié</v>
      </c>
      <c r="H440" t="str">
        <f>_xlfn.XLOOKUP(CKadeaTelcoLogs_Reseau[[#This Row],[Cell_ID]],'CKadeaTelcoRegistre_Maintenance'!A:A,'CKadeaTelcoRegistre_Maintenance'!E:E,"Non repertorié")</f>
        <v>Non repertorié</v>
      </c>
      <c r="I440" t="str">
        <f>_xlfn.XLOOKUP(CKadeaTelcoLogs_Reseau[[#This Row],[Cell_ID]],'CKadeaTelcoRegistre_Maintenance'!A:A,'CKadeaTelcoRegistre_Maintenance'!F:F,"Non repertorié")</f>
        <v>Non repertorié</v>
      </c>
    </row>
    <row r="441" spans="1:9" ht="20.5" customHeight="1" x14ac:dyDescent="0.35">
      <c r="A441" s="1">
        <v>45211.618750000001</v>
      </c>
      <c r="B441" s="5" t="s">
        <v>358</v>
      </c>
      <c r="C441">
        <v>92</v>
      </c>
      <c r="D441" t="s">
        <v>5</v>
      </c>
      <c r="E441" t="str">
        <f>_xlfn.XLOOKUP(CKadeaTelcoLogs_Reseau[[#This Row],[Cell_ID]],'CKadeaTelcoRegistre_Maintenance'!A:A,'CKadeaTelcoRegistre_Maintenance'!B:B,"Non repertorié")</f>
        <v>Tshopo</v>
      </c>
      <c r="F441">
        <f>_xlfn.XLOOKUP(CKadeaTelcoLogs_Reseau[[#This Row],[Cell_ID]],'CKadeaTelcoRegistre_Maintenance'!A:A,'CKadeaTelcoRegistre_Maintenance'!C:C,"Non repertorié")</f>
        <v>-0.85624699999999998</v>
      </c>
      <c r="G441">
        <f>_xlfn.XLOOKUP(CKadeaTelcoLogs_Reseau[[#This Row],[Cell_ID]],'CKadeaTelcoRegistre_Maintenance'!A:A,'CKadeaTelcoRegistre_Maintenance'!D:D,"Non repertorié")</f>
        <v>28.624870000000001</v>
      </c>
      <c r="H441" t="str">
        <f>_xlfn.XLOOKUP(CKadeaTelcoLogs_Reseau[[#This Row],[Cell_ID]],'CKadeaTelcoRegistre_Maintenance'!A:A,'CKadeaTelcoRegistre_Maintenance'!E:E,"Non repertorié")</f>
        <v>3G</v>
      </c>
      <c r="I441" t="str">
        <f>_xlfn.XLOOKUP(CKadeaTelcoLogs_Reseau[[#This Row],[Cell_ID]],'CKadeaTelcoRegistre_Maintenance'!A:A,'CKadeaTelcoRegistre_Maintenance'!F:F,"Non repertorié")</f>
        <v>Ericsson</v>
      </c>
    </row>
    <row r="442" spans="1:9" ht="20.5" customHeight="1" x14ac:dyDescent="0.35">
      <c r="A442" s="1">
        <v>45217.193749999999</v>
      </c>
      <c r="B442" s="5" t="s">
        <v>305</v>
      </c>
      <c r="C442">
        <v>56</v>
      </c>
      <c r="D442" t="s">
        <v>5</v>
      </c>
      <c r="E442" t="str">
        <f>_xlfn.XLOOKUP(CKadeaTelcoLogs_Reseau[[#This Row],[Cell_ID]],'CKadeaTelcoRegistre_Maintenance'!A:A,'CKadeaTelcoRegistre_Maintenance'!B:B,"Non repertorié")</f>
        <v>Non repertorié</v>
      </c>
      <c r="F442" t="str">
        <f>_xlfn.XLOOKUP(CKadeaTelcoLogs_Reseau[[#This Row],[Cell_ID]],'CKadeaTelcoRegistre_Maintenance'!A:A,'CKadeaTelcoRegistre_Maintenance'!C:C,"Non repertorié")</f>
        <v>Non repertorié</v>
      </c>
      <c r="G442" t="str">
        <f>_xlfn.XLOOKUP(CKadeaTelcoLogs_Reseau[[#This Row],[Cell_ID]],'CKadeaTelcoRegistre_Maintenance'!A:A,'CKadeaTelcoRegistre_Maintenance'!D:D,"Non repertorié")</f>
        <v>Non repertorié</v>
      </c>
      <c r="H442" t="str">
        <f>_xlfn.XLOOKUP(CKadeaTelcoLogs_Reseau[[#This Row],[Cell_ID]],'CKadeaTelcoRegistre_Maintenance'!A:A,'CKadeaTelcoRegistre_Maintenance'!E:E,"Non repertorié")</f>
        <v>Non repertorié</v>
      </c>
      <c r="I442" t="str">
        <f>_xlfn.XLOOKUP(CKadeaTelcoLogs_Reseau[[#This Row],[Cell_ID]],'CKadeaTelcoRegistre_Maintenance'!A:A,'CKadeaTelcoRegistre_Maintenance'!F:F,"Non repertorié")</f>
        <v>Non repertorié</v>
      </c>
    </row>
    <row r="443" spans="1:9" ht="20.5" customHeight="1" x14ac:dyDescent="0.35">
      <c r="A443" s="1">
        <v>45228.086111111108</v>
      </c>
      <c r="B443" s="5" t="s">
        <v>359</v>
      </c>
      <c r="C443">
        <v>43</v>
      </c>
      <c r="D443" t="s">
        <v>10</v>
      </c>
      <c r="E443" t="str">
        <f>_xlfn.XLOOKUP(CKadeaTelcoLogs_Reseau[[#This Row],[Cell_ID]],'CKadeaTelcoRegistre_Maintenance'!A:A,'CKadeaTelcoRegistre_Maintenance'!B:B,"Non repertorié")</f>
        <v>Sankuru</v>
      </c>
      <c r="F443">
        <f>_xlfn.XLOOKUP(CKadeaTelcoLogs_Reseau[[#This Row],[Cell_ID]],'CKadeaTelcoRegistre_Maintenance'!A:A,'CKadeaTelcoRegistre_Maintenance'!C:C,"Non repertorié")</f>
        <v>-6.4883290000000002</v>
      </c>
      <c r="G443">
        <f>_xlfn.XLOOKUP(CKadeaTelcoLogs_Reseau[[#This Row],[Cell_ID]],'CKadeaTelcoRegistre_Maintenance'!A:A,'CKadeaTelcoRegistre_Maintenance'!D:D,"Non repertorié")</f>
        <v>25.103404000000001</v>
      </c>
      <c r="H443" t="str">
        <f>_xlfn.XLOOKUP(CKadeaTelcoLogs_Reseau[[#This Row],[Cell_ID]],'CKadeaTelcoRegistre_Maintenance'!A:A,'CKadeaTelcoRegistre_Maintenance'!E:E,"Non repertorié")</f>
        <v>5G</v>
      </c>
      <c r="I443" t="str">
        <f>_xlfn.XLOOKUP(CKadeaTelcoLogs_Reseau[[#This Row],[Cell_ID]],'CKadeaTelcoRegistre_Maintenance'!A:A,'CKadeaTelcoRegistre_Maintenance'!F:F,"Non repertorié")</f>
        <v>ZTE</v>
      </c>
    </row>
    <row r="444" spans="1:9" ht="20.5" customHeight="1" x14ac:dyDescent="0.35">
      <c r="A444" s="1">
        <v>45209.53125</v>
      </c>
      <c r="B444" s="5" t="s">
        <v>360</v>
      </c>
      <c r="C444">
        <v>63</v>
      </c>
      <c r="D444" t="s">
        <v>5</v>
      </c>
      <c r="E444" t="str">
        <f>_xlfn.XLOOKUP(CKadeaTelcoLogs_Reseau[[#This Row],[Cell_ID]],'CKadeaTelcoRegistre_Maintenance'!A:A,'CKadeaTelcoRegistre_Maintenance'!B:B,"Non repertorié")</f>
        <v>Maniema</v>
      </c>
      <c r="F444">
        <f>_xlfn.XLOOKUP(CKadeaTelcoLogs_Reseau[[#This Row],[Cell_ID]],'CKadeaTelcoRegistre_Maintenance'!A:A,'CKadeaTelcoRegistre_Maintenance'!C:C,"Non repertorié")</f>
        <v>1.727095</v>
      </c>
      <c r="G444">
        <f>_xlfn.XLOOKUP(CKadeaTelcoLogs_Reseau[[#This Row],[Cell_ID]],'CKadeaTelcoRegistre_Maintenance'!A:A,'CKadeaTelcoRegistre_Maintenance'!D:D,"Non repertorié")</f>
        <v>22.099651999999999</v>
      </c>
      <c r="H444" t="str">
        <f>_xlfn.XLOOKUP(CKadeaTelcoLogs_Reseau[[#This Row],[Cell_ID]],'CKadeaTelcoRegistre_Maintenance'!A:A,'CKadeaTelcoRegistre_Maintenance'!E:E,"Non repertorié")</f>
        <v>4G</v>
      </c>
      <c r="I444" t="str">
        <f>_xlfn.XLOOKUP(CKadeaTelcoLogs_Reseau[[#This Row],[Cell_ID]],'CKadeaTelcoRegistre_Maintenance'!A:A,'CKadeaTelcoRegistre_Maintenance'!F:F,"Non repertorié")</f>
        <v>Huawei</v>
      </c>
    </row>
    <row r="445" spans="1:9" ht="20.5" customHeight="1" x14ac:dyDescent="0.35">
      <c r="A445" s="1">
        <v>45223.647916666669</v>
      </c>
      <c r="B445" s="5" t="s">
        <v>361</v>
      </c>
      <c r="C445">
        <v>14</v>
      </c>
      <c r="D445" t="s">
        <v>10</v>
      </c>
      <c r="E445" t="str">
        <f>_xlfn.XLOOKUP(CKadeaTelcoLogs_Reseau[[#This Row],[Cell_ID]],'CKadeaTelcoRegistre_Maintenance'!A:A,'CKadeaTelcoRegistre_Maintenance'!B:B,"Non repertorié")</f>
        <v>Non repertorié</v>
      </c>
      <c r="F445" t="str">
        <f>_xlfn.XLOOKUP(CKadeaTelcoLogs_Reseau[[#This Row],[Cell_ID]],'CKadeaTelcoRegistre_Maintenance'!A:A,'CKadeaTelcoRegistre_Maintenance'!C:C,"Non repertorié")</f>
        <v>Non repertorié</v>
      </c>
      <c r="G445" t="str">
        <f>_xlfn.XLOOKUP(CKadeaTelcoLogs_Reseau[[#This Row],[Cell_ID]],'CKadeaTelcoRegistre_Maintenance'!A:A,'CKadeaTelcoRegistre_Maintenance'!D:D,"Non repertorié")</f>
        <v>Non repertorié</v>
      </c>
      <c r="H445" t="str">
        <f>_xlfn.XLOOKUP(CKadeaTelcoLogs_Reseau[[#This Row],[Cell_ID]],'CKadeaTelcoRegistre_Maintenance'!A:A,'CKadeaTelcoRegistre_Maintenance'!E:E,"Non repertorié")</f>
        <v>Non repertorié</v>
      </c>
      <c r="I445" t="str">
        <f>_xlfn.XLOOKUP(CKadeaTelcoLogs_Reseau[[#This Row],[Cell_ID]],'CKadeaTelcoRegistre_Maintenance'!A:A,'CKadeaTelcoRegistre_Maintenance'!F:F,"Non repertorié")</f>
        <v>Non repertorié</v>
      </c>
    </row>
    <row r="446" spans="1:9" ht="20.5" customHeight="1" x14ac:dyDescent="0.35">
      <c r="A446" s="1">
        <v>45213.577777777777</v>
      </c>
      <c r="B446" s="5" t="s">
        <v>362</v>
      </c>
      <c r="C446">
        <v>93</v>
      </c>
      <c r="D446" t="s">
        <v>8</v>
      </c>
      <c r="E446" t="str">
        <f>_xlfn.XLOOKUP(CKadeaTelcoLogs_Reseau[[#This Row],[Cell_ID]],'CKadeaTelcoRegistre_Maintenance'!A:A,'CKadeaTelcoRegistre_Maintenance'!B:B,"Non repertorié")</f>
        <v>Non repertorié</v>
      </c>
      <c r="F446" t="str">
        <f>_xlfn.XLOOKUP(CKadeaTelcoLogs_Reseau[[#This Row],[Cell_ID]],'CKadeaTelcoRegistre_Maintenance'!A:A,'CKadeaTelcoRegistre_Maintenance'!C:C,"Non repertorié")</f>
        <v>Non repertorié</v>
      </c>
      <c r="G446" t="str">
        <f>_xlfn.XLOOKUP(CKadeaTelcoLogs_Reseau[[#This Row],[Cell_ID]],'CKadeaTelcoRegistre_Maintenance'!A:A,'CKadeaTelcoRegistre_Maintenance'!D:D,"Non repertorié")</f>
        <v>Non repertorié</v>
      </c>
      <c r="H446" t="str">
        <f>_xlfn.XLOOKUP(CKadeaTelcoLogs_Reseau[[#This Row],[Cell_ID]],'CKadeaTelcoRegistre_Maintenance'!A:A,'CKadeaTelcoRegistre_Maintenance'!E:E,"Non repertorié")</f>
        <v>Non repertorié</v>
      </c>
      <c r="I446" t="str">
        <f>_xlfn.XLOOKUP(CKadeaTelcoLogs_Reseau[[#This Row],[Cell_ID]],'CKadeaTelcoRegistre_Maintenance'!A:A,'CKadeaTelcoRegistre_Maintenance'!F:F,"Non repertorié")</f>
        <v>Non repertorié</v>
      </c>
    </row>
    <row r="447" spans="1:9" ht="20.5" customHeight="1" x14ac:dyDescent="0.35">
      <c r="A447" s="1">
        <v>45218.088888888888</v>
      </c>
      <c r="B447" s="5" t="s">
        <v>341</v>
      </c>
      <c r="C447">
        <v>12</v>
      </c>
      <c r="D447" t="s">
        <v>10</v>
      </c>
      <c r="E447" t="str">
        <f>_xlfn.XLOOKUP(CKadeaTelcoLogs_Reseau[[#This Row],[Cell_ID]],'CKadeaTelcoRegistre_Maintenance'!A:A,'CKadeaTelcoRegistre_Maintenance'!B:B,"Non repertorié")</f>
        <v>Kinshasa</v>
      </c>
      <c r="F447">
        <f>_xlfn.XLOOKUP(CKadeaTelcoLogs_Reseau[[#This Row],[Cell_ID]],'CKadeaTelcoRegistre_Maintenance'!A:A,'CKadeaTelcoRegistre_Maintenance'!C:C,"Non repertorié")</f>
        <v>-11.389362</v>
      </c>
      <c r="G447">
        <f>_xlfn.XLOOKUP(CKadeaTelcoLogs_Reseau[[#This Row],[Cell_ID]],'CKadeaTelcoRegistre_Maintenance'!A:A,'CKadeaTelcoRegistre_Maintenance'!D:D,"Non repertorié")</f>
        <v>22.240174</v>
      </c>
      <c r="H447" t="str">
        <f>_xlfn.XLOOKUP(CKadeaTelcoLogs_Reseau[[#This Row],[Cell_ID]],'CKadeaTelcoRegistre_Maintenance'!A:A,'CKadeaTelcoRegistre_Maintenance'!E:E,"Non repertorié")</f>
        <v>5G</v>
      </c>
      <c r="I447" t="str">
        <f>_xlfn.XLOOKUP(CKadeaTelcoLogs_Reseau[[#This Row],[Cell_ID]],'CKadeaTelcoRegistre_Maintenance'!A:A,'CKadeaTelcoRegistre_Maintenance'!F:F,"Non repertorié")</f>
        <v>ZTE</v>
      </c>
    </row>
    <row r="448" spans="1:9" ht="20.5" customHeight="1" x14ac:dyDescent="0.35">
      <c r="A448" s="1">
        <v>45210.836111111108</v>
      </c>
      <c r="B448" s="5" t="s">
        <v>363</v>
      </c>
      <c r="C448">
        <v>25</v>
      </c>
      <c r="D448" t="s">
        <v>10</v>
      </c>
      <c r="E448" t="str">
        <f>_xlfn.XLOOKUP(CKadeaTelcoLogs_Reseau[[#This Row],[Cell_ID]],'CKadeaTelcoRegistre_Maintenance'!A:A,'CKadeaTelcoRegistre_Maintenance'!B:B,"Non repertorié")</f>
        <v>Non repertorié</v>
      </c>
      <c r="F448" t="str">
        <f>_xlfn.XLOOKUP(CKadeaTelcoLogs_Reseau[[#This Row],[Cell_ID]],'CKadeaTelcoRegistre_Maintenance'!A:A,'CKadeaTelcoRegistre_Maintenance'!C:C,"Non repertorié")</f>
        <v>Non repertorié</v>
      </c>
      <c r="G448" t="str">
        <f>_xlfn.XLOOKUP(CKadeaTelcoLogs_Reseau[[#This Row],[Cell_ID]],'CKadeaTelcoRegistre_Maintenance'!A:A,'CKadeaTelcoRegistre_Maintenance'!D:D,"Non repertorié")</f>
        <v>Non repertorié</v>
      </c>
      <c r="H448" t="str">
        <f>_xlfn.XLOOKUP(CKadeaTelcoLogs_Reseau[[#This Row],[Cell_ID]],'CKadeaTelcoRegistre_Maintenance'!A:A,'CKadeaTelcoRegistre_Maintenance'!E:E,"Non repertorié")</f>
        <v>Non repertorié</v>
      </c>
      <c r="I448" t="str">
        <f>_xlfn.XLOOKUP(CKadeaTelcoLogs_Reseau[[#This Row],[Cell_ID]],'CKadeaTelcoRegistre_Maintenance'!A:A,'CKadeaTelcoRegistre_Maintenance'!F:F,"Non repertorié")</f>
        <v>Non repertorié</v>
      </c>
    </row>
    <row r="449" spans="1:9" ht="20.5" customHeight="1" x14ac:dyDescent="0.35">
      <c r="A449" s="1">
        <v>45214.613194444442</v>
      </c>
      <c r="B449" s="5" t="s">
        <v>364</v>
      </c>
      <c r="C449">
        <v>61</v>
      </c>
      <c r="D449" t="s">
        <v>10</v>
      </c>
      <c r="E449" t="str">
        <f>_xlfn.XLOOKUP(CKadeaTelcoLogs_Reseau[[#This Row],[Cell_ID]],'CKadeaTelcoRegistre_Maintenance'!A:A,'CKadeaTelcoRegistre_Maintenance'!B:B,"Non repertorié")</f>
        <v>Non repertorié</v>
      </c>
      <c r="F449" t="str">
        <f>_xlfn.XLOOKUP(CKadeaTelcoLogs_Reseau[[#This Row],[Cell_ID]],'CKadeaTelcoRegistre_Maintenance'!A:A,'CKadeaTelcoRegistre_Maintenance'!C:C,"Non repertorié")</f>
        <v>Non repertorié</v>
      </c>
      <c r="G449" t="str">
        <f>_xlfn.XLOOKUP(CKadeaTelcoLogs_Reseau[[#This Row],[Cell_ID]],'CKadeaTelcoRegistre_Maintenance'!A:A,'CKadeaTelcoRegistre_Maintenance'!D:D,"Non repertorié")</f>
        <v>Non repertorié</v>
      </c>
      <c r="H449" t="str">
        <f>_xlfn.XLOOKUP(CKadeaTelcoLogs_Reseau[[#This Row],[Cell_ID]],'CKadeaTelcoRegistre_Maintenance'!A:A,'CKadeaTelcoRegistre_Maintenance'!E:E,"Non repertorié")</f>
        <v>Non repertorié</v>
      </c>
      <c r="I449" t="str">
        <f>_xlfn.XLOOKUP(CKadeaTelcoLogs_Reseau[[#This Row],[Cell_ID]],'CKadeaTelcoRegistre_Maintenance'!A:A,'CKadeaTelcoRegistre_Maintenance'!F:F,"Non repertorié")</f>
        <v>Non repertorié</v>
      </c>
    </row>
    <row r="450" spans="1:9" ht="20.5" customHeight="1" x14ac:dyDescent="0.35">
      <c r="A450" s="1">
        <v>45216.463888888888</v>
      </c>
      <c r="B450" s="5" t="s">
        <v>317</v>
      </c>
      <c r="C450">
        <v>58</v>
      </c>
      <c r="D450" t="s">
        <v>5</v>
      </c>
      <c r="E450" t="str">
        <f>_xlfn.XLOOKUP(CKadeaTelcoLogs_Reseau[[#This Row],[Cell_ID]],'CKadeaTelcoRegistre_Maintenance'!A:A,'CKadeaTelcoRegistre_Maintenance'!B:B,"Non repertorié")</f>
        <v>Haut-Lomami</v>
      </c>
      <c r="F450">
        <f>_xlfn.XLOOKUP(CKadeaTelcoLogs_Reseau[[#This Row],[Cell_ID]],'CKadeaTelcoRegistre_Maintenance'!A:A,'CKadeaTelcoRegistre_Maintenance'!C:C,"Non repertorié")</f>
        <v>-7.1785899999999998</v>
      </c>
      <c r="G450">
        <f>_xlfn.XLOOKUP(CKadeaTelcoLogs_Reseau[[#This Row],[Cell_ID]],'CKadeaTelcoRegistre_Maintenance'!A:A,'CKadeaTelcoRegistre_Maintenance'!D:D,"Non repertorié")</f>
        <v>24.4404</v>
      </c>
      <c r="H450" t="str">
        <f>_xlfn.XLOOKUP(CKadeaTelcoLogs_Reseau[[#This Row],[Cell_ID]],'CKadeaTelcoRegistre_Maintenance'!A:A,'CKadeaTelcoRegistre_Maintenance'!E:E,"Non repertorié")</f>
        <v>4G</v>
      </c>
      <c r="I450" t="str">
        <f>_xlfn.XLOOKUP(CKadeaTelcoLogs_Reseau[[#This Row],[Cell_ID]],'CKadeaTelcoRegistre_Maintenance'!A:A,'CKadeaTelcoRegistre_Maintenance'!F:F,"Non repertorié")</f>
        <v>Nokia</v>
      </c>
    </row>
    <row r="451" spans="1:9" ht="20.5" customHeight="1" x14ac:dyDescent="0.35">
      <c r="A451" s="1">
        <v>45228.736111111109</v>
      </c>
      <c r="B451" s="5" t="s">
        <v>365</v>
      </c>
      <c r="C451">
        <v>66</v>
      </c>
      <c r="D451" t="s">
        <v>10</v>
      </c>
      <c r="E451" t="str">
        <f>_xlfn.XLOOKUP(CKadeaTelcoLogs_Reseau[[#This Row],[Cell_ID]],'CKadeaTelcoRegistre_Maintenance'!A:A,'CKadeaTelcoRegistre_Maintenance'!B:B,"Non repertorié")</f>
        <v>Kasai-Oriental</v>
      </c>
      <c r="F451">
        <f>_xlfn.XLOOKUP(CKadeaTelcoLogs_Reseau[[#This Row],[Cell_ID]],'CKadeaTelcoRegistre_Maintenance'!A:A,'CKadeaTelcoRegistre_Maintenance'!C:C,"Non repertorié")</f>
        <v>-4.4831099999999999</v>
      </c>
      <c r="G451">
        <f>_xlfn.XLOOKUP(CKadeaTelcoLogs_Reseau[[#This Row],[Cell_ID]],'CKadeaTelcoRegistre_Maintenance'!A:A,'CKadeaTelcoRegistre_Maintenance'!D:D,"Non repertorié")</f>
        <v>25.406548000000001</v>
      </c>
      <c r="H451" t="str">
        <f>_xlfn.XLOOKUP(CKadeaTelcoLogs_Reseau[[#This Row],[Cell_ID]],'CKadeaTelcoRegistre_Maintenance'!A:A,'CKadeaTelcoRegistre_Maintenance'!E:E,"Non repertorié")</f>
        <v>5G</v>
      </c>
      <c r="I451" t="str">
        <f>_xlfn.XLOOKUP(CKadeaTelcoLogs_Reseau[[#This Row],[Cell_ID]],'CKadeaTelcoRegistre_Maintenance'!A:A,'CKadeaTelcoRegistre_Maintenance'!F:F,"Non repertorié")</f>
        <v>Nokia</v>
      </c>
    </row>
    <row r="452" spans="1:9" ht="20.5" customHeight="1" x14ac:dyDescent="0.35">
      <c r="A452" s="1">
        <v>45218.242361111108</v>
      </c>
      <c r="B452" s="5" t="s">
        <v>208</v>
      </c>
      <c r="C452">
        <v>64</v>
      </c>
      <c r="D452" t="s">
        <v>5</v>
      </c>
      <c r="E452" t="str">
        <f>_xlfn.XLOOKUP(CKadeaTelcoLogs_Reseau[[#This Row],[Cell_ID]],'CKadeaTelcoRegistre_Maintenance'!A:A,'CKadeaTelcoRegistre_Maintenance'!B:B,"Non repertorié")</f>
        <v>Non repertorié</v>
      </c>
      <c r="F452" t="str">
        <f>_xlfn.XLOOKUP(CKadeaTelcoLogs_Reseau[[#This Row],[Cell_ID]],'CKadeaTelcoRegistre_Maintenance'!A:A,'CKadeaTelcoRegistre_Maintenance'!C:C,"Non repertorié")</f>
        <v>Non repertorié</v>
      </c>
      <c r="G452" t="str">
        <f>_xlfn.XLOOKUP(CKadeaTelcoLogs_Reseau[[#This Row],[Cell_ID]],'CKadeaTelcoRegistre_Maintenance'!A:A,'CKadeaTelcoRegistre_Maintenance'!D:D,"Non repertorié")</f>
        <v>Non repertorié</v>
      </c>
      <c r="H452" t="str">
        <f>_xlfn.XLOOKUP(CKadeaTelcoLogs_Reseau[[#This Row],[Cell_ID]],'CKadeaTelcoRegistre_Maintenance'!A:A,'CKadeaTelcoRegistre_Maintenance'!E:E,"Non repertorié")</f>
        <v>Non repertorié</v>
      </c>
      <c r="I452" t="str">
        <f>_xlfn.XLOOKUP(CKadeaTelcoLogs_Reseau[[#This Row],[Cell_ID]],'CKadeaTelcoRegistre_Maintenance'!A:A,'CKadeaTelcoRegistre_Maintenance'!F:F,"Non repertorié")</f>
        <v>Non repertorié</v>
      </c>
    </row>
    <row r="453" spans="1:9" ht="20.5" customHeight="1" x14ac:dyDescent="0.35">
      <c r="A453" s="1">
        <v>45230.185416666667</v>
      </c>
      <c r="B453" s="5" t="s">
        <v>366</v>
      </c>
      <c r="C453">
        <v>31</v>
      </c>
      <c r="D453" t="s">
        <v>8</v>
      </c>
      <c r="E453" t="str">
        <f>_xlfn.XLOOKUP(CKadeaTelcoLogs_Reseau[[#This Row],[Cell_ID]],'CKadeaTelcoRegistre_Maintenance'!A:A,'CKadeaTelcoRegistre_Maintenance'!B:B,"Non repertorié")</f>
        <v>Non repertorié</v>
      </c>
      <c r="F453" t="str">
        <f>_xlfn.XLOOKUP(CKadeaTelcoLogs_Reseau[[#This Row],[Cell_ID]],'CKadeaTelcoRegistre_Maintenance'!A:A,'CKadeaTelcoRegistre_Maintenance'!C:C,"Non repertorié")</f>
        <v>Non repertorié</v>
      </c>
      <c r="G453" t="str">
        <f>_xlfn.XLOOKUP(CKadeaTelcoLogs_Reseau[[#This Row],[Cell_ID]],'CKadeaTelcoRegistre_Maintenance'!A:A,'CKadeaTelcoRegistre_Maintenance'!D:D,"Non repertorié")</f>
        <v>Non repertorié</v>
      </c>
      <c r="H453" t="str">
        <f>_xlfn.XLOOKUP(CKadeaTelcoLogs_Reseau[[#This Row],[Cell_ID]],'CKadeaTelcoRegistre_Maintenance'!A:A,'CKadeaTelcoRegistre_Maintenance'!E:E,"Non repertorié")</f>
        <v>Non repertorié</v>
      </c>
      <c r="I453" t="str">
        <f>_xlfn.XLOOKUP(CKadeaTelcoLogs_Reseau[[#This Row],[Cell_ID]],'CKadeaTelcoRegistre_Maintenance'!A:A,'CKadeaTelcoRegistre_Maintenance'!F:F,"Non repertorié")</f>
        <v>Non repertorié</v>
      </c>
    </row>
    <row r="454" spans="1:9" ht="20.5" customHeight="1" x14ac:dyDescent="0.35">
      <c r="A454" s="1">
        <v>45216.078472222223</v>
      </c>
      <c r="B454" s="5" t="s">
        <v>367</v>
      </c>
      <c r="C454">
        <v>48</v>
      </c>
      <c r="D454" t="s">
        <v>8</v>
      </c>
      <c r="E454" t="str">
        <f>_xlfn.XLOOKUP(CKadeaTelcoLogs_Reseau[[#This Row],[Cell_ID]],'CKadeaTelcoRegistre_Maintenance'!A:A,'CKadeaTelcoRegistre_Maintenance'!B:B,"Non repertorié")</f>
        <v>Sud-Ubangi</v>
      </c>
      <c r="F454">
        <f>_xlfn.XLOOKUP(CKadeaTelcoLogs_Reseau[[#This Row],[Cell_ID]],'CKadeaTelcoRegistre_Maintenance'!A:A,'CKadeaTelcoRegistre_Maintenance'!C:C,"Non repertorié")</f>
        <v>-8.0864899999999995</v>
      </c>
      <c r="G454">
        <f>_xlfn.XLOOKUP(CKadeaTelcoLogs_Reseau[[#This Row],[Cell_ID]],'CKadeaTelcoRegistre_Maintenance'!A:A,'CKadeaTelcoRegistre_Maintenance'!D:D,"Non repertorié")</f>
        <v>14.555277</v>
      </c>
      <c r="H454" t="str">
        <f>_xlfn.XLOOKUP(CKadeaTelcoLogs_Reseau[[#This Row],[Cell_ID]],'CKadeaTelcoRegistre_Maintenance'!A:A,'CKadeaTelcoRegistre_Maintenance'!E:E,"Non repertorié")</f>
        <v>3G</v>
      </c>
      <c r="I454" t="str">
        <f>_xlfn.XLOOKUP(CKadeaTelcoLogs_Reseau[[#This Row],[Cell_ID]],'CKadeaTelcoRegistre_Maintenance'!A:A,'CKadeaTelcoRegistre_Maintenance'!F:F,"Non repertorié")</f>
        <v>Ericsson</v>
      </c>
    </row>
    <row r="455" spans="1:9" ht="20.5" customHeight="1" x14ac:dyDescent="0.35">
      <c r="A455" s="1">
        <v>45203.67291666667</v>
      </c>
      <c r="B455" s="5" t="s">
        <v>368</v>
      </c>
      <c r="C455">
        <v>82</v>
      </c>
      <c r="D455" t="s">
        <v>5</v>
      </c>
      <c r="E455" t="str">
        <f>_xlfn.XLOOKUP(CKadeaTelcoLogs_Reseau[[#This Row],[Cell_ID]],'CKadeaTelcoRegistre_Maintenance'!A:A,'CKadeaTelcoRegistre_Maintenance'!B:B,"Non repertorié")</f>
        <v>Non repertorié</v>
      </c>
      <c r="F455" t="str">
        <f>_xlfn.XLOOKUP(CKadeaTelcoLogs_Reseau[[#This Row],[Cell_ID]],'CKadeaTelcoRegistre_Maintenance'!A:A,'CKadeaTelcoRegistre_Maintenance'!C:C,"Non repertorié")</f>
        <v>Non repertorié</v>
      </c>
      <c r="G455" t="str">
        <f>_xlfn.XLOOKUP(CKadeaTelcoLogs_Reseau[[#This Row],[Cell_ID]],'CKadeaTelcoRegistre_Maintenance'!A:A,'CKadeaTelcoRegistre_Maintenance'!D:D,"Non repertorié")</f>
        <v>Non repertorié</v>
      </c>
      <c r="H455" t="str">
        <f>_xlfn.XLOOKUP(CKadeaTelcoLogs_Reseau[[#This Row],[Cell_ID]],'CKadeaTelcoRegistre_Maintenance'!A:A,'CKadeaTelcoRegistre_Maintenance'!E:E,"Non repertorié")</f>
        <v>Non repertorié</v>
      </c>
      <c r="I455" t="str">
        <f>_xlfn.XLOOKUP(CKadeaTelcoLogs_Reseau[[#This Row],[Cell_ID]],'CKadeaTelcoRegistre_Maintenance'!A:A,'CKadeaTelcoRegistre_Maintenance'!F:F,"Non repertorié")</f>
        <v>Non repertorié</v>
      </c>
    </row>
    <row r="456" spans="1:9" ht="20.5" customHeight="1" x14ac:dyDescent="0.35">
      <c r="A456" s="1">
        <v>45209.215277777781</v>
      </c>
      <c r="B456" s="5" t="s">
        <v>341</v>
      </c>
      <c r="C456">
        <v>23</v>
      </c>
      <c r="D456" t="s">
        <v>10</v>
      </c>
      <c r="E456" t="str">
        <f>_xlfn.XLOOKUP(CKadeaTelcoLogs_Reseau[[#This Row],[Cell_ID]],'CKadeaTelcoRegistre_Maintenance'!A:A,'CKadeaTelcoRegistre_Maintenance'!B:B,"Non repertorié")</f>
        <v>Kinshasa</v>
      </c>
      <c r="F456">
        <f>_xlfn.XLOOKUP(CKadeaTelcoLogs_Reseau[[#This Row],[Cell_ID]],'CKadeaTelcoRegistre_Maintenance'!A:A,'CKadeaTelcoRegistre_Maintenance'!C:C,"Non repertorié")</f>
        <v>-11.389362</v>
      </c>
      <c r="G456">
        <f>_xlfn.XLOOKUP(CKadeaTelcoLogs_Reseau[[#This Row],[Cell_ID]],'CKadeaTelcoRegistre_Maintenance'!A:A,'CKadeaTelcoRegistre_Maintenance'!D:D,"Non repertorié")</f>
        <v>22.240174</v>
      </c>
      <c r="H456" t="str">
        <f>_xlfn.XLOOKUP(CKadeaTelcoLogs_Reseau[[#This Row],[Cell_ID]],'CKadeaTelcoRegistre_Maintenance'!A:A,'CKadeaTelcoRegistre_Maintenance'!E:E,"Non repertorié")</f>
        <v>5G</v>
      </c>
      <c r="I456" t="str">
        <f>_xlfn.XLOOKUP(CKadeaTelcoLogs_Reseau[[#This Row],[Cell_ID]],'CKadeaTelcoRegistre_Maintenance'!A:A,'CKadeaTelcoRegistre_Maintenance'!F:F,"Non repertorié")</f>
        <v>ZTE</v>
      </c>
    </row>
    <row r="457" spans="1:9" ht="20.5" customHeight="1" x14ac:dyDescent="0.35">
      <c r="A457" s="1">
        <v>45210.926388888889</v>
      </c>
      <c r="B457" s="5" t="s">
        <v>192</v>
      </c>
      <c r="C457">
        <v>45</v>
      </c>
      <c r="D457" t="s">
        <v>8</v>
      </c>
      <c r="E457" t="str">
        <f>_xlfn.XLOOKUP(CKadeaTelcoLogs_Reseau[[#This Row],[Cell_ID]],'CKadeaTelcoRegistre_Maintenance'!A:A,'CKadeaTelcoRegistre_Maintenance'!B:B,"Non repertorié")</f>
        <v>Haut-Lomami</v>
      </c>
      <c r="F457">
        <f>_xlfn.XLOOKUP(CKadeaTelcoLogs_Reseau[[#This Row],[Cell_ID]],'CKadeaTelcoRegistre_Maintenance'!A:A,'CKadeaTelcoRegistre_Maintenance'!C:C,"Non repertorié")</f>
        <v>1.210869</v>
      </c>
      <c r="G457">
        <f>_xlfn.XLOOKUP(CKadeaTelcoLogs_Reseau[[#This Row],[Cell_ID]],'CKadeaTelcoRegistre_Maintenance'!A:A,'CKadeaTelcoRegistre_Maintenance'!D:D,"Non repertorié")</f>
        <v>25.598741</v>
      </c>
      <c r="H457" t="str">
        <f>_xlfn.XLOOKUP(CKadeaTelcoLogs_Reseau[[#This Row],[Cell_ID]],'CKadeaTelcoRegistre_Maintenance'!A:A,'CKadeaTelcoRegistre_Maintenance'!E:E,"Non repertorié")</f>
        <v>4G</v>
      </c>
      <c r="I457" t="str">
        <f>_xlfn.XLOOKUP(CKadeaTelcoLogs_Reseau[[#This Row],[Cell_ID]],'CKadeaTelcoRegistre_Maintenance'!A:A,'CKadeaTelcoRegistre_Maintenance'!F:F,"Non repertorié")</f>
        <v>Ericsson</v>
      </c>
    </row>
    <row r="458" spans="1:9" ht="20.5" customHeight="1" x14ac:dyDescent="0.35">
      <c r="A458" s="1">
        <v>45211.706250000003</v>
      </c>
      <c r="B458" s="5" t="s">
        <v>369</v>
      </c>
      <c r="C458">
        <v>115</v>
      </c>
      <c r="D458" t="s">
        <v>10</v>
      </c>
      <c r="E458" t="str">
        <f>_xlfn.XLOOKUP(CKadeaTelcoLogs_Reseau[[#This Row],[Cell_ID]],'CKadeaTelcoRegistre_Maintenance'!A:A,'CKadeaTelcoRegistre_Maintenance'!B:B,"Non repertorié")</f>
        <v>Non repertorié</v>
      </c>
      <c r="F458" t="str">
        <f>_xlfn.XLOOKUP(CKadeaTelcoLogs_Reseau[[#This Row],[Cell_ID]],'CKadeaTelcoRegistre_Maintenance'!A:A,'CKadeaTelcoRegistre_Maintenance'!C:C,"Non repertorié")</f>
        <v>Non repertorié</v>
      </c>
      <c r="G458" t="str">
        <f>_xlfn.XLOOKUP(CKadeaTelcoLogs_Reseau[[#This Row],[Cell_ID]],'CKadeaTelcoRegistre_Maintenance'!A:A,'CKadeaTelcoRegistre_Maintenance'!D:D,"Non repertorié")</f>
        <v>Non repertorié</v>
      </c>
      <c r="H458" t="str">
        <f>_xlfn.XLOOKUP(CKadeaTelcoLogs_Reseau[[#This Row],[Cell_ID]],'CKadeaTelcoRegistre_Maintenance'!A:A,'CKadeaTelcoRegistre_Maintenance'!E:E,"Non repertorié")</f>
        <v>Non repertorié</v>
      </c>
      <c r="I458" t="str">
        <f>_xlfn.XLOOKUP(CKadeaTelcoLogs_Reseau[[#This Row],[Cell_ID]],'CKadeaTelcoRegistre_Maintenance'!A:A,'CKadeaTelcoRegistre_Maintenance'!F:F,"Non repertorié")</f>
        <v>Non repertorié</v>
      </c>
    </row>
    <row r="459" spans="1:9" ht="20.5" customHeight="1" x14ac:dyDescent="0.35">
      <c r="A459" s="1">
        <v>45209.094444444447</v>
      </c>
      <c r="B459" s="5" t="s">
        <v>370</v>
      </c>
      <c r="C459">
        <v>96</v>
      </c>
      <c r="D459" t="s">
        <v>5</v>
      </c>
      <c r="E459" t="str">
        <f>_xlfn.XLOOKUP(CKadeaTelcoLogs_Reseau[[#This Row],[Cell_ID]],'CKadeaTelcoRegistre_Maintenance'!A:A,'CKadeaTelcoRegistre_Maintenance'!B:B,"Non repertorié")</f>
        <v>Non repertorié</v>
      </c>
      <c r="F459" t="str">
        <f>_xlfn.XLOOKUP(CKadeaTelcoLogs_Reseau[[#This Row],[Cell_ID]],'CKadeaTelcoRegistre_Maintenance'!A:A,'CKadeaTelcoRegistre_Maintenance'!C:C,"Non repertorié")</f>
        <v>Non repertorié</v>
      </c>
      <c r="G459" t="str">
        <f>_xlfn.XLOOKUP(CKadeaTelcoLogs_Reseau[[#This Row],[Cell_ID]],'CKadeaTelcoRegistre_Maintenance'!A:A,'CKadeaTelcoRegistre_Maintenance'!D:D,"Non repertorié")</f>
        <v>Non repertorié</v>
      </c>
      <c r="H459" t="str">
        <f>_xlfn.XLOOKUP(CKadeaTelcoLogs_Reseau[[#This Row],[Cell_ID]],'CKadeaTelcoRegistre_Maintenance'!A:A,'CKadeaTelcoRegistre_Maintenance'!E:E,"Non repertorié")</f>
        <v>Non repertorié</v>
      </c>
      <c r="I459" t="str">
        <f>_xlfn.XLOOKUP(CKadeaTelcoLogs_Reseau[[#This Row],[Cell_ID]],'CKadeaTelcoRegistre_Maintenance'!A:A,'CKadeaTelcoRegistre_Maintenance'!F:F,"Non repertorié")</f>
        <v>Non repertorié</v>
      </c>
    </row>
    <row r="460" spans="1:9" ht="20.5" customHeight="1" x14ac:dyDescent="0.35">
      <c r="A460" s="1">
        <v>45206.857638888891</v>
      </c>
      <c r="B460" s="5" t="s">
        <v>192</v>
      </c>
      <c r="C460">
        <v>45</v>
      </c>
      <c r="D460" t="s">
        <v>10</v>
      </c>
      <c r="E460" t="str">
        <f>_xlfn.XLOOKUP(CKadeaTelcoLogs_Reseau[[#This Row],[Cell_ID]],'CKadeaTelcoRegistre_Maintenance'!A:A,'CKadeaTelcoRegistre_Maintenance'!B:B,"Non repertorié")</f>
        <v>Haut-Lomami</v>
      </c>
      <c r="F460">
        <f>_xlfn.XLOOKUP(CKadeaTelcoLogs_Reseau[[#This Row],[Cell_ID]],'CKadeaTelcoRegistre_Maintenance'!A:A,'CKadeaTelcoRegistre_Maintenance'!C:C,"Non repertorié")</f>
        <v>1.210869</v>
      </c>
      <c r="G460">
        <f>_xlfn.XLOOKUP(CKadeaTelcoLogs_Reseau[[#This Row],[Cell_ID]],'CKadeaTelcoRegistre_Maintenance'!A:A,'CKadeaTelcoRegistre_Maintenance'!D:D,"Non repertorié")</f>
        <v>25.598741</v>
      </c>
      <c r="H460" t="str">
        <f>_xlfn.XLOOKUP(CKadeaTelcoLogs_Reseau[[#This Row],[Cell_ID]],'CKadeaTelcoRegistre_Maintenance'!A:A,'CKadeaTelcoRegistre_Maintenance'!E:E,"Non repertorié")</f>
        <v>4G</v>
      </c>
      <c r="I460" t="str">
        <f>_xlfn.XLOOKUP(CKadeaTelcoLogs_Reseau[[#This Row],[Cell_ID]],'CKadeaTelcoRegistre_Maintenance'!A:A,'CKadeaTelcoRegistre_Maintenance'!F:F,"Non repertorié")</f>
        <v>Ericsson</v>
      </c>
    </row>
    <row r="461" spans="1:9" ht="20.5" customHeight="1" x14ac:dyDescent="0.35">
      <c r="A461" s="1">
        <v>45208.194444444445</v>
      </c>
      <c r="B461" s="5" t="s">
        <v>371</v>
      </c>
      <c r="C461">
        <v>98</v>
      </c>
      <c r="D461" t="s">
        <v>8</v>
      </c>
      <c r="E461" t="str">
        <f>_xlfn.XLOOKUP(CKadeaTelcoLogs_Reseau[[#This Row],[Cell_ID]],'CKadeaTelcoRegistre_Maintenance'!A:A,'CKadeaTelcoRegistre_Maintenance'!B:B,"Non repertorié")</f>
        <v>Non repertorié</v>
      </c>
      <c r="F461" t="str">
        <f>_xlfn.XLOOKUP(CKadeaTelcoLogs_Reseau[[#This Row],[Cell_ID]],'CKadeaTelcoRegistre_Maintenance'!A:A,'CKadeaTelcoRegistre_Maintenance'!C:C,"Non repertorié")</f>
        <v>Non repertorié</v>
      </c>
      <c r="G461" t="str">
        <f>_xlfn.XLOOKUP(CKadeaTelcoLogs_Reseau[[#This Row],[Cell_ID]],'CKadeaTelcoRegistre_Maintenance'!A:A,'CKadeaTelcoRegistre_Maintenance'!D:D,"Non repertorié")</f>
        <v>Non repertorié</v>
      </c>
      <c r="H461" t="str">
        <f>_xlfn.XLOOKUP(CKadeaTelcoLogs_Reseau[[#This Row],[Cell_ID]],'CKadeaTelcoRegistre_Maintenance'!A:A,'CKadeaTelcoRegistre_Maintenance'!E:E,"Non repertorié")</f>
        <v>Non repertorié</v>
      </c>
      <c r="I461" t="str">
        <f>_xlfn.XLOOKUP(CKadeaTelcoLogs_Reseau[[#This Row],[Cell_ID]],'CKadeaTelcoRegistre_Maintenance'!A:A,'CKadeaTelcoRegistre_Maintenance'!F:F,"Non repertorié")</f>
        <v>Non repertorié</v>
      </c>
    </row>
    <row r="462" spans="1:9" ht="20.5" customHeight="1" x14ac:dyDescent="0.35">
      <c r="A462" s="1">
        <v>45209.81527777778</v>
      </c>
      <c r="B462" s="5" t="s">
        <v>94</v>
      </c>
      <c r="C462">
        <v>115</v>
      </c>
      <c r="D462" t="s">
        <v>10</v>
      </c>
      <c r="E462" t="str">
        <f>_xlfn.XLOOKUP(CKadeaTelcoLogs_Reseau[[#This Row],[Cell_ID]],'CKadeaTelcoRegistre_Maintenance'!A:A,'CKadeaTelcoRegistre_Maintenance'!B:B,"Non repertorié")</f>
        <v>Non repertorié</v>
      </c>
      <c r="F462" t="str">
        <f>_xlfn.XLOOKUP(CKadeaTelcoLogs_Reseau[[#This Row],[Cell_ID]],'CKadeaTelcoRegistre_Maintenance'!A:A,'CKadeaTelcoRegistre_Maintenance'!C:C,"Non repertorié")</f>
        <v>Non repertorié</v>
      </c>
      <c r="G462" t="str">
        <f>_xlfn.XLOOKUP(CKadeaTelcoLogs_Reseau[[#This Row],[Cell_ID]],'CKadeaTelcoRegistre_Maintenance'!A:A,'CKadeaTelcoRegistre_Maintenance'!D:D,"Non repertorié")</f>
        <v>Non repertorié</v>
      </c>
      <c r="H462" t="str">
        <f>_xlfn.XLOOKUP(CKadeaTelcoLogs_Reseau[[#This Row],[Cell_ID]],'CKadeaTelcoRegistre_Maintenance'!A:A,'CKadeaTelcoRegistre_Maintenance'!E:E,"Non repertorié")</f>
        <v>Non repertorié</v>
      </c>
      <c r="I462" t="str">
        <f>_xlfn.XLOOKUP(CKadeaTelcoLogs_Reseau[[#This Row],[Cell_ID]],'CKadeaTelcoRegistre_Maintenance'!A:A,'CKadeaTelcoRegistre_Maintenance'!F:F,"Non repertorié")</f>
        <v>Non repertorié</v>
      </c>
    </row>
    <row r="463" spans="1:9" ht="20.5" customHeight="1" x14ac:dyDescent="0.35">
      <c r="A463" s="1">
        <v>45202.695138888892</v>
      </c>
      <c r="B463" s="5" t="s">
        <v>372</v>
      </c>
      <c r="C463">
        <v>49</v>
      </c>
      <c r="D463" t="s">
        <v>8</v>
      </c>
      <c r="E463" t="str">
        <f>_xlfn.XLOOKUP(CKadeaTelcoLogs_Reseau[[#This Row],[Cell_ID]],'CKadeaTelcoRegistre_Maintenance'!A:A,'CKadeaTelcoRegistre_Maintenance'!B:B,"Non repertorié")</f>
        <v>Non repertorié</v>
      </c>
      <c r="F463" t="str">
        <f>_xlfn.XLOOKUP(CKadeaTelcoLogs_Reseau[[#This Row],[Cell_ID]],'CKadeaTelcoRegistre_Maintenance'!A:A,'CKadeaTelcoRegistre_Maintenance'!C:C,"Non repertorié")</f>
        <v>Non repertorié</v>
      </c>
      <c r="G463" t="str">
        <f>_xlfn.XLOOKUP(CKadeaTelcoLogs_Reseau[[#This Row],[Cell_ID]],'CKadeaTelcoRegistre_Maintenance'!A:A,'CKadeaTelcoRegistre_Maintenance'!D:D,"Non repertorié")</f>
        <v>Non repertorié</v>
      </c>
      <c r="H463" t="str">
        <f>_xlfn.XLOOKUP(CKadeaTelcoLogs_Reseau[[#This Row],[Cell_ID]],'CKadeaTelcoRegistre_Maintenance'!A:A,'CKadeaTelcoRegistre_Maintenance'!E:E,"Non repertorié")</f>
        <v>Non repertorié</v>
      </c>
      <c r="I463" t="str">
        <f>_xlfn.XLOOKUP(CKadeaTelcoLogs_Reseau[[#This Row],[Cell_ID]],'CKadeaTelcoRegistre_Maintenance'!A:A,'CKadeaTelcoRegistre_Maintenance'!F:F,"Non repertorié")</f>
        <v>Non repertorié</v>
      </c>
    </row>
    <row r="464" spans="1:9" ht="20.5" customHeight="1" x14ac:dyDescent="0.35">
      <c r="A464" s="1">
        <v>45205.775694444441</v>
      </c>
      <c r="B464" s="5" t="s">
        <v>373</v>
      </c>
      <c r="C464">
        <v>56</v>
      </c>
      <c r="D464" t="s">
        <v>10</v>
      </c>
      <c r="E464" t="str">
        <f>_xlfn.XLOOKUP(CKadeaTelcoLogs_Reseau[[#This Row],[Cell_ID]],'CKadeaTelcoRegistre_Maintenance'!A:A,'CKadeaTelcoRegistre_Maintenance'!B:B,"Non repertorié")</f>
        <v>Non repertorié</v>
      </c>
      <c r="F464" t="str">
        <f>_xlfn.XLOOKUP(CKadeaTelcoLogs_Reseau[[#This Row],[Cell_ID]],'CKadeaTelcoRegistre_Maintenance'!A:A,'CKadeaTelcoRegistre_Maintenance'!C:C,"Non repertorié")</f>
        <v>Non repertorié</v>
      </c>
      <c r="G464" t="str">
        <f>_xlfn.XLOOKUP(CKadeaTelcoLogs_Reseau[[#This Row],[Cell_ID]],'CKadeaTelcoRegistre_Maintenance'!A:A,'CKadeaTelcoRegistre_Maintenance'!D:D,"Non repertorié")</f>
        <v>Non repertorié</v>
      </c>
      <c r="H464" t="str">
        <f>_xlfn.XLOOKUP(CKadeaTelcoLogs_Reseau[[#This Row],[Cell_ID]],'CKadeaTelcoRegistre_Maintenance'!A:A,'CKadeaTelcoRegistre_Maintenance'!E:E,"Non repertorié")</f>
        <v>Non repertorié</v>
      </c>
      <c r="I464" t="str">
        <f>_xlfn.XLOOKUP(CKadeaTelcoLogs_Reseau[[#This Row],[Cell_ID]],'CKadeaTelcoRegistre_Maintenance'!A:A,'CKadeaTelcoRegistre_Maintenance'!F:F,"Non repertorié")</f>
        <v>Non repertorié</v>
      </c>
    </row>
    <row r="465" spans="1:9" ht="20.5" customHeight="1" x14ac:dyDescent="0.35">
      <c r="A465" s="1">
        <v>45204.237500000003</v>
      </c>
      <c r="B465" s="5" t="s">
        <v>224</v>
      </c>
      <c r="C465">
        <v>21</v>
      </c>
      <c r="D465" t="s">
        <v>8</v>
      </c>
      <c r="E465" t="str">
        <f>_xlfn.XLOOKUP(CKadeaTelcoLogs_Reseau[[#This Row],[Cell_ID]],'CKadeaTelcoRegistre_Maintenance'!A:A,'CKadeaTelcoRegistre_Maintenance'!B:B,"Non repertorié")</f>
        <v>Kongo-Central</v>
      </c>
      <c r="F465">
        <f>_xlfn.XLOOKUP(CKadeaTelcoLogs_Reseau[[#This Row],[Cell_ID]],'CKadeaTelcoRegistre_Maintenance'!A:A,'CKadeaTelcoRegistre_Maintenance'!C:C,"Non repertorié")</f>
        <v>2.975352</v>
      </c>
      <c r="G465">
        <f>_xlfn.XLOOKUP(CKadeaTelcoLogs_Reseau[[#This Row],[Cell_ID]],'CKadeaTelcoRegistre_Maintenance'!A:A,'CKadeaTelcoRegistre_Maintenance'!D:D,"Non repertorié")</f>
        <v>22.535886000000001</v>
      </c>
      <c r="H465" t="str">
        <f>_xlfn.XLOOKUP(CKadeaTelcoLogs_Reseau[[#This Row],[Cell_ID]],'CKadeaTelcoRegistre_Maintenance'!A:A,'CKadeaTelcoRegistre_Maintenance'!E:E,"Non repertorié")</f>
        <v>4G</v>
      </c>
      <c r="I465" t="str">
        <f>_xlfn.XLOOKUP(CKadeaTelcoLogs_Reseau[[#This Row],[Cell_ID]],'CKadeaTelcoRegistre_Maintenance'!A:A,'CKadeaTelcoRegistre_Maintenance'!F:F,"Non repertorié")</f>
        <v>Huawei</v>
      </c>
    </row>
    <row r="466" spans="1:9" ht="20.5" customHeight="1" x14ac:dyDescent="0.35">
      <c r="A466" s="1">
        <v>45219.997916666667</v>
      </c>
      <c r="B466" s="5" t="s">
        <v>79</v>
      </c>
      <c r="C466">
        <v>102</v>
      </c>
      <c r="D466" t="s">
        <v>8</v>
      </c>
      <c r="E466" t="str">
        <f>_xlfn.XLOOKUP(CKadeaTelcoLogs_Reseau[[#This Row],[Cell_ID]],'CKadeaTelcoRegistre_Maintenance'!A:A,'CKadeaTelcoRegistre_Maintenance'!B:B,"Non repertorié")</f>
        <v>Non repertorié</v>
      </c>
      <c r="F466" t="str">
        <f>_xlfn.XLOOKUP(CKadeaTelcoLogs_Reseau[[#This Row],[Cell_ID]],'CKadeaTelcoRegistre_Maintenance'!A:A,'CKadeaTelcoRegistre_Maintenance'!C:C,"Non repertorié")</f>
        <v>Non repertorié</v>
      </c>
      <c r="G466" t="str">
        <f>_xlfn.XLOOKUP(CKadeaTelcoLogs_Reseau[[#This Row],[Cell_ID]],'CKadeaTelcoRegistre_Maintenance'!A:A,'CKadeaTelcoRegistre_Maintenance'!D:D,"Non repertorié")</f>
        <v>Non repertorié</v>
      </c>
      <c r="H466" t="str">
        <f>_xlfn.XLOOKUP(CKadeaTelcoLogs_Reseau[[#This Row],[Cell_ID]],'CKadeaTelcoRegistre_Maintenance'!A:A,'CKadeaTelcoRegistre_Maintenance'!E:E,"Non repertorié")</f>
        <v>Non repertorié</v>
      </c>
      <c r="I466" t="str">
        <f>_xlfn.XLOOKUP(CKadeaTelcoLogs_Reseau[[#This Row],[Cell_ID]],'CKadeaTelcoRegistre_Maintenance'!A:A,'CKadeaTelcoRegistre_Maintenance'!F:F,"Non repertorié")</f>
        <v>Non repertorié</v>
      </c>
    </row>
    <row r="467" spans="1:9" ht="20.5" customHeight="1" x14ac:dyDescent="0.35">
      <c r="A467" s="1">
        <v>45219.453472222223</v>
      </c>
      <c r="B467" s="5" t="s">
        <v>374</v>
      </c>
      <c r="C467">
        <v>52</v>
      </c>
      <c r="D467" t="s">
        <v>8</v>
      </c>
      <c r="E467" t="str">
        <f>_xlfn.XLOOKUP(CKadeaTelcoLogs_Reseau[[#This Row],[Cell_ID]],'CKadeaTelcoRegistre_Maintenance'!A:A,'CKadeaTelcoRegistre_Maintenance'!B:B,"Non repertorié")</f>
        <v>Non repertorié</v>
      </c>
      <c r="F467" t="str">
        <f>_xlfn.XLOOKUP(CKadeaTelcoLogs_Reseau[[#This Row],[Cell_ID]],'CKadeaTelcoRegistre_Maintenance'!A:A,'CKadeaTelcoRegistre_Maintenance'!C:C,"Non repertorié")</f>
        <v>Non repertorié</v>
      </c>
      <c r="G467" t="str">
        <f>_xlfn.XLOOKUP(CKadeaTelcoLogs_Reseau[[#This Row],[Cell_ID]],'CKadeaTelcoRegistre_Maintenance'!A:A,'CKadeaTelcoRegistre_Maintenance'!D:D,"Non repertorié")</f>
        <v>Non repertorié</v>
      </c>
      <c r="H467" t="str">
        <f>_xlfn.XLOOKUP(CKadeaTelcoLogs_Reseau[[#This Row],[Cell_ID]],'CKadeaTelcoRegistre_Maintenance'!A:A,'CKadeaTelcoRegistre_Maintenance'!E:E,"Non repertorié")</f>
        <v>Non repertorié</v>
      </c>
      <c r="I467" t="str">
        <f>_xlfn.XLOOKUP(CKadeaTelcoLogs_Reseau[[#This Row],[Cell_ID]],'CKadeaTelcoRegistre_Maintenance'!A:A,'CKadeaTelcoRegistre_Maintenance'!F:F,"Non repertorié")</f>
        <v>Non repertorié</v>
      </c>
    </row>
    <row r="468" spans="1:9" ht="20.5" customHeight="1" x14ac:dyDescent="0.35">
      <c r="A468" s="1">
        <v>45229.751388888886</v>
      </c>
      <c r="B468" s="5" t="s">
        <v>375</v>
      </c>
      <c r="C468">
        <v>70</v>
      </c>
      <c r="D468" t="s">
        <v>5</v>
      </c>
      <c r="E468" t="str">
        <f>_xlfn.XLOOKUP(CKadeaTelcoLogs_Reseau[[#This Row],[Cell_ID]],'CKadeaTelcoRegistre_Maintenance'!A:A,'CKadeaTelcoRegistre_Maintenance'!B:B,"Non repertorié")</f>
        <v>Non repertorié</v>
      </c>
      <c r="F468" t="str">
        <f>_xlfn.XLOOKUP(CKadeaTelcoLogs_Reseau[[#This Row],[Cell_ID]],'CKadeaTelcoRegistre_Maintenance'!A:A,'CKadeaTelcoRegistre_Maintenance'!C:C,"Non repertorié")</f>
        <v>Non repertorié</v>
      </c>
      <c r="G468" t="str">
        <f>_xlfn.XLOOKUP(CKadeaTelcoLogs_Reseau[[#This Row],[Cell_ID]],'CKadeaTelcoRegistre_Maintenance'!A:A,'CKadeaTelcoRegistre_Maintenance'!D:D,"Non repertorié")</f>
        <v>Non repertorié</v>
      </c>
      <c r="H468" t="str">
        <f>_xlfn.XLOOKUP(CKadeaTelcoLogs_Reseau[[#This Row],[Cell_ID]],'CKadeaTelcoRegistre_Maintenance'!A:A,'CKadeaTelcoRegistre_Maintenance'!E:E,"Non repertorié")</f>
        <v>Non repertorié</v>
      </c>
      <c r="I468" t="str">
        <f>_xlfn.XLOOKUP(CKadeaTelcoLogs_Reseau[[#This Row],[Cell_ID]],'CKadeaTelcoRegistre_Maintenance'!A:A,'CKadeaTelcoRegistre_Maintenance'!F:F,"Non repertorié")</f>
        <v>Non repertorié</v>
      </c>
    </row>
    <row r="469" spans="1:9" ht="20.5" customHeight="1" x14ac:dyDescent="0.35">
      <c r="A469" s="1">
        <v>45226.003472222219</v>
      </c>
      <c r="B469" s="5" t="s">
        <v>376</v>
      </c>
      <c r="C469">
        <v>76</v>
      </c>
      <c r="D469" t="s">
        <v>5</v>
      </c>
      <c r="E469" t="str">
        <f>_xlfn.XLOOKUP(CKadeaTelcoLogs_Reseau[[#This Row],[Cell_ID]],'CKadeaTelcoRegistre_Maintenance'!A:A,'CKadeaTelcoRegistre_Maintenance'!B:B,"Non repertorié")</f>
        <v>Non repertorié</v>
      </c>
      <c r="F469" t="str">
        <f>_xlfn.XLOOKUP(CKadeaTelcoLogs_Reseau[[#This Row],[Cell_ID]],'CKadeaTelcoRegistre_Maintenance'!A:A,'CKadeaTelcoRegistre_Maintenance'!C:C,"Non repertorié")</f>
        <v>Non repertorié</v>
      </c>
      <c r="G469" t="str">
        <f>_xlfn.XLOOKUP(CKadeaTelcoLogs_Reseau[[#This Row],[Cell_ID]],'CKadeaTelcoRegistre_Maintenance'!A:A,'CKadeaTelcoRegistre_Maintenance'!D:D,"Non repertorié")</f>
        <v>Non repertorié</v>
      </c>
      <c r="H469" t="str">
        <f>_xlfn.XLOOKUP(CKadeaTelcoLogs_Reseau[[#This Row],[Cell_ID]],'CKadeaTelcoRegistre_Maintenance'!A:A,'CKadeaTelcoRegistre_Maintenance'!E:E,"Non repertorié")</f>
        <v>Non repertorié</v>
      </c>
      <c r="I469" t="str">
        <f>_xlfn.XLOOKUP(CKadeaTelcoLogs_Reseau[[#This Row],[Cell_ID]],'CKadeaTelcoRegistre_Maintenance'!A:A,'CKadeaTelcoRegistre_Maintenance'!F:F,"Non repertorié")</f>
        <v>Non repertorié</v>
      </c>
    </row>
    <row r="470" spans="1:9" ht="20.5" customHeight="1" x14ac:dyDescent="0.35">
      <c r="A470" s="1">
        <v>45201.867361111108</v>
      </c>
      <c r="B470" s="5" t="s">
        <v>269</v>
      </c>
      <c r="C470">
        <v>18</v>
      </c>
      <c r="D470" t="s">
        <v>5</v>
      </c>
      <c r="E470" t="str">
        <f>_xlfn.XLOOKUP(CKadeaTelcoLogs_Reseau[[#This Row],[Cell_ID]],'CKadeaTelcoRegistre_Maintenance'!A:A,'CKadeaTelcoRegistre_Maintenance'!B:B,"Non repertorié")</f>
        <v>Kongo-Central</v>
      </c>
      <c r="F470">
        <f>_xlfn.XLOOKUP(CKadeaTelcoLogs_Reseau[[#This Row],[Cell_ID]],'CKadeaTelcoRegistre_Maintenance'!A:A,'CKadeaTelcoRegistre_Maintenance'!C:C,"Non repertorié")</f>
        <v>-12.112399999999999</v>
      </c>
      <c r="G470">
        <f>_xlfn.XLOOKUP(CKadeaTelcoLogs_Reseau[[#This Row],[Cell_ID]],'CKadeaTelcoRegistre_Maintenance'!A:A,'CKadeaTelcoRegistre_Maintenance'!D:D,"Non repertorié")</f>
        <v>15.872226</v>
      </c>
      <c r="H470" t="str">
        <f>_xlfn.XLOOKUP(CKadeaTelcoLogs_Reseau[[#This Row],[Cell_ID]],'CKadeaTelcoRegistre_Maintenance'!A:A,'CKadeaTelcoRegistre_Maintenance'!E:E,"Non repertorié")</f>
        <v>4G</v>
      </c>
      <c r="I470" t="str">
        <f>_xlfn.XLOOKUP(CKadeaTelcoLogs_Reseau[[#This Row],[Cell_ID]],'CKadeaTelcoRegistre_Maintenance'!A:A,'CKadeaTelcoRegistre_Maintenance'!F:F,"Non repertorié")</f>
        <v>Nokia</v>
      </c>
    </row>
    <row r="471" spans="1:9" ht="20.5" customHeight="1" x14ac:dyDescent="0.35">
      <c r="A471" s="1">
        <v>45218.361805555556</v>
      </c>
      <c r="B471" s="5" t="s">
        <v>49</v>
      </c>
      <c r="C471">
        <v>45</v>
      </c>
      <c r="D471" t="s">
        <v>10</v>
      </c>
      <c r="E471" t="str">
        <f>_xlfn.XLOOKUP(CKadeaTelcoLogs_Reseau[[#This Row],[Cell_ID]],'CKadeaTelcoRegistre_Maintenance'!A:A,'CKadeaTelcoRegistre_Maintenance'!B:B,"Non repertorié")</f>
        <v>Non repertorié</v>
      </c>
      <c r="F471" t="str">
        <f>_xlfn.XLOOKUP(CKadeaTelcoLogs_Reseau[[#This Row],[Cell_ID]],'CKadeaTelcoRegistre_Maintenance'!A:A,'CKadeaTelcoRegistre_Maintenance'!C:C,"Non repertorié")</f>
        <v>Non repertorié</v>
      </c>
      <c r="G471" t="str">
        <f>_xlfn.XLOOKUP(CKadeaTelcoLogs_Reseau[[#This Row],[Cell_ID]],'CKadeaTelcoRegistre_Maintenance'!A:A,'CKadeaTelcoRegistre_Maintenance'!D:D,"Non repertorié")</f>
        <v>Non repertorié</v>
      </c>
      <c r="H471" t="str">
        <f>_xlfn.XLOOKUP(CKadeaTelcoLogs_Reseau[[#This Row],[Cell_ID]],'CKadeaTelcoRegistre_Maintenance'!A:A,'CKadeaTelcoRegistre_Maintenance'!E:E,"Non repertorié")</f>
        <v>Non repertorié</v>
      </c>
      <c r="I471" t="str">
        <f>_xlfn.XLOOKUP(CKadeaTelcoLogs_Reseau[[#This Row],[Cell_ID]],'CKadeaTelcoRegistre_Maintenance'!A:A,'CKadeaTelcoRegistre_Maintenance'!F:F,"Non repertorié")</f>
        <v>Non repertorié</v>
      </c>
    </row>
    <row r="472" spans="1:9" ht="20.5" customHeight="1" x14ac:dyDescent="0.35">
      <c r="A472" s="1">
        <v>45206.768055555556</v>
      </c>
      <c r="B472" s="5" t="s">
        <v>377</v>
      </c>
      <c r="C472">
        <v>35</v>
      </c>
      <c r="D472" t="s">
        <v>10</v>
      </c>
      <c r="E472" t="str">
        <f>_xlfn.XLOOKUP(CKadeaTelcoLogs_Reseau[[#This Row],[Cell_ID]],'CKadeaTelcoRegistre_Maintenance'!A:A,'CKadeaTelcoRegistre_Maintenance'!B:B,"Non repertorié")</f>
        <v>Non repertorié</v>
      </c>
      <c r="F472" t="str">
        <f>_xlfn.XLOOKUP(CKadeaTelcoLogs_Reseau[[#This Row],[Cell_ID]],'CKadeaTelcoRegistre_Maintenance'!A:A,'CKadeaTelcoRegistre_Maintenance'!C:C,"Non repertorié")</f>
        <v>Non repertorié</v>
      </c>
      <c r="G472" t="str">
        <f>_xlfn.XLOOKUP(CKadeaTelcoLogs_Reseau[[#This Row],[Cell_ID]],'CKadeaTelcoRegistre_Maintenance'!A:A,'CKadeaTelcoRegistre_Maintenance'!D:D,"Non repertorié")</f>
        <v>Non repertorié</v>
      </c>
      <c r="H472" t="str">
        <f>_xlfn.XLOOKUP(CKadeaTelcoLogs_Reseau[[#This Row],[Cell_ID]],'CKadeaTelcoRegistre_Maintenance'!A:A,'CKadeaTelcoRegistre_Maintenance'!E:E,"Non repertorié")</f>
        <v>Non repertorié</v>
      </c>
      <c r="I472" t="str">
        <f>_xlfn.XLOOKUP(CKadeaTelcoLogs_Reseau[[#This Row],[Cell_ID]],'CKadeaTelcoRegistre_Maintenance'!A:A,'CKadeaTelcoRegistre_Maintenance'!F:F,"Non repertorié")</f>
        <v>Non repertorié</v>
      </c>
    </row>
    <row r="473" spans="1:9" ht="20.5" customHeight="1" x14ac:dyDescent="0.35">
      <c r="A473" s="1">
        <v>45219.834027777775</v>
      </c>
      <c r="B473" s="5" t="s">
        <v>378</v>
      </c>
      <c r="C473">
        <v>64</v>
      </c>
      <c r="D473" t="s">
        <v>10</v>
      </c>
      <c r="E473" t="str">
        <f>_xlfn.XLOOKUP(CKadeaTelcoLogs_Reseau[[#This Row],[Cell_ID]],'CKadeaTelcoRegistre_Maintenance'!A:A,'CKadeaTelcoRegistre_Maintenance'!B:B,"Non repertorié")</f>
        <v>Non repertorié</v>
      </c>
      <c r="F473" t="str">
        <f>_xlfn.XLOOKUP(CKadeaTelcoLogs_Reseau[[#This Row],[Cell_ID]],'CKadeaTelcoRegistre_Maintenance'!A:A,'CKadeaTelcoRegistre_Maintenance'!C:C,"Non repertorié")</f>
        <v>Non repertorié</v>
      </c>
      <c r="G473" t="str">
        <f>_xlfn.XLOOKUP(CKadeaTelcoLogs_Reseau[[#This Row],[Cell_ID]],'CKadeaTelcoRegistre_Maintenance'!A:A,'CKadeaTelcoRegistre_Maintenance'!D:D,"Non repertorié")</f>
        <v>Non repertorié</v>
      </c>
      <c r="H473" t="str">
        <f>_xlfn.XLOOKUP(CKadeaTelcoLogs_Reseau[[#This Row],[Cell_ID]],'CKadeaTelcoRegistre_Maintenance'!A:A,'CKadeaTelcoRegistre_Maintenance'!E:E,"Non repertorié")</f>
        <v>Non repertorié</v>
      </c>
      <c r="I473" t="str">
        <f>_xlfn.XLOOKUP(CKadeaTelcoLogs_Reseau[[#This Row],[Cell_ID]],'CKadeaTelcoRegistre_Maintenance'!A:A,'CKadeaTelcoRegistre_Maintenance'!F:F,"Non repertorié")</f>
        <v>Non repertorié</v>
      </c>
    </row>
    <row r="474" spans="1:9" ht="20.5" customHeight="1" x14ac:dyDescent="0.35">
      <c r="A474" s="1">
        <v>45201.043055555558</v>
      </c>
      <c r="B474" s="5" t="s">
        <v>353</v>
      </c>
      <c r="C474">
        <v>45</v>
      </c>
      <c r="D474" t="s">
        <v>8</v>
      </c>
      <c r="E474" t="str">
        <f>_xlfn.XLOOKUP(CKadeaTelcoLogs_Reseau[[#This Row],[Cell_ID]],'CKadeaTelcoRegistre_Maintenance'!A:A,'CKadeaTelcoRegistre_Maintenance'!B:B,"Non repertorié")</f>
        <v>Non repertorié</v>
      </c>
      <c r="F474" t="str">
        <f>_xlfn.XLOOKUP(CKadeaTelcoLogs_Reseau[[#This Row],[Cell_ID]],'CKadeaTelcoRegistre_Maintenance'!A:A,'CKadeaTelcoRegistre_Maintenance'!C:C,"Non repertorié")</f>
        <v>Non repertorié</v>
      </c>
      <c r="G474" t="str">
        <f>_xlfn.XLOOKUP(CKadeaTelcoLogs_Reseau[[#This Row],[Cell_ID]],'CKadeaTelcoRegistre_Maintenance'!A:A,'CKadeaTelcoRegistre_Maintenance'!D:D,"Non repertorié")</f>
        <v>Non repertorié</v>
      </c>
      <c r="H474" t="str">
        <f>_xlfn.XLOOKUP(CKadeaTelcoLogs_Reseau[[#This Row],[Cell_ID]],'CKadeaTelcoRegistre_Maintenance'!A:A,'CKadeaTelcoRegistre_Maintenance'!E:E,"Non repertorié")</f>
        <v>Non repertorié</v>
      </c>
      <c r="I474" t="str">
        <f>_xlfn.XLOOKUP(CKadeaTelcoLogs_Reseau[[#This Row],[Cell_ID]],'CKadeaTelcoRegistre_Maintenance'!A:A,'CKadeaTelcoRegistre_Maintenance'!F:F,"Non repertorié")</f>
        <v>Non repertorié</v>
      </c>
    </row>
    <row r="475" spans="1:9" ht="20.5" customHeight="1" x14ac:dyDescent="0.35">
      <c r="A475" s="1">
        <v>45204.931250000001</v>
      </c>
      <c r="B475" s="5" t="s">
        <v>379</v>
      </c>
      <c r="C475">
        <v>66</v>
      </c>
      <c r="D475" t="s">
        <v>5</v>
      </c>
      <c r="E475" t="str">
        <f>_xlfn.XLOOKUP(CKadeaTelcoLogs_Reseau[[#This Row],[Cell_ID]],'CKadeaTelcoRegistre_Maintenance'!A:A,'CKadeaTelcoRegistre_Maintenance'!B:B,"Non repertorié")</f>
        <v>Non repertorié</v>
      </c>
      <c r="F475" t="str">
        <f>_xlfn.XLOOKUP(CKadeaTelcoLogs_Reseau[[#This Row],[Cell_ID]],'CKadeaTelcoRegistre_Maintenance'!A:A,'CKadeaTelcoRegistre_Maintenance'!C:C,"Non repertorié")</f>
        <v>Non repertorié</v>
      </c>
      <c r="G475" t="str">
        <f>_xlfn.XLOOKUP(CKadeaTelcoLogs_Reseau[[#This Row],[Cell_ID]],'CKadeaTelcoRegistre_Maintenance'!A:A,'CKadeaTelcoRegistre_Maintenance'!D:D,"Non repertorié")</f>
        <v>Non repertorié</v>
      </c>
      <c r="H475" t="str">
        <f>_xlfn.XLOOKUP(CKadeaTelcoLogs_Reseau[[#This Row],[Cell_ID]],'CKadeaTelcoRegistre_Maintenance'!A:A,'CKadeaTelcoRegistre_Maintenance'!E:E,"Non repertorié")</f>
        <v>Non repertorié</v>
      </c>
      <c r="I475" t="str">
        <f>_xlfn.XLOOKUP(CKadeaTelcoLogs_Reseau[[#This Row],[Cell_ID]],'CKadeaTelcoRegistre_Maintenance'!A:A,'CKadeaTelcoRegistre_Maintenance'!F:F,"Non repertorié")</f>
        <v>Non repertorié</v>
      </c>
    </row>
    <row r="476" spans="1:9" ht="20.5" customHeight="1" x14ac:dyDescent="0.35">
      <c r="A476" s="1">
        <v>45225.647916666669</v>
      </c>
      <c r="B476" s="5" t="s">
        <v>380</v>
      </c>
      <c r="C476">
        <v>49</v>
      </c>
      <c r="D476" t="s">
        <v>5</v>
      </c>
      <c r="E476" t="str">
        <f>_xlfn.XLOOKUP(CKadeaTelcoLogs_Reseau[[#This Row],[Cell_ID]],'CKadeaTelcoRegistre_Maintenance'!A:A,'CKadeaTelcoRegistre_Maintenance'!B:B,"Non repertorié")</f>
        <v>Non repertorié</v>
      </c>
      <c r="F476" t="str">
        <f>_xlfn.XLOOKUP(CKadeaTelcoLogs_Reseau[[#This Row],[Cell_ID]],'CKadeaTelcoRegistre_Maintenance'!A:A,'CKadeaTelcoRegistre_Maintenance'!C:C,"Non repertorié")</f>
        <v>Non repertorié</v>
      </c>
      <c r="G476" t="str">
        <f>_xlfn.XLOOKUP(CKadeaTelcoLogs_Reseau[[#This Row],[Cell_ID]],'CKadeaTelcoRegistre_Maintenance'!A:A,'CKadeaTelcoRegistre_Maintenance'!D:D,"Non repertorié")</f>
        <v>Non repertorié</v>
      </c>
      <c r="H476" t="str">
        <f>_xlfn.XLOOKUP(CKadeaTelcoLogs_Reseau[[#This Row],[Cell_ID]],'CKadeaTelcoRegistre_Maintenance'!A:A,'CKadeaTelcoRegistre_Maintenance'!E:E,"Non repertorié")</f>
        <v>Non repertorié</v>
      </c>
      <c r="I476" t="str">
        <f>_xlfn.XLOOKUP(CKadeaTelcoLogs_Reseau[[#This Row],[Cell_ID]],'CKadeaTelcoRegistre_Maintenance'!A:A,'CKadeaTelcoRegistre_Maintenance'!F:F,"Non repertorié")</f>
        <v>Non repertorié</v>
      </c>
    </row>
    <row r="477" spans="1:9" ht="20.5" customHeight="1" x14ac:dyDescent="0.35">
      <c r="A477" s="1">
        <v>45214.193055555559</v>
      </c>
      <c r="B477" s="5" t="s">
        <v>34</v>
      </c>
      <c r="C477">
        <v>76</v>
      </c>
      <c r="D477" t="s">
        <v>10</v>
      </c>
      <c r="E477" t="str">
        <f>_xlfn.XLOOKUP(CKadeaTelcoLogs_Reseau[[#This Row],[Cell_ID]],'CKadeaTelcoRegistre_Maintenance'!A:A,'CKadeaTelcoRegistre_Maintenance'!B:B,"Non repertorié")</f>
        <v>Non repertorié</v>
      </c>
      <c r="F477" t="str">
        <f>_xlfn.XLOOKUP(CKadeaTelcoLogs_Reseau[[#This Row],[Cell_ID]],'CKadeaTelcoRegistre_Maintenance'!A:A,'CKadeaTelcoRegistre_Maintenance'!C:C,"Non repertorié")</f>
        <v>Non repertorié</v>
      </c>
      <c r="G477" t="str">
        <f>_xlfn.XLOOKUP(CKadeaTelcoLogs_Reseau[[#This Row],[Cell_ID]],'CKadeaTelcoRegistre_Maintenance'!A:A,'CKadeaTelcoRegistre_Maintenance'!D:D,"Non repertorié")</f>
        <v>Non repertorié</v>
      </c>
      <c r="H477" t="str">
        <f>_xlfn.XLOOKUP(CKadeaTelcoLogs_Reseau[[#This Row],[Cell_ID]],'CKadeaTelcoRegistre_Maintenance'!A:A,'CKadeaTelcoRegistre_Maintenance'!E:E,"Non repertorié")</f>
        <v>Non repertorié</v>
      </c>
      <c r="I477" t="str">
        <f>_xlfn.XLOOKUP(CKadeaTelcoLogs_Reseau[[#This Row],[Cell_ID]],'CKadeaTelcoRegistre_Maintenance'!A:A,'CKadeaTelcoRegistre_Maintenance'!F:F,"Non repertorié")</f>
        <v>Non repertorié</v>
      </c>
    </row>
    <row r="478" spans="1:9" ht="20.5" customHeight="1" x14ac:dyDescent="0.35">
      <c r="A478" s="1">
        <v>45228.672222222223</v>
      </c>
      <c r="B478" s="5" t="s">
        <v>381</v>
      </c>
      <c r="C478">
        <v>106</v>
      </c>
      <c r="D478" t="s">
        <v>5</v>
      </c>
      <c r="E478" t="str">
        <f>_xlfn.XLOOKUP(CKadeaTelcoLogs_Reseau[[#This Row],[Cell_ID]],'CKadeaTelcoRegistre_Maintenance'!A:A,'CKadeaTelcoRegistre_Maintenance'!B:B,"Non repertorié")</f>
        <v>Lualaba</v>
      </c>
      <c r="F478">
        <f>_xlfn.XLOOKUP(CKadeaTelcoLogs_Reseau[[#This Row],[Cell_ID]],'CKadeaTelcoRegistre_Maintenance'!A:A,'CKadeaTelcoRegistre_Maintenance'!C:C,"Non repertorié")</f>
        <v>2.0392079999999999</v>
      </c>
      <c r="G478">
        <f>_xlfn.XLOOKUP(CKadeaTelcoLogs_Reseau[[#This Row],[Cell_ID]],'CKadeaTelcoRegistre_Maintenance'!A:A,'CKadeaTelcoRegistre_Maintenance'!D:D,"Non repertorié")</f>
        <v>19.090841999999999</v>
      </c>
      <c r="H478" t="str">
        <f>_xlfn.XLOOKUP(CKadeaTelcoLogs_Reseau[[#This Row],[Cell_ID]],'CKadeaTelcoRegistre_Maintenance'!A:A,'CKadeaTelcoRegistre_Maintenance'!E:E,"Non repertorié")</f>
        <v>4G</v>
      </c>
      <c r="I478" t="str">
        <f>_xlfn.XLOOKUP(CKadeaTelcoLogs_Reseau[[#This Row],[Cell_ID]],'CKadeaTelcoRegistre_Maintenance'!A:A,'CKadeaTelcoRegistre_Maintenance'!F:F,"Non repertorié")</f>
        <v>Nokia</v>
      </c>
    </row>
    <row r="479" spans="1:9" ht="20.5" customHeight="1" x14ac:dyDescent="0.35">
      <c r="A479" s="1">
        <v>45210.805555555555</v>
      </c>
      <c r="B479" s="5" t="s">
        <v>382</v>
      </c>
      <c r="C479">
        <v>97</v>
      </c>
      <c r="D479" t="s">
        <v>5</v>
      </c>
      <c r="E479" t="str">
        <f>_xlfn.XLOOKUP(CKadeaTelcoLogs_Reseau[[#This Row],[Cell_ID]],'CKadeaTelcoRegistre_Maintenance'!A:A,'CKadeaTelcoRegistre_Maintenance'!B:B,"Non repertorié")</f>
        <v>Non repertorié</v>
      </c>
      <c r="F479" t="str">
        <f>_xlfn.XLOOKUP(CKadeaTelcoLogs_Reseau[[#This Row],[Cell_ID]],'CKadeaTelcoRegistre_Maintenance'!A:A,'CKadeaTelcoRegistre_Maintenance'!C:C,"Non repertorié")</f>
        <v>Non repertorié</v>
      </c>
      <c r="G479" t="str">
        <f>_xlfn.XLOOKUP(CKadeaTelcoLogs_Reseau[[#This Row],[Cell_ID]],'CKadeaTelcoRegistre_Maintenance'!A:A,'CKadeaTelcoRegistre_Maintenance'!D:D,"Non repertorié")</f>
        <v>Non repertorié</v>
      </c>
      <c r="H479" t="str">
        <f>_xlfn.XLOOKUP(CKadeaTelcoLogs_Reseau[[#This Row],[Cell_ID]],'CKadeaTelcoRegistre_Maintenance'!A:A,'CKadeaTelcoRegistre_Maintenance'!E:E,"Non repertorié")</f>
        <v>Non repertorié</v>
      </c>
      <c r="I479" t="str">
        <f>_xlfn.XLOOKUP(CKadeaTelcoLogs_Reseau[[#This Row],[Cell_ID]],'CKadeaTelcoRegistre_Maintenance'!A:A,'CKadeaTelcoRegistre_Maintenance'!F:F,"Non repertorié")</f>
        <v>Non repertorié</v>
      </c>
    </row>
    <row r="480" spans="1:9" ht="20.5" customHeight="1" x14ac:dyDescent="0.35">
      <c r="A480" s="1">
        <v>45205.527083333334</v>
      </c>
      <c r="B480" s="5" t="s">
        <v>383</v>
      </c>
      <c r="C480">
        <v>40</v>
      </c>
      <c r="D480" t="s">
        <v>10</v>
      </c>
      <c r="E480" t="str">
        <f>_xlfn.XLOOKUP(CKadeaTelcoLogs_Reseau[[#This Row],[Cell_ID]],'CKadeaTelcoRegistre_Maintenance'!A:A,'CKadeaTelcoRegistre_Maintenance'!B:B,"Non repertorié")</f>
        <v>Nord-Kivu</v>
      </c>
      <c r="F480">
        <f>_xlfn.XLOOKUP(CKadeaTelcoLogs_Reseau[[#This Row],[Cell_ID]],'CKadeaTelcoRegistre_Maintenance'!A:A,'CKadeaTelcoRegistre_Maintenance'!C:C,"Non repertorié")</f>
        <v>-5.42171</v>
      </c>
      <c r="G480">
        <f>_xlfn.XLOOKUP(CKadeaTelcoLogs_Reseau[[#This Row],[Cell_ID]],'CKadeaTelcoRegistre_Maintenance'!A:A,'CKadeaTelcoRegistre_Maintenance'!D:D,"Non repertorié")</f>
        <v>24.202960999999998</v>
      </c>
      <c r="H480" t="str">
        <f>_xlfn.XLOOKUP(CKadeaTelcoLogs_Reseau[[#This Row],[Cell_ID]],'CKadeaTelcoRegistre_Maintenance'!A:A,'CKadeaTelcoRegistre_Maintenance'!E:E,"Non repertorié")</f>
        <v>5G</v>
      </c>
      <c r="I480" t="str">
        <f>_xlfn.XLOOKUP(CKadeaTelcoLogs_Reseau[[#This Row],[Cell_ID]],'CKadeaTelcoRegistre_Maintenance'!A:A,'CKadeaTelcoRegistre_Maintenance'!F:F,"Non repertorié")</f>
        <v>Ericsson</v>
      </c>
    </row>
    <row r="481" spans="1:9" ht="20.5" customHeight="1" x14ac:dyDescent="0.35">
      <c r="A481" s="1">
        <v>45223.400694444441</v>
      </c>
      <c r="B481" s="5" t="s">
        <v>311</v>
      </c>
      <c r="C481">
        <v>41</v>
      </c>
      <c r="D481" t="s">
        <v>10</v>
      </c>
      <c r="E481" t="str">
        <f>_xlfn.XLOOKUP(CKadeaTelcoLogs_Reseau[[#This Row],[Cell_ID]],'CKadeaTelcoRegistre_Maintenance'!A:A,'CKadeaTelcoRegistre_Maintenance'!B:B,"Non repertorié")</f>
        <v>Mongala</v>
      </c>
      <c r="F481">
        <f>_xlfn.XLOOKUP(CKadeaTelcoLogs_Reseau[[#This Row],[Cell_ID]],'CKadeaTelcoRegistre_Maintenance'!A:A,'CKadeaTelcoRegistre_Maintenance'!C:C,"Non repertorié")</f>
        <v>-1.231033</v>
      </c>
      <c r="G481">
        <f>_xlfn.XLOOKUP(CKadeaTelcoLogs_Reseau[[#This Row],[Cell_ID]],'CKadeaTelcoRegistre_Maintenance'!A:A,'CKadeaTelcoRegistre_Maintenance'!D:D,"Non repertorié")</f>
        <v>28.851388</v>
      </c>
      <c r="H481" t="str">
        <f>_xlfn.XLOOKUP(CKadeaTelcoLogs_Reseau[[#This Row],[Cell_ID]],'CKadeaTelcoRegistre_Maintenance'!A:A,'CKadeaTelcoRegistre_Maintenance'!E:E,"Non repertorié")</f>
        <v>3G</v>
      </c>
      <c r="I481" t="str">
        <f>_xlfn.XLOOKUP(CKadeaTelcoLogs_Reseau[[#This Row],[Cell_ID]],'CKadeaTelcoRegistre_Maintenance'!A:A,'CKadeaTelcoRegistre_Maintenance'!F:F,"Non repertorié")</f>
        <v>Ericsson</v>
      </c>
    </row>
    <row r="482" spans="1:9" ht="20.5" customHeight="1" x14ac:dyDescent="0.35">
      <c r="A482" s="1">
        <v>45210.703472222223</v>
      </c>
      <c r="B482" s="5" t="s">
        <v>384</v>
      </c>
      <c r="C482">
        <v>20</v>
      </c>
      <c r="D482" t="s">
        <v>5</v>
      </c>
      <c r="E482" t="str">
        <f>_xlfn.XLOOKUP(CKadeaTelcoLogs_Reseau[[#This Row],[Cell_ID]],'CKadeaTelcoRegistre_Maintenance'!A:A,'CKadeaTelcoRegistre_Maintenance'!B:B,"Non repertorié")</f>
        <v>Equateur</v>
      </c>
      <c r="F482">
        <f>_xlfn.XLOOKUP(CKadeaTelcoLogs_Reseau[[#This Row],[Cell_ID]],'CKadeaTelcoRegistre_Maintenance'!A:A,'CKadeaTelcoRegistre_Maintenance'!C:C,"Non repertorié")</f>
        <v>-0.79459900000000006</v>
      </c>
      <c r="G482">
        <f>_xlfn.XLOOKUP(CKadeaTelcoLogs_Reseau[[#This Row],[Cell_ID]],'CKadeaTelcoRegistre_Maintenance'!A:A,'CKadeaTelcoRegistre_Maintenance'!D:D,"Non repertorié")</f>
        <v>26.775570999999999</v>
      </c>
      <c r="H482" t="str">
        <f>_xlfn.XLOOKUP(CKadeaTelcoLogs_Reseau[[#This Row],[Cell_ID]],'CKadeaTelcoRegistre_Maintenance'!A:A,'CKadeaTelcoRegistre_Maintenance'!E:E,"Non repertorié")</f>
        <v>5G</v>
      </c>
      <c r="I482" t="str">
        <f>_xlfn.XLOOKUP(CKadeaTelcoLogs_Reseau[[#This Row],[Cell_ID]],'CKadeaTelcoRegistre_Maintenance'!A:A,'CKadeaTelcoRegistre_Maintenance'!F:F,"Non repertorié")</f>
        <v>Huawei</v>
      </c>
    </row>
    <row r="483" spans="1:9" ht="20.5" customHeight="1" x14ac:dyDescent="0.35">
      <c r="A483" s="1">
        <v>45216.729861111111</v>
      </c>
      <c r="B483" s="5" t="s">
        <v>185</v>
      </c>
      <c r="C483">
        <v>78</v>
      </c>
      <c r="D483" t="s">
        <v>8</v>
      </c>
      <c r="E483" t="str">
        <f>_xlfn.XLOOKUP(CKadeaTelcoLogs_Reseau[[#This Row],[Cell_ID]],'CKadeaTelcoRegistre_Maintenance'!A:A,'CKadeaTelcoRegistre_Maintenance'!B:B,"Non repertorié")</f>
        <v>Lualaba</v>
      </c>
      <c r="F483">
        <f>_xlfn.XLOOKUP(CKadeaTelcoLogs_Reseau[[#This Row],[Cell_ID]],'CKadeaTelcoRegistre_Maintenance'!A:A,'CKadeaTelcoRegistre_Maintenance'!C:C,"Non repertorié")</f>
        <v>-9.5243310000000001</v>
      </c>
      <c r="G483">
        <f>_xlfn.XLOOKUP(CKadeaTelcoLogs_Reseau[[#This Row],[Cell_ID]],'CKadeaTelcoRegistre_Maintenance'!A:A,'CKadeaTelcoRegistre_Maintenance'!D:D,"Non repertorié")</f>
        <v>30.541212000000002</v>
      </c>
      <c r="H483" t="str">
        <f>_xlfn.XLOOKUP(CKadeaTelcoLogs_Reseau[[#This Row],[Cell_ID]],'CKadeaTelcoRegistre_Maintenance'!A:A,'CKadeaTelcoRegistre_Maintenance'!E:E,"Non repertorié")</f>
        <v>3G</v>
      </c>
      <c r="I483" t="str">
        <f>_xlfn.XLOOKUP(CKadeaTelcoLogs_Reseau[[#This Row],[Cell_ID]],'CKadeaTelcoRegistre_Maintenance'!A:A,'CKadeaTelcoRegistre_Maintenance'!F:F,"Non repertorié")</f>
        <v>Ericsson</v>
      </c>
    </row>
    <row r="484" spans="1:9" ht="20.5" customHeight="1" x14ac:dyDescent="0.35">
      <c r="A484" s="1">
        <v>45222.763194444444</v>
      </c>
      <c r="B484" s="5" t="s">
        <v>171</v>
      </c>
      <c r="C484">
        <v>91</v>
      </c>
      <c r="D484" t="s">
        <v>10</v>
      </c>
      <c r="E484" t="str">
        <f>_xlfn.XLOOKUP(CKadeaTelcoLogs_Reseau[[#This Row],[Cell_ID]],'CKadeaTelcoRegistre_Maintenance'!A:A,'CKadeaTelcoRegistre_Maintenance'!B:B,"Non repertorié")</f>
        <v>Bas-Uele</v>
      </c>
      <c r="F484">
        <f>_xlfn.XLOOKUP(CKadeaTelcoLogs_Reseau[[#This Row],[Cell_ID]],'CKadeaTelcoRegistre_Maintenance'!A:A,'CKadeaTelcoRegistre_Maintenance'!C:C,"Non repertorié")</f>
        <v>-3.6945459999999999</v>
      </c>
      <c r="G484">
        <f>_xlfn.XLOOKUP(CKadeaTelcoLogs_Reseau[[#This Row],[Cell_ID]],'CKadeaTelcoRegistre_Maintenance'!A:A,'CKadeaTelcoRegistre_Maintenance'!D:D,"Non repertorié")</f>
        <v>16.809108999999999</v>
      </c>
      <c r="H484" t="str">
        <f>_xlfn.XLOOKUP(CKadeaTelcoLogs_Reseau[[#This Row],[Cell_ID]],'CKadeaTelcoRegistre_Maintenance'!A:A,'CKadeaTelcoRegistre_Maintenance'!E:E,"Non repertorié")</f>
        <v>5G</v>
      </c>
      <c r="I484" t="str">
        <f>_xlfn.XLOOKUP(CKadeaTelcoLogs_Reseau[[#This Row],[Cell_ID]],'CKadeaTelcoRegistre_Maintenance'!A:A,'CKadeaTelcoRegistre_Maintenance'!F:F,"Non repertorié")</f>
        <v>ZTE</v>
      </c>
    </row>
    <row r="485" spans="1:9" ht="20.5" customHeight="1" x14ac:dyDescent="0.35">
      <c r="A485" s="1">
        <v>45215.015972222223</v>
      </c>
      <c r="B485" s="5" t="s">
        <v>385</v>
      </c>
      <c r="C485">
        <v>74</v>
      </c>
      <c r="D485" t="s">
        <v>5</v>
      </c>
      <c r="E485" t="str">
        <f>_xlfn.XLOOKUP(CKadeaTelcoLogs_Reseau[[#This Row],[Cell_ID]],'CKadeaTelcoRegistre_Maintenance'!A:A,'CKadeaTelcoRegistre_Maintenance'!B:B,"Non repertorié")</f>
        <v>Kasai-Central</v>
      </c>
      <c r="F485">
        <f>_xlfn.XLOOKUP(CKadeaTelcoLogs_Reseau[[#This Row],[Cell_ID]],'CKadeaTelcoRegistre_Maintenance'!A:A,'CKadeaTelcoRegistre_Maintenance'!C:C,"Non repertorié")</f>
        <v>-5.8352820000000003</v>
      </c>
      <c r="G485">
        <f>_xlfn.XLOOKUP(CKadeaTelcoLogs_Reseau[[#This Row],[Cell_ID]],'CKadeaTelcoRegistre_Maintenance'!A:A,'CKadeaTelcoRegistre_Maintenance'!D:D,"Non repertorié")</f>
        <v>26.603978000000001</v>
      </c>
      <c r="H485" t="str">
        <f>_xlfn.XLOOKUP(CKadeaTelcoLogs_Reseau[[#This Row],[Cell_ID]],'CKadeaTelcoRegistre_Maintenance'!A:A,'CKadeaTelcoRegistre_Maintenance'!E:E,"Non repertorié")</f>
        <v>4G</v>
      </c>
      <c r="I485" t="str">
        <f>_xlfn.XLOOKUP(CKadeaTelcoLogs_Reseau[[#This Row],[Cell_ID]],'CKadeaTelcoRegistre_Maintenance'!A:A,'CKadeaTelcoRegistre_Maintenance'!F:F,"Non repertorié")</f>
        <v>Huawei</v>
      </c>
    </row>
    <row r="486" spans="1:9" ht="20.5" customHeight="1" x14ac:dyDescent="0.35">
      <c r="A486" s="1">
        <v>45210.879861111112</v>
      </c>
      <c r="B486" s="5" t="s">
        <v>386</v>
      </c>
      <c r="C486">
        <v>53</v>
      </c>
      <c r="D486" t="s">
        <v>5</v>
      </c>
      <c r="E486" t="str">
        <f>_xlfn.XLOOKUP(CKadeaTelcoLogs_Reseau[[#This Row],[Cell_ID]],'CKadeaTelcoRegistre_Maintenance'!A:A,'CKadeaTelcoRegistre_Maintenance'!B:B,"Non repertorié")</f>
        <v>Lomami</v>
      </c>
      <c r="F486">
        <f>_xlfn.XLOOKUP(CKadeaTelcoLogs_Reseau[[#This Row],[Cell_ID]],'CKadeaTelcoRegistre_Maintenance'!A:A,'CKadeaTelcoRegistre_Maintenance'!C:C,"Non repertorié")</f>
        <v>-7.8770429999999996</v>
      </c>
      <c r="G486">
        <f>_xlfn.XLOOKUP(CKadeaTelcoLogs_Reseau[[#This Row],[Cell_ID]],'CKadeaTelcoRegistre_Maintenance'!A:A,'CKadeaTelcoRegistre_Maintenance'!D:D,"Non repertorié")</f>
        <v>16.357762999999998</v>
      </c>
      <c r="H486" t="str">
        <f>_xlfn.XLOOKUP(CKadeaTelcoLogs_Reseau[[#This Row],[Cell_ID]],'CKadeaTelcoRegistre_Maintenance'!A:A,'CKadeaTelcoRegistre_Maintenance'!E:E,"Non repertorié")</f>
        <v>4G</v>
      </c>
      <c r="I486" t="str">
        <f>_xlfn.XLOOKUP(CKadeaTelcoLogs_Reseau[[#This Row],[Cell_ID]],'CKadeaTelcoRegistre_Maintenance'!A:A,'CKadeaTelcoRegistre_Maintenance'!F:F,"Non repertorié")</f>
        <v>Ericsson</v>
      </c>
    </row>
    <row r="487" spans="1:9" ht="20.5" customHeight="1" x14ac:dyDescent="0.35">
      <c r="A487" s="1">
        <v>45213.763194444444</v>
      </c>
      <c r="B487" s="5" t="s">
        <v>384</v>
      </c>
      <c r="C487">
        <v>119</v>
      </c>
      <c r="D487" t="s">
        <v>10</v>
      </c>
      <c r="E487" t="str">
        <f>_xlfn.XLOOKUP(CKadeaTelcoLogs_Reseau[[#This Row],[Cell_ID]],'CKadeaTelcoRegistre_Maintenance'!A:A,'CKadeaTelcoRegistre_Maintenance'!B:B,"Non repertorié")</f>
        <v>Equateur</v>
      </c>
      <c r="F487">
        <f>_xlfn.XLOOKUP(CKadeaTelcoLogs_Reseau[[#This Row],[Cell_ID]],'CKadeaTelcoRegistre_Maintenance'!A:A,'CKadeaTelcoRegistre_Maintenance'!C:C,"Non repertorié")</f>
        <v>-0.79459900000000006</v>
      </c>
      <c r="G487">
        <f>_xlfn.XLOOKUP(CKadeaTelcoLogs_Reseau[[#This Row],[Cell_ID]],'CKadeaTelcoRegistre_Maintenance'!A:A,'CKadeaTelcoRegistre_Maintenance'!D:D,"Non repertorié")</f>
        <v>26.775570999999999</v>
      </c>
      <c r="H487" t="str">
        <f>_xlfn.XLOOKUP(CKadeaTelcoLogs_Reseau[[#This Row],[Cell_ID]],'CKadeaTelcoRegistre_Maintenance'!A:A,'CKadeaTelcoRegistre_Maintenance'!E:E,"Non repertorié")</f>
        <v>5G</v>
      </c>
      <c r="I487" t="str">
        <f>_xlfn.XLOOKUP(CKadeaTelcoLogs_Reseau[[#This Row],[Cell_ID]],'CKadeaTelcoRegistre_Maintenance'!A:A,'CKadeaTelcoRegistre_Maintenance'!F:F,"Non repertorié")</f>
        <v>Huawei</v>
      </c>
    </row>
    <row r="488" spans="1:9" ht="20.5" customHeight="1" x14ac:dyDescent="0.35">
      <c r="A488" s="1">
        <v>45225.996527777781</v>
      </c>
      <c r="B488" s="5" t="s">
        <v>210</v>
      </c>
      <c r="C488">
        <v>55</v>
      </c>
      <c r="D488" t="s">
        <v>8</v>
      </c>
      <c r="E488" t="str">
        <f>_xlfn.XLOOKUP(CKadeaTelcoLogs_Reseau[[#This Row],[Cell_ID]],'CKadeaTelcoRegistre_Maintenance'!A:A,'CKadeaTelcoRegistre_Maintenance'!B:B,"Non repertorié")</f>
        <v>Non repertorié</v>
      </c>
      <c r="F488" t="str">
        <f>_xlfn.XLOOKUP(CKadeaTelcoLogs_Reseau[[#This Row],[Cell_ID]],'CKadeaTelcoRegistre_Maintenance'!A:A,'CKadeaTelcoRegistre_Maintenance'!C:C,"Non repertorié")</f>
        <v>Non repertorié</v>
      </c>
      <c r="G488" t="str">
        <f>_xlfn.XLOOKUP(CKadeaTelcoLogs_Reseau[[#This Row],[Cell_ID]],'CKadeaTelcoRegistre_Maintenance'!A:A,'CKadeaTelcoRegistre_Maintenance'!D:D,"Non repertorié")</f>
        <v>Non repertorié</v>
      </c>
      <c r="H488" t="str">
        <f>_xlfn.XLOOKUP(CKadeaTelcoLogs_Reseau[[#This Row],[Cell_ID]],'CKadeaTelcoRegistre_Maintenance'!A:A,'CKadeaTelcoRegistre_Maintenance'!E:E,"Non repertorié")</f>
        <v>Non repertorié</v>
      </c>
      <c r="I488" t="str">
        <f>_xlfn.XLOOKUP(CKadeaTelcoLogs_Reseau[[#This Row],[Cell_ID]],'CKadeaTelcoRegistre_Maintenance'!A:A,'CKadeaTelcoRegistre_Maintenance'!F:F,"Non repertorié")</f>
        <v>Non repertorié</v>
      </c>
    </row>
    <row r="489" spans="1:9" ht="20.5" customHeight="1" x14ac:dyDescent="0.35">
      <c r="A489" s="1">
        <v>45222.834027777775</v>
      </c>
      <c r="B489" s="5" t="s">
        <v>67</v>
      </c>
      <c r="C489">
        <v>109</v>
      </c>
      <c r="D489" t="s">
        <v>8</v>
      </c>
      <c r="E489" t="str">
        <f>_xlfn.XLOOKUP(CKadeaTelcoLogs_Reseau[[#This Row],[Cell_ID]],'CKadeaTelcoRegistre_Maintenance'!A:A,'CKadeaTelcoRegistre_Maintenance'!B:B,"Non repertorié")</f>
        <v>Haut-Katanga</v>
      </c>
      <c r="F489">
        <f>_xlfn.XLOOKUP(CKadeaTelcoLogs_Reseau[[#This Row],[Cell_ID]],'CKadeaTelcoRegistre_Maintenance'!A:A,'CKadeaTelcoRegistre_Maintenance'!C:C,"Non repertorié")</f>
        <v>-2.9417719999999998</v>
      </c>
      <c r="G489">
        <f>_xlfn.XLOOKUP(CKadeaTelcoLogs_Reseau[[#This Row],[Cell_ID]],'CKadeaTelcoRegistre_Maintenance'!A:A,'CKadeaTelcoRegistre_Maintenance'!D:D,"Non repertorié")</f>
        <v>18.587305000000001</v>
      </c>
      <c r="H489" t="str">
        <f>_xlfn.XLOOKUP(CKadeaTelcoLogs_Reseau[[#This Row],[Cell_ID]],'CKadeaTelcoRegistre_Maintenance'!A:A,'CKadeaTelcoRegistre_Maintenance'!E:E,"Non repertorié")</f>
        <v>5G</v>
      </c>
      <c r="I489" t="str">
        <f>_xlfn.XLOOKUP(CKadeaTelcoLogs_Reseau[[#This Row],[Cell_ID]],'CKadeaTelcoRegistre_Maintenance'!A:A,'CKadeaTelcoRegistre_Maintenance'!F:F,"Non repertorié")</f>
        <v>Ericsson</v>
      </c>
    </row>
    <row r="490" spans="1:9" ht="20.5" customHeight="1" x14ac:dyDescent="0.35">
      <c r="A490" s="1">
        <v>45219.636111111111</v>
      </c>
      <c r="B490" s="5" t="s">
        <v>212</v>
      </c>
      <c r="C490">
        <v>49</v>
      </c>
      <c r="D490" t="s">
        <v>5</v>
      </c>
      <c r="E490" t="str">
        <f>_xlfn.XLOOKUP(CKadeaTelcoLogs_Reseau[[#This Row],[Cell_ID]],'CKadeaTelcoRegistre_Maintenance'!A:A,'CKadeaTelcoRegistre_Maintenance'!B:B,"Non repertorié")</f>
        <v>Non repertorié</v>
      </c>
      <c r="F490" t="str">
        <f>_xlfn.XLOOKUP(CKadeaTelcoLogs_Reseau[[#This Row],[Cell_ID]],'CKadeaTelcoRegistre_Maintenance'!A:A,'CKadeaTelcoRegistre_Maintenance'!C:C,"Non repertorié")</f>
        <v>Non repertorié</v>
      </c>
      <c r="G490" t="str">
        <f>_xlfn.XLOOKUP(CKadeaTelcoLogs_Reseau[[#This Row],[Cell_ID]],'CKadeaTelcoRegistre_Maintenance'!A:A,'CKadeaTelcoRegistre_Maintenance'!D:D,"Non repertorié")</f>
        <v>Non repertorié</v>
      </c>
      <c r="H490" t="str">
        <f>_xlfn.XLOOKUP(CKadeaTelcoLogs_Reseau[[#This Row],[Cell_ID]],'CKadeaTelcoRegistre_Maintenance'!A:A,'CKadeaTelcoRegistre_Maintenance'!E:E,"Non repertorié")</f>
        <v>Non repertorié</v>
      </c>
      <c r="I490" t="str">
        <f>_xlfn.XLOOKUP(CKadeaTelcoLogs_Reseau[[#This Row],[Cell_ID]],'CKadeaTelcoRegistre_Maintenance'!A:A,'CKadeaTelcoRegistre_Maintenance'!F:F,"Non repertorié")</f>
        <v>Non repertorié</v>
      </c>
    </row>
    <row r="491" spans="1:9" ht="20.5" customHeight="1" x14ac:dyDescent="0.35">
      <c r="A491" s="1">
        <v>45230.868055555555</v>
      </c>
      <c r="B491" s="5" t="s">
        <v>387</v>
      </c>
      <c r="C491">
        <v>103</v>
      </c>
      <c r="D491" t="s">
        <v>10</v>
      </c>
      <c r="E491" t="str">
        <f>_xlfn.XLOOKUP(CKadeaTelcoLogs_Reseau[[#This Row],[Cell_ID]],'CKadeaTelcoRegistre_Maintenance'!A:A,'CKadeaTelcoRegistre_Maintenance'!B:B,"Non repertorié")</f>
        <v>Bas-Uele</v>
      </c>
      <c r="F491">
        <f>_xlfn.XLOOKUP(CKadeaTelcoLogs_Reseau[[#This Row],[Cell_ID]],'CKadeaTelcoRegistre_Maintenance'!A:A,'CKadeaTelcoRegistre_Maintenance'!C:C,"Non repertorié")</f>
        <v>-2.8532869999999999</v>
      </c>
      <c r="G491">
        <f>_xlfn.XLOOKUP(CKadeaTelcoLogs_Reseau[[#This Row],[Cell_ID]],'CKadeaTelcoRegistre_Maintenance'!A:A,'CKadeaTelcoRegistre_Maintenance'!D:D,"Non repertorié")</f>
        <v>22.117896000000002</v>
      </c>
      <c r="H491" t="str">
        <f>_xlfn.XLOOKUP(CKadeaTelcoLogs_Reseau[[#This Row],[Cell_ID]],'CKadeaTelcoRegistre_Maintenance'!A:A,'CKadeaTelcoRegistre_Maintenance'!E:E,"Non repertorié")</f>
        <v>5G</v>
      </c>
      <c r="I491" t="str">
        <f>_xlfn.XLOOKUP(CKadeaTelcoLogs_Reseau[[#This Row],[Cell_ID]],'CKadeaTelcoRegistre_Maintenance'!A:A,'CKadeaTelcoRegistre_Maintenance'!F:F,"Non repertorié")</f>
        <v>Huawei</v>
      </c>
    </row>
    <row r="492" spans="1:9" ht="20.5" customHeight="1" x14ac:dyDescent="0.35">
      <c r="A492" s="1">
        <v>45224.775000000001</v>
      </c>
      <c r="B492" s="5" t="s">
        <v>388</v>
      </c>
      <c r="C492">
        <v>107</v>
      </c>
      <c r="D492" t="s">
        <v>10</v>
      </c>
      <c r="E492" t="str">
        <f>_xlfn.XLOOKUP(CKadeaTelcoLogs_Reseau[[#This Row],[Cell_ID]],'CKadeaTelcoRegistre_Maintenance'!A:A,'CKadeaTelcoRegistre_Maintenance'!B:B,"Non repertorié")</f>
        <v>Equateur</v>
      </c>
      <c r="F492">
        <f>_xlfn.XLOOKUP(CKadeaTelcoLogs_Reseau[[#This Row],[Cell_ID]],'CKadeaTelcoRegistre_Maintenance'!A:A,'CKadeaTelcoRegistre_Maintenance'!C:C,"Non repertorié")</f>
        <v>-5.7200150000000001</v>
      </c>
      <c r="G492">
        <f>_xlfn.XLOOKUP(CKadeaTelcoLogs_Reseau[[#This Row],[Cell_ID]],'CKadeaTelcoRegistre_Maintenance'!A:A,'CKadeaTelcoRegistre_Maintenance'!D:D,"Non repertorié")</f>
        <v>25.022109</v>
      </c>
      <c r="H492" t="str">
        <f>_xlfn.XLOOKUP(CKadeaTelcoLogs_Reseau[[#This Row],[Cell_ID]],'CKadeaTelcoRegistre_Maintenance'!A:A,'CKadeaTelcoRegistre_Maintenance'!E:E,"Non repertorié")</f>
        <v>5G</v>
      </c>
      <c r="I492" t="str">
        <f>_xlfn.XLOOKUP(CKadeaTelcoLogs_Reseau[[#This Row],[Cell_ID]],'CKadeaTelcoRegistre_Maintenance'!A:A,'CKadeaTelcoRegistre_Maintenance'!F:F,"Non repertorié")</f>
        <v>ZTE</v>
      </c>
    </row>
    <row r="493" spans="1:9" ht="20.5" customHeight="1" x14ac:dyDescent="0.35">
      <c r="A493" s="1">
        <v>45207.960416666669</v>
      </c>
      <c r="B493" s="5" t="s">
        <v>170</v>
      </c>
      <c r="C493">
        <v>23</v>
      </c>
      <c r="D493" t="s">
        <v>10</v>
      </c>
      <c r="E493" t="str">
        <f>_xlfn.XLOOKUP(CKadeaTelcoLogs_Reseau[[#This Row],[Cell_ID]],'CKadeaTelcoRegistre_Maintenance'!A:A,'CKadeaTelcoRegistre_Maintenance'!B:B,"Non repertorié")</f>
        <v>Nord-Kivu</v>
      </c>
      <c r="F493">
        <f>_xlfn.XLOOKUP(CKadeaTelcoLogs_Reseau[[#This Row],[Cell_ID]],'CKadeaTelcoRegistre_Maintenance'!A:A,'CKadeaTelcoRegistre_Maintenance'!C:C,"Non repertorié")</f>
        <v>-12.336202</v>
      </c>
      <c r="G493">
        <f>_xlfn.XLOOKUP(CKadeaTelcoLogs_Reseau[[#This Row],[Cell_ID]],'CKadeaTelcoRegistre_Maintenance'!A:A,'CKadeaTelcoRegistre_Maintenance'!D:D,"Non repertorié")</f>
        <v>13.693683999999999</v>
      </c>
      <c r="H493" t="str">
        <f>_xlfn.XLOOKUP(CKadeaTelcoLogs_Reseau[[#This Row],[Cell_ID]],'CKadeaTelcoRegistre_Maintenance'!A:A,'CKadeaTelcoRegistre_Maintenance'!E:E,"Non repertorié")</f>
        <v>5G</v>
      </c>
      <c r="I493" t="str">
        <f>_xlfn.XLOOKUP(CKadeaTelcoLogs_Reseau[[#This Row],[Cell_ID]],'CKadeaTelcoRegistre_Maintenance'!A:A,'CKadeaTelcoRegistre_Maintenance'!F:F,"Non repertorié")</f>
        <v>Huawei</v>
      </c>
    </row>
    <row r="494" spans="1:9" ht="20.5" customHeight="1" x14ac:dyDescent="0.35">
      <c r="A494" s="1">
        <v>45218.631944444445</v>
      </c>
      <c r="B494" s="5" t="s">
        <v>42</v>
      </c>
      <c r="C494">
        <v>42</v>
      </c>
      <c r="D494" t="s">
        <v>8</v>
      </c>
      <c r="E494" t="str">
        <f>_xlfn.XLOOKUP(CKadeaTelcoLogs_Reseau[[#This Row],[Cell_ID]],'CKadeaTelcoRegistre_Maintenance'!A:A,'CKadeaTelcoRegistre_Maintenance'!B:B,"Non repertorié")</f>
        <v>Kwilu</v>
      </c>
      <c r="F494">
        <f>_xlfn.XLOOKUP(CKadeaTelcoLogs_Reseau[[#This Row],[Cell_ID]],'CKadeaTelcoRegistre_Maintenance'!A:A,'CKadeaTelcoRegistre_Maintenance'!C:C,"Non repertorié")</f>
        <v>-0.77432100000000004</v>
      </c>
      <c r="G494">
        <f>_xlfn.XLOOKUP(CKadeaTelcoLogs_Reseau[[#This Row],[Cell_ID]],'CKadeaTelcoRegistre_Maintenance'!A:A,'CKadeaTelcoRegistre_Maintenance'!D:D,"Non repertorié")</f>
        <v>18.628658999999999</v>
      </c>
      <c r="H494" t="str">
        <f>_xlfn.XLOOKUP(CKadeaTelcoLogs_Reseau[[#This Row],[Cell_ID]],'CKadeaTelcoRegistre_Maintenance'!A:A,'CKadeaTelcoRegistre_Maintenance'!E:E,"Non repertorié")</f>
        <v>4G</v>
      </c>
      <c r="I494" t="str">
        <f>_xlfn.XLOOKUP(CKadeaTelcoLogs_Reseau[[#This Row],[Cell_ID]],'CKadeaTelcoRegistre_Maintenance'!A:A,'CKadeaTelcoRegistre_Maintenance'!F:F,"Non repertorié")</f>
        <v>Huawei</v>
      </c>
    </row>
    <row r="495" spans="1:9" ht="20.5" customHeight="1" x14ac:dyDescent="0.35">
      <c r="A495" s="1">
        <v>45216.865277777775</v>
      </c>
      <c r="B495" s="5" t="s">
        <v>389</v>
      </c>
      <c r="C495">
        <v>10</v>
      </c>
      <c r="D495" t="s">
        <v>8</v>
      </c>
      <c r="E495" t="str">
        <f>_xlfn.XLOOKUP(CKadeaTelcoLogs_Reseau[[#This Row],[Cell_ID]],'CKadeaTelcoRegistre_Maintenance'!A:A,'CKadeaTelcoRegistre_Maintenance'!B:B,"Non repertorié")</f>
        <v>Kasai-Oriental</v>
      </c>
      <c r="F495">
        <f>_xlfn.XLOOKUP(CKadeaTelcoLogs_Reseau[[#This Row],[Cell_ID]],'CKadeaTelcoRegistre_Maintenance'!A:A,'CKadeaTelcoRegistre_Maintenance'!C:C,"Non repertorié")</f>
        <v>-1.648326</v>
      </c>
      <c r="G495">
        <f>_xlfn.XLOOKUP(CKadeaTelcoLogs_Reseau[[#This Row],[Cell_ID]],'CKadeaTelcoRegistre_Maintenance'!A:A,'CKadeaTelcoRegistre_Maintenance'!D:D,"Non repertorié")</f>
        <v>25.528901999999999</v>
      </c>
      <c r="H495" t="str">
        <f>_xlfn.XLOOKUP(CKadeaTelcoLogs_Reseau[[#This Row],[Cell_ID]],'CKadeaTelcoRegistre_Maintenance'!A:A,'CKadeaTelcoRegistre_Maintenance'!E:E,"Non repertorié")</f>
        <v>4G</v>
      </c>
      <c r="I495" t="str">
        <f>_xlfn.XLOOKUP(CKadeaTelcoLogs_Reseau[[#This Row],[Cell_ID]],'CKadeaTelcoRegistre_Maintenance'!A:A,'CKadeaTelcoRegistre_Maintenance'!F:F,"Non repertorié")</f>
        <v>Huawei</v>
      </c>
    </row>
    <row r="496" spans="1:9" ht="20.5" customHeight="1" x14ac:dyDescent="0.35">
      <c r="A496" s="1">
        <v>45219.506249999999</v>
      </c>
      <c r="B496" s="5" t="s">
        <v>145</v>
      </c>
      <c r="C496">
        <v>41</v>
      </c>
      <c r="D496" t="s">
        <v>8</v>
      </c>
      <c r="E496" t="str">
        <f>_xlfn.XLOOKUP(CKadeaTelcoLogs_Reseau[[#This Row],[Cell_ID]],'CKadeaTelcoRegistre_Maintenance'!A:A,'CKadeaTelcoRegistre_Maintenance'!B:B,"Non repertorié")</f>
        <v>Tshuapa</v>
      </c>
      <c r="F496">
        <f>_xlfn.XLOOKUP(CKadeaTelcoLogs_Reseau[[#This Row],[Cell_ID]],'CKadeaTelcoRegistre_Maintenance'!A:A,'CKadeaTelcoRegistre_Maintenance'!C:C,"Non repertorié")</f>
        <v>-2.3677800000000002</v>
      </c>
      <c r="G496">
        <f>_xlfn.XLOOKUP(CKadeaTelcoLogs_Reseau[[#This Row],[Cell_ID]],'CKadeaTelcoRegistre_Maintenance'!A:A,'CKadeaTelcoRegistre_Maintenance'!D:D,"Non repertorié")</f>
        <v>18.790323999999998</v>
      </c>
      <c r="H496" t="str">
        <f>_xlfn.XLOOKUP(CKadeaTelcoLogs_Reseau[[#This Row],[Cell_ID]],'CKadeaTelcoRegistre_Maintenance'!A:A,'CKadeaTelcoRegistre_Maintenance'!E:E,"Non repertorié")</f>
        <v>5G</v>
      </c>
      <c r="I496" t="str">
        <f>_xlfn.XLOOKUP(CKadeaTelcoLogs_Reseau[[#This Row],[Cell_ID]],'CKadeaTelcoRegistre_Maintenance'!A:A,'CKadeaTelcoRegistre_Maintenance'!F:F,"Non repertorié")</f>
        <v>Huawei</v>
      </c>
    </row>
    <row r="497" spans="1:9" ht="20.5" customHeight="1" x14ac:dyDescent="0.35">
      <c r="A497" s="1">
        <v>45226.885416666664</v>
      </c>
      <c r="B497" s="5" t="s">
        <v>390</v>
      </c>
      <c r="C497">
        <v>96</v>
      </c>
      <c r="D497" t="s">
        <v>10</v>
      </c>
      <c r="E497" t="str">
        <f>_xlfn.XLOOKUP(CKadeaTelcoLogs_Reseau[[#This Row],[Cell_ID]],'CKadeaTelcoRegistre_Maintenance'!A:A,'CKadeaTelcoRegistre_Maintenance'!B:B,"Non repertorié")</f>
        <v>Non repertorié</v>
      </c>
      <c r="F497" t="str">
        <f>_xlfn.XLOOKUP(CKadeaTelcoLogs_Reseau[[#This Row],[Cell_ID]],'CKadeaTelcoRegistre_Maintenance'!A:A,'CKadeaTelcoRegistre_Maintenance'!C:C,"Non repertorié")</f>
        <v>Non repertorié</v>
      </c>
      <c r="G497" t="str">
        <f>_xlfn.XLOOKUP(CKadeaTelcoLogs_Reseau[[#This Row],[Cell_ID]],'CKadeaTelcoRegistre_Maintenance'!A:A,'CKadeaTelcoRegistre_Maintenance'!D:D,"Non repertorié")</f>
        <v>Non repertorié</v>
      </c>
      <c r="H497" t="str">
        <f>_xlfn.XLOOKUP(CKadeaTelcoLogs_Reseau[[#This Row],[Cell_ID]],'CKadeaTelcoRegistre_Maintenance'!A:A,'CKadeaTelcoRegistre_Maintenance'!E:E,"Non repertorié")</f>
        <v>Non repertorié</v>
      </c>
      <c r="I497" t="str">
        <f>_xlfn.XLOOKUP(CKadeaTelcoLogs_Reseau[[#This Row],[Cell_ID]],'CKadeaTelcoRegistre_Maintenance'!A:A,'CKadeaTelcoRegistre_Maintenance'!F:F,"Non repertorié")</f>
        <v>Non repertorié</v>
      </c>
    </row>
    <row r="498" spans="1:9" ht="20.5" customHeight="1" x14ac:dyDescent="0.35">
      <c r="A498" s="1">
        <v>45201.780555555553</v>
      </c>
      <c r="B498" s="5" t="s">
        <v>391</v>
      </c>
      <c r="C498">
        <v>15</v>
      </c>
      <c r="D498" t="s">
        <v>5</v>
      </c>
      <c r="E498" t="str">
        <f>_xlfn.XLOOKUP(CKadeaTelcoLogs_Reseau[[#This Row],[Cell_ID]],'CKadeaTelcoRegistre_Maintenance'!A:A,'CKadeaTelcoRegistre_Maintenance'!B:B,"Non repertorié")</f>
        <v>Non repertorié</v>
      </c>
      <c r="F498" t="str">
        <f>_xlfn.XLOOKUP(CKadeaTelcoLogs_Reseau[[#This Row],[Cell_ID]],'CKadeaTelcoRegistre_Maintenance'!A:A,'CKadeaTelcoRegistre_Maintenance'!C:C,"Non repertorié")</f>
        <v>Non repertorié</v>
      </c>
      <c r="G498" t="str">
        <f>_xlfn.XLOOKUP(CKadeaTelcoLogs_Reseau[[#This Row],[Cell_ID]],'CKadeaTelcoRegistre_Maintenance'!A:A,'CKadeaTelcoRegistre_Maintenance'!D:D,"Non repertorié")</f>
        <v>Non repertorié</v>
      </c>
      <c r="H498" t="str">
        <f>_xlfn.XLOOKUP(CKadeaTelcoLogs_Reseau[[#This Row],[Cell_ID]],'CKadeaTelcoRegistre_Maintenance'!A:A,'CKadeaTelcoRegistre_Maintenance'!E:E,"Non repertorié")</f>
        <v>Non repertorié</v>
      </c>
      <c r="I498" t="str">
        <f>_xlfn.XLOOKUP(CKadeaTelcoLogs_Reseau[[#This Row],[Cell_ID]],'CKadeaTelcoRegistre_Maintenance'!A:A,'CKadeaTelcoRegistre_Maintenance'!F:F,"Non repertorié")</f>
        <v>Non repertorié</v>
      </c>
    </row>
    <row r="499" spans="1:9" ht="20.5" customHeight="1" x14ac:dyDescent="0.35">
      <c r="A499" s="1">
        <v>45203.250694444447</v>
      </c>
      <c r="B499" s="5" t="s">
        <v>133</v>
      </c>
      <c r="C499">
        <v>49</v>
      </c>
      <c r="D499" t="s">
        <v>8</v>
      </c>
      <c r="E499" t="str">
        <f>_xlfn.XLOOKUP(CKadeaTelcoLogs_Reseau[[#This Row],[Cell_ID]],'CKadeaTelcoRegistre_Maintenance'!A:A,'CKadeaTelcoRegistre_Maintenance'!B:B,"Non repertorié")</f>
        <v>Kasai-Central</v>
      </c>
      <c r="F499">
        <f>_xlfn.XLOOKUP(CKadeaTelcoLogs_Reseau[[#This Row],[Cell_ID]],'CKadeaTelcoRegistre_Maintenance'!A:A,'CKadeaTelcoRegistre_Maintenance'!C:C,"Non repertorié")</f>
        <v>-10.414493</v>
      </c>
      <c r="G499">
        <f>_xlfn.XLOOKUP(CKadeaTelcoLogs_Reseau[[#This Row],[Cell_ID]],'CKadeaTelcoRegistre_Maintenance'!A:A,'CKadeaTelcoRegistre_Maintenance'!D:D,"Non repertorié")</f>
        <v>12.333356999999999</v>
      </c>
      <c r="H499" t="str">
        <f>_xlfn.XLOOKUP(CKadeaTelcoLogs_Reseau[[#This Row],[Cell_ID]],'CKadeaTelcoRegistre_Maintenance'!A:A,'CKadeaTelcoRegistre_Maintenance'!E:E,"Non repertorié")</f>
        <v>3G</v>
      </c>
      <c r="I499" t="str">
        <f>_xlfn.XLOOKUP(CKadeaTelcoLogs_Reseau[[#This Row],[Cell_ID]],'CKadeaTelcoRegistre_Maintenance'!A:A,'CKadeaTelcoRegistre_Maintenance'!F:F,"Non repertorié")</f>
        <v>Ericsson</v>
      </c>
    </row>
    <row r="500" spans="1:9" ht="20.5" customHeight="1" x14ac:dyDescent="0.35">
      <c r="A500" s="1">
        <v>45214.43472222222</v>
      </c>
      <c r="B500" s="5" t="s">
        <v>44</v>
      </c>
      <c r="C500">
        <v>61</v>
      </c>
      <c r="D500" t="s">
        <v>10</v>
      </c>
      <c r="E500" t="str">
        <f>_xlfn.XLOOKUP(CKadeaTelcoLogs_Reseau[[#This Row],[Cell_ID]],'CKadeaTelcoRegistre_Maintenance'!A:A,'CKadeaTelcoRegistre_Maintenance'!B:B,"Non repertorié")</f>
        <v>Tanganyika</v>
      </c>
      <c r="F500">
        <f>_xlfn.XLOOKUP(CKadeaTelcoLogs_Reseau[[#This Row],[Cell_ID]],'CKadeaTelcoRegistre_Maintenance'!A:A,'CKadeaTelcoRegistre_Maintenance'!C:C,"Non repertorié")</f>
        <v>-10.776204</v>
      </c>
      <c r="G500">
        <f>_xlfn.XLOOKUP(CKadeaTelcoLogs_Reseau[[#This Row],[Cell_ID]],'CKadeaTelcoRegistre_Maintenance'!A:A,'CKadeaTelcoRegistre_Maintenance'!D:D,"Non repertorié")</f>
        <v>24.672934000000001</v>
      </c>
      <c r="H500" t="str">
        <f>_xlfn.XLOOKUP(CKadeaTelcoLogs_Reseau[[#This Row],[Cell_ID]],'CKadeaTelcoRegistre_Maintenance'!A:A,'CKadeaTelcoRegistre_Maintenance'!E:E,"Non repertorié")</f>
        <v>4G</v>
      </c>
      <c r="I500" t="str">
        <f>_xlfn.XLOOKUP(CKadeaTelcoLogs_Reseau[[#This Row],[Cell_ID]],'CKadeaTelcoRegistre_Maintenance'!A:A,'CKadeaTelcoRegistre_Maintenance'!F:F,"Non repertorié")</f>
        <v>Ericsson</v>
      </c>
    </row>
    <row r="501" spans="1:9" ht="20.5" customHeight="1" x14ac:dyDescent="0.35">
      <c r="A501" s="1">
        <v>45204.572222222225</v>
      </c>
      <c r="B501" s="5" t="s">
        <v>148</v>
      </c>
      <c r="C501">
        <v>88</v>
      </c>
      <c r="D501" t="s">
        <v>10</v>
      </c>
      <c r="E501" t="str">
        <f>_xlfn.XLOOKUP(CKadeaTelcoLogs_Reseau[[#This Row],[Cell_ID]],'CKadeaTelcoRegistre_Maintenance'!A:A,'CKadeaTelcoRegistre_Maintenance'!B:B,"Non repertorié")</f>
        <v>Kasai-Central</v>
      </c>
      <c r="F501">
        <f>_xlfn.XLOOKUP(CKadeaTelcoLogs_Reseau[[#This Row],[Cell_ID]],'CKadeaTelcoRegistre_Maintenance'!A:A,'CKadeaTelcoRegistre_Maintenance'!C:C,"Non repertorié")</f>
        <v>-3.111418</v>
      </c>
      <c r="G501">
        <f>_xlfn.XLOOKUP(CKadeaTelcoLogs_Reseau[[#This Row],[Cell_ID]],'CKadeaTelcoRegistre_Maintenance'!A:A,'CKadeaTelcoRegistre_Maintenance'!D:D,"Non repertorié")</f>
        <v>14.144854</v>
      </c>
      <c r="H501" t="str">
        <f>_xlfn.XLOOKUP(CKadeaTelcoLogs_Reseau[[#This Row],[Cell_ID]],'CKadeaTelcoRegistre_Maintenance'!A:A,'CKadeaTelcoRegistre_Maintenance'!E:E,"Non repertorié")</f>
        <v>4G</v>
      </c>
      <c r="I501" t="str">
        <f>_xlfn.XLOOKUP(CKadeaTelcoLogs_Reseau[[#This Row],[Cell_ID]],'CKadeaTelcoRegistre_Maintenance'!A:A,'CKadeaTelcoRegistre_Maintenance'!F:F,"Non repertorié")</f>
        <v>ZTE</v>
      </c>
    </row>
    <row r="502" spans="1:9" ht="20.5" customHeight="1" x14ac:dyDescent="0.35">
      <c r="A502" s="1">
        <v>45206.563888888886</v>
      </c>
      <c r="B502" s="5" t="s">
        <v>392</v>
      </c>
      <c r="C502">
        <v>37</v>
      </c>
      <c r="D502" t="s">
        <v>5</v>
      </c>
      <c r="E502" t="str">
        <f>_xlfn.XLOOKUP(CKadeaTelcoLogs_Reseau[[#This Row],[Cell_ID]],'CKadeaTelcoRegistre_Maintenance'!A:A,'CKadeaTelcoRegistre_Maintenance'!B:B,"Non repertorié")</f>
        <v>Haut-Uele</v>
      </c>
      <c r="F502">
        <f>_xlfn.XLOOKUP(CKadeaTelcoLogs_Reseau[[#This Row],[Cell_ID]],'CKadeaTelcoRegistre_Maintenance'!A:A,'CKadeaTelcoRegistre_Maintenance'!C:C,"Non repertorié")</f>
        <v>0.20866199999999999</v>
      </c>
      <c r="G502">
        <f>_xlfn.XLOOKUP(CKadeaTelcoLogs_Reseau[[#This Row],[Cell_ID]],'CKadeaTelcoRegistre_Maintenance'!A:A,'CKadeaTelcoRegistre_Maintenance'!D:D,"Non repertorié")</f>
        <v>18.556439000000001</v>
      </c>
      <c r="H502" t="str">
        <f>_xlfn.XLOOKUP(CKadeaTelcoLogs_Reseau[[#This Row],[Cell_ID]],'CKadeaTelcoRegistre_Maintenance'!A:A,'CKadeaTelcoRegistre_Maintenance'!E:E,"Non repertorié")</f>
        <v>4G</v>
      </c>
      <c r="I502" t="str">
        <f>_xlfn.XLOOKUP(CKadeaTelcoLogs_Reseau[[#This Row],[Cell_ID]],'CKadeaTelcoRegistre_Maintenance'!A:A,'CKadeaTelcoRegistre_Maintenance'!F:F,"Non repertorié")</f>
        <v>Nokia</v>
      </c>
    </row>
    <row r="503" spans="1:9" ht="20.5" customHeight="1" x14ac:dyDescent="0.35">
      <c r="A503" s="1">
        <v>45224.831944444442</v>
      </c>
      <c r="B503" s="5" t="s">
        <v>393</v>
      </c>
      <c r="C503">
        <v>100</v>
      </c>
      <c r="D503" t="s">
        <v>5</v>
      </c>
      <c r="E503" t="str">
        <f>_xlfn.XLOOKUP(CKadeaTelcoLogs_Reseau[[#This Row],[Cell_ID]],'CKadeaTelcoRegistre_Maintenance'!A:A,'CKadeaTelcoRegistre_Maintenance'!B:B,"Non repertorié")</f>
        <v>Non repertorié</v>
      </c>
      <c r="F503" t="str">
        <f>_xlfn.XLOOKUP(CKadeaTelcoLogs_Reseau[[#This Row],[Cell_ID]],'CKadeaTelcoRegistre_Maintenance'!A:A,'CKadeaTelcoRegistre_Maintenance'!C:C,"Non repertorié")</f>
        <v>Non repertorié</v>
      </c>
      <c r="G503" t="str">
        <f>_xlfn.XLOOKUP(CKadeaTelcoLogs_Reseau[[#This Row],[Cell_ID]],'CKadeaTelcoRegistre_Maintenance'!A:A,'CKadeaTelcoRegistre_Maintenance'!D:D,"Non repertorié")</f>
        <v>Non repertorié</v>
      </c>
      <c r="H503" t="str">
        <f>_xlfn.XLOOKUP(CKadeaTelcoLogs_Reseau[[#This Row],[Cell_ID]],'CKadeaTelcoRegistre_Maintenance'!A:A,'CKadeaTelcoRegistre_Maintenance'!E:E,"Non repertorié")</f>
        <v>Non repertorié</v>
      </c>
      <c r="I503" t="str">
        <f>_xlfn.XLOOKUP(CKadeaTelcoLogs_Reseau[[#This Row],[Cell_ID]],'CKadeaTelcoRegistre_Maintenance'!A:A,'CKadeaTelcoRegistre_Maintenance'!F:F,"Non repertorié")</f>
        <v>Non repertorié</v>
      </c>
    </row>
    <row r="504" spans="1:9" ht="20.5" customHeight="1" x14ac:dyDescent="0.35">
      <c r="A504" s="1">
        <v>45215.990277777775</v>
      </c>
      <c r="B504" s="5" t="s">
        <v>307</v>
      </c>
      <c r="C504">
        <v>66</v>
      </c>
      <c r="D504" t="s">
        <v>10</v>
      </c>
      <c r="E504" t="str">
        <f>_xlfn.XLOOKUP(CKadeaTelcoLogs_Reseau[[#This Row],[Cell_ID]],'CKadeaTelcoRegistre_Maintenance'!A:A,'CKadeaTelcoRegistre_Maintenance'!B:B,"Non repertorié")</f>
        <v>Sankuru</v>
      </c>
      <c r="F504">
        <f>_xlfn.XLOOKUP(CKadeaTelcoLogs_Reseau[[#This Row],[Cell_ID]],'CKadeaTelcoRegistre_Maintenance'!A:A,'CKadeaTelcoRegistre_Maintenance'!C:C,"Non repertorié")</f>
        <v>-1.4110389999999999</v>
      </c>
      <c r="G504">
        <f>_xlfn.XLOOKUP(CKadeaTelcoLogs_Reseau[[#This Row],[Cell_ID]],'CKadeaTelcoRegistre_Maintenance'!A:A,'CKadeaTelcoRegistre_Maintenance'!D:D,"Non repertorié")</f>
        <v>21.261644</v>
      </c>
      <c r="H504" t="str">
        <f>_xlfn.XLOOKUP(CKadeaTelcoLogs_Reseau[[#This Row],[Cell_ID]],'CKadeaTelcoRegistre_Maintenance'!A:A,'CKadeaTelcoRegistre_Maintenance'!E:E,"Non repertorié")</f>
        <v>4G</v>
      </c>
      <c r="I504" t="str">
        <f>_xlfn.XLOOKUP(CKadeaTelcoLogs_Reseau[[#This Row],[Cell_ID]],'CKadeaTelcoRegistre_Maintenance'!A:A,'CKadeaTelcoRegistre_Maintenance'!F:F,"Non repertorié")</f>
        <v>ZTE</v>
      </c>
    </row>
    <row r="505" spans="1:9" ht="20.5" customHeight="1" x14ac:dyDescent="0.35">
      <c r="A505" s="1">
        <v>45201.922222222223</v>
      </c>
      <c r="B505" s="5" t="s">
        <v>191</v>
      </c>
      <c r="C505">
        <v>32</v>
      </c>
      <c r="D505" t="s">
        <v>5</v>
      </c>
      <c r="E505" t="str">
        <f>_xlfn.XLOOKUP(CKadeaTelcoLogs_Reseau[[#This Row],[Cell_ID]],'CKadeaTelcoRegistre_Maintenance'!A:A,'CKadeaTelcoRegistre_Maintenance'!B:B,"Non repertorié")</f>
        <v>Bas-Uele</v>
      </c>
      <c r="F505">
        <f>_xlfn.XLOOKUP(CKadeaTelcoLogs_Reseau[[#This Row],[Cell_ID]],'CKadeaTelcoRegistre_Maintenance'!A:A,'CKadeaTelcoRegistre_Maintenance'!C:C,"Non repertorié")</f>
        <v>1.5278670000000001</v>
      </c>
      <c r="G505">
        <f>_xlfn.XLOOKUP(CKadeaTelcoLogs_Reseau[[#This Row],[Cell_ID]],'CKadeaTelcoRegistre_Maintenance'!A:A,'CKadeaTelcoRegistre_Maintenance'!D:D,"Non repertorié")</f>
        <v>13.899388999999999</v>
      </c>
      <c r="H505" t="str">
        <f>_xlfn.XLOOKUP(CKadeaTelcoLogs_Reseau[[#This Row],[Cell_ID]],'CKadeaTelcoRegistre_Maintenance'!A:A,'CKadeaTelcoRegistre_Maintenance'!E:E,"Non repertorié")</f>
        <v>3G</v>
      </c>
      <c r="I505" t="str">
        <f>_xlfn.XLOOKUP(CKadeaTelcoLogs_Reseau[[#This Row],[Cell_ID]],'CKadeaTelcoRegistre_Maintenance'!A:A,'CKadeaTelcoRegistre_Maintenance'!F:F,"Non repertorié")</f>
        <v>Huawei</v>
      </c>
    </row>
    <row r="506" spans="1:9" ht="20.5" customHeight="1" x14ac:dyDescent="0.35">
      <c r="A506" s="1">
        <v>45216.274305555555</v>
      </c>
      <c r="B506" s="5" t="s">
        <v>388</v>
      </c>
      <c r="C506">
        <v>30</v>
      </c>
      <c r="D506" t="s">
        <v>8</v>
      </c>
      <c r="E506" t="str">
        <f>_xlfn.XLOOKUP(CKadeaTelcoLogs_Reseau[[#This Row],[Cell_ID]],'CKadeaTelcoRegistre_Maintenance'!A:A,'CKadeaTelcoRegistre_Maintenance'!B:B,"Non repertorié")</f>
        <v>Equateur</v>
      </c>
      <c r="F506">
        <f>_xlfn.XLOOKUP(CKadeaTelcoLogs_Reseau[[#This Row],[Cell_ID]],'CKadeaTelcoRegistre_Maintenance'!A:A,'CKadeaTelcoRegistre_Maintenance'!C:C,"Non repertorié")</f>
        <v>-5.7200150000000001</v>
      </c>
      <c r="G506">
        <f>_xlfn.XLOOKUP(CKadeaTelcoLogs_Reseau[[#This Row],[Cell_ID]],'CKadeaTelcoRegistre_Maintenance'!A:A,'CKadeaTelcoRegistre_Maintenance'!D:D,"Non repertorié")</f>
        <v>25.022109</v>
      </c>
      <c r="H506" t="str">
        <f>_xlfn.XLOOKUP(CKadeaTelcoLogs_Reseau[[#This Row],[Cell_ID]],'CKadeaTelcoRegistre_Maintenance'!A:A,'CKadeaTelcoRegistre_Maintenance'!E:E,"Non repertorié")</f>
        <v>5G</v>
      </c>
      <c r="I506" t="str">
        <f>_xlfn.XLOOKUP(CKadeaTelcoLogs_Reseau[[#This Row],[Cell_ID]],'CKadeaTelcoRegistre_Maintenance'!A:A,'CKadeaTelcoRegistre_Maintenance'!F:F,"Non repertorié")</f>
        <v>ZTE</v>
      </c>
    </row>
    <row r="507" spans="1:9" ht="20.5" customHeight="1" x14ac:dyDescent="0.35">
      <c r="A507" s="1">
        <v>45210.895833333336</v>
      </c>
      <c r="B507" s="5" t="s">
        <v>199</v>
      </c>
      <c r="C507">
        <v>110</v>
      </c>
      <c r="D507" t="s">
        <v>10</v>
      </c>
      <c r="E507" t="str">
        <f>_xlfn.XLOOKUP(CKadeaTelcoLogs_Reseau[[#This Row],[Cell_ID]],'CKadeaTelcoRegistre_Maintenance'!A:A,'CKadeaTelcoRegistre_Maintenance'!B:B,"Non repertorié")</f>
        <v>Kasai</v>
      </c>
      <c r="F507">
        <f>_xlfn.XLOOKUP(CKadeaTelcoLogs_Reseau[[#This Row],[Cell_ID]],'CKadeaTelcoRegistre_Maintenance'!A:A,'CKadeaTelcoRegistre_Maintenance'!C:C,"Non repertorié")</f>
        <v>-4.351254</v>
      </c>
      <c r="G507">
        <f>_xlfn.XLOOKUP(CKadeaTelcoLogs_Reseau[[#This Row],[Cell_ID]],'CKadeaTelcoRegistre_Maintenance'!A:A,'CKadeaTelcoRegistre_Maintenance'!D:D,"Non repertorié")</f>
        <v>30.097408999999999</v>
      </c>
      <c r="H507" t="str">
        <f>_xlfn.XLOOKUP(CKadeaTelcoLogs_Reseau[[#This Row],[Cell_ID]],'CKadeaTelcoRegistre_Maintenance'!A:A,'CKadeaTelcoRegistre_Maintenance'!E:E,"Non repertorié")</f>
        <v>5G</v>
      </c>
      <c r="I507" t="str">
        <f>_xlfn.XLOOKUP(CKadeaTelcoLogs_Reseau[[#This Row],[Cell_ID]],'CKadeaTelcoRegistre_Maintenance'!A:A,'CKadeaTelcoRegistre_Maintenance'!F:F,"Non repertorié")</f>
        <v>Nokia</v>
      </c>
    </row>
    <row r="508" spans="1:9" ht="20.5" customHeight="1" x14ac:dyDescent="0.35">
      <c r="A508" s="1">
        <v>45216.513888888891</v>
      </c>
      <c r="B508" s="5" t="s">
        <v>394</v>
      </c>
      <c r="C508">
        <v>73</v>
      </c>
      <c r="D508" t="s">
        <v>8</v>
      </c>
      <c r="E508" t="str">
        <f>_xlfn.XLOOKUP(CKadeaTelcoLogs_Reseau[[#This Row],[Cell_ID]],'CKadeaTelcoRegistre_Maintenance'!A:A,'CKadeaTelcoRegistre_Maintenance'!B:B,"Non repertorié")</f>
        <v>Non repertorié</v>
      </c>
      <c r="F508" t="str">
        <f>_xlfn.XLOOKUP(CKadeaTelcoLogs_Reseau[[#This Row],[Cell_ID]],'CKadeaTelcoRegistre_Maintenance'!A:A,'CKadeaTelcoRegistre_Maintenance'!C:C,"Non repertorié")</f>
        <v>Non repertorié</v>
      </c>
      <c r="G508" t="str">
        <f>_xlfn.XLOOKUP(CKadeaTelcoLogs_Reseau[[#This Row],[Cell_ID]],'CKadeaTelcoRegistre_Maintenance'!A:A,'CKadeaTelcoRegistre_Maintenance'!D:D,"Non repertorié")</f>
        <v>Non repertorié</v>
      </c>
      <c r="H508" t="str">
        <f>_xlfn.XLOOKUP(CKadeaTelcoLogs_Reseau[[#This Row],[Cell_ID]],'CKadeaTelcoRegistre_Maintenance'!A:A,'CKadeaTelcoRegistre_Maintenance'!E:E,"Non repertorié")</f>
        <v>Non repertorié</v>
      </c>
      <c r="I508" t="str">
        <f>_xlfn.XLOOKUP(CKadeaTelcoLogs_Reseau[[#This Row],[Cell_ID]],'CKadeaTelcoRegistre_Maintenance'!A:A,'CKadeaTelcoRegistre_Maintenance'!F:F,"Non repertorié")</f>
        <v>Non repertorié</v>
      </c>
    </row>
    <row r="509" spans="1:9" ht="20.5" customHeight="1" x14ac:dyDescent="0.35">
      <c r="A509" s="1">
        <v>45230.228472222225</v>
      </c>
      <c r="B509" s="5" t="s">
        <v>131</v>
      </c>
      <c r="C509">
        <v>39</v>
      </c>
      <c r="D509" t="s">
        <v>10</v>
      </c>
      <c r="E509" t="str">
        <f>_xlfn.XLOOKUP(CKadeaTelcoLogs_Reseau[[#This Row],[Cell_ID]],'CKadeaTelcoRegistre_Maintenance'!A:A,'CKadeaTelcoRegistre_Maintenance'!B:B,"Non repertorié")</f>
        <v>Lomami</v>
      </c>
      <c r="F509">
        <f>_xlfn.XLOOKUP(CKadeaTelcoLogs_Reseau[[#This Row],[Cell_ID]],'CKadeaTelcoRegistre_Maintenance'!A:A,'CKadeaTelcoRegistre_Maintenance'!C:C,"Non repertorié")</f>
        <v>-5.7035130000000001</v>
      </c>
      <c r="G509">
        <f>_xlfn.XLOOKUP(CKadeaTelcoLogs_Reseau[[#This Row],[Cell_ID]],'CKadeaTelcoRegistre_Maintenance'!A:A,'CKadeaTelcoRegistre_Maintenance'!D:D,"Non repertorié")</f>
        <v>14.331479</v>
      </c>
      <c r="H509" t="str">
        <f>_xlfn.XLOOKUP(CKadeaTelcoLogs_Reseau[[#This Row],[Cell_ID]],'CKadeaTelcoRegistre_Maintenance'!A:A,'CKadeaTelcoRegistre_Maintenance'!E:E,"Non repertorié")</f>
        <v>5G</v>
      </c>
      <c r="I509" t="str">
        <f>_xlfn.XLOOKUP(CKadeaTelcoLogs_Reseau[[#This Row],[Cell_ID]],'CKadeaTelcoRegistre_Maintenance'!A:A,'CKadeaTelcoRegistre_Maintenance'!F:F,"Non repertorié")</f>
        <v>Nokia</v>
      </c>
    </row>
    <row r="510" spans="1:9" ht="20.5" customHeight="1" x14ac:dyDescent="0.35">
      <c r="A510" s="1">
        <v>45229.722916666666</v>
      </c>
      <c r="B510" s="5" t="s">
        <v>149</v>
      </c>
      <c r="C510">
        <v>76</v>
      </c>
      <c r="D510" t="s">
        <v>8</v>
      </c>
      <c r="E510" t="str">
        <f>_xlfn.XLOOKUP(CKadeaTelcoLogs_Reseau[[#This Row],[Cell_ID]],'CKadeaTelcoRegistre_Maintenance'!A:A,'CKadeaTelcoRegistre_Maintenance'!B:B,"Non repertorié")</f>
        <v>Nord-Ubangi</v>
      </c>
      <c r="F510">
        <f>_xlfn.XLOOKUP(CKadeaTelcoLogs_Reseau[[#This Row],[Cell_ID]],'CKadeaTelcoRegistre_Maintenance'!A:A,'CKadeaTelcoRegistre_Maintenance'!C:C,"Non repertorié")</f>
        <v>-1.342476</v>
      </c>
      <c r="G510">
        <f>_xlfn.XLOOKUP(CKadeaTelcoLogs_Reseau[[#This Row],[Cell_ID]],'CKadeaTelcoRegistre_Maintenance'!A:A,'CKadeaTelcoRegistre_Maintenance'!D:D,"Non repertorié")</f>
        <v>15.986086</v>
      </c>
      <c r="H510" t="str">
        <f>_xlfn.XLOOKUP(CKadeaTelcoLogs_Reseau[[#This Row],[Cell_ID]],'CKadeaTelcoRegistre_Maintenance'!A:A,'CKadeaTelcoRegistre_Maintenance'!E:E,"Non repertorié")</f>
        <v>4G</v>
      </c>
      <c r="I510" t="str">
        <f>_xlfn.XLOOKUP(CKadeaTelcoLogs_Reseau[[#This Row],[Cell_ID]],'CKadeaTelcoRegistre_Maintenance'!A:A,'CKadeaTelcoRegistre_Maintenance'!F:F,"Non repertorié")</f>
        <v>Ericsson</v>
      </c>
    </row>
    <row r="511" spans="1:9" ht="20.5" customHeight="1" x14ac:dyDescent="0.35">
      <c r="A511" s="1">
        <v>45217.488194444442</v>
      </c>
      <c r="B511" s="5" t="s">
        <v>395</v>
      </c>
      <c r="C511">
        <v>94</v>
      </c>
      <c r="D511" t="s">
        <v>5</v>
      </c>
      <c r="E511" t="str">
        <f>_xlfn.XLOOKUP(CKadeaTelcoLogs_Reseau[[#This Row],[Cell_ID]],'CKadeaTelcoRegistre_Maintenance'!A:A,'CKadeaTelcoRegistre_Maintenance'!B:B,"Non repertorié")</f>
        <v>Non repertorié</v>
      </c>
      <c r="F511" t="str">
        <f>_xlfn.XLOOKUP(CKadeaTelcoLogs_Reseau[[#This Row],[Cell_ID]],'CKadeaTelcoRegistre_Maintenance'!A:A,'CKadeaTelcoRegistre_Maintenance'!C:C,"Non repertorié")</f>
        <v>Non repertorié</v>
      </c>
      <c r="G511" t="str">
        <f>_xlfn.XLOOKUP(CKadeaTelcoLogs_Reseau[[#This Row],[Cell_ID]],'CKadeaTelcoRegistre_Maintenance'!A:A,'CKadeaTelcoRegistre_Maintenance'!D:D,"Non repertorié")</f>
        <v>Non repertorié</v>
      </c>
      <c r="H511" t="str">
        <f>_xlfn.XLOOKUP(CKadeaTelcoLogs_Reseau[[#This Row],[Cell_ID]],'CKadeaTelcoRegistre_Maintenance'!A:A,'CKadeaTelcoRegistre_Maintenance'!E:E,"Non repertorié")</f>
        <v>Non repertorié</v>
      </c>
      <c r="I511" t="str">
        <f>_xlfn.XLOOKUP(CKadeaTelcoLogs_Reseau[[#This Row],[Cell_ID]],'CKadeaTelcoRegistre_Maintenance'!A:A,'CKadeaTelcoRegistre_Maintenance'!F:F,"Non repertorié")</f>
        <v>Non repertorié</v>
      </c>
    </row>
    <row r="512" spans="1:9" ht="20.5" customHeight="1" x14ac:dyDescent="0.35">
      <c r="A512" s="1">
        <v>45224.988194444442</v>
      </c>
      <c r="B512" s="5" t="s">
        <v>58</v>
      </c>
      <c r="C512">
        <v>39</v>
      </c>
      <c r="D512" t="s">
        <v>5</v>
      </c>
      <c r="E512" t="str">
        <f>_xlfn.XLOOKUP(CKadeaTelcoLogs_Reseau[[#This Row],[Cell_ID]],'CKadeaTelcoRegistre_Maintenance'!A:A,'CKadeaTelcoRegistre_Maintenance'!B:B,"Non repertorié")</f>
        <v>Non repertorié</v>
      </c>
      <c r="F512" t="str">
        <f>_xlfn.XLOOKUP(CKadeaTelcoLogs_Reseau[[#This Row],[Cell_ID]],'CKadeaTelcoRegistre_Maintenance'!A:A,'CKadeaTelcoRegistre_Maintenance'!C:C,"Non repertorié")</f>
        <v>Non repertorié</v>
      </c>
      <c r="G512" t="str">
        <f>_xlfn.XLOOKUP(CKadeaTelcoLogs_Reseau[[#This Row],[Cell_ID]],'CKadeaTelcoRegistre_Maintenance'!A:A,'CKadeaTelcoRegistre_Maintenance'!D:D,"Non repertorié")</f>
        <v>Non repertorié</v>
      </c>
      <c r="H512" t="str">
        <f>_xlfn.XLOOKUP(CKadeaTelcoLogs_Reseau[[#This Row],[Cell_ID]],'CKadeaTelcoRegistre_Maintenance'!A:A,'CKadeaTelcoRegistre_Maintenance'!E:E,"Non repertorié")</f>
        <v>Non repertorié</v>
      </c>
      <c r="I512" t="str">
        <f>_xlfn.XLOOKUP(CKadeaTelcoLogs_Reseau[[#This Row],[Cell_ID]],'CKadeaTelcoRegistre_Maintenance'!A:A,'CKadeaTelcoRegistre_Maintenance'!F:F,"Non repertorié")</f>
        <v>Non repertorié</v>
      </c>
    </row>
    <row r="513" spans="1:9" ht="20.5" customHeight="1" x14ac:dyDescent="0.35">
      <c r="A513" s="1">
        <v>45220.927777777775</v>
      </c>
      <c r="B513" s="5" t="s">
        <v>300</v>
      </c>
      <c r="C513">
        <v>22</v>
      </c>
      <c r="D513" t="s">
        <v>8</v>
      </c>
      <c r="E513" t="str">
        <f>_xlfn.XLOOKUP(CKadeaTelcoLogs_Reseau[[#This Row],[Cell_ID]],'CKadeaTelcoRegistre_Maintenance'!A:A,'CKadeaTelcoRegistre_Maintenance'!B:B,"Non repertorié")</f>
        <v>Kasai</v>
      </c>
      <c r="F513">
        <f>_xlfn.XLOOKUP(CKadeaTelcoLogs_Reseau[[#This Row],[Cell_ID]],'CKadeaTelcoRegistre_Maintenance'!A:A,'CKadeaTelcoRegistre_Maintenance'!C:C,"Non repertorié")</f>
        <v>1.5802860000000001</v>
      </c>
      <c r="G513">
        <f>_xlfn.XLOOKUP(CKadeaTelcoLogs_Reseau[[#This Row],[Cell_ID]],'CKadeaTelcoRegistre_Maintenance'!A:A,'CKadeaTelcoRegistre_Maintenance'!D:D,"Non repertorié")</f>
        <v>20.99053</v>
      </c>
      <c r="H513" t="str">
        <f>_xlfn.XLOOKUP(CKadeaTelcoLogs_Reseau[[#This Row],[Cell_ID]],'CKadeaTelcoRegistre_Maintenance'!A:A,'CKadeaTelcoRegistre_Maintenance'!E:E,"Non repertorié")</f>
        <v>4G</v>
      </c>
      <c r="I513" t="str">
        <f>_xlfn.XLOOKUP(CKadeaTelcoLogs_Reseau[[#This Row],[Cell_ID]],'CKadeaTelcoRegistre_Maintenance'!A:A,'CKadeaTelcoRegistre_Maintenance'!F:F,"Non repertorié")</f>
        <v>ZTE</v>
      </c>
    </row>
    <row r="514" spans="1:9" ht="20.5" customHeight="1" x14ac:dyDescent="0.35">
      <c r="A514" s="1">
        <v>45219.633333333331</v>
      </c>
      <c r="B514" s="5" t="s">
        <v>396</v>
      </c>
      <c r="C514">
        <v>18</v>
      </c>
      <c r="D514" t="s">
        <v>10</v>
      </c>
      <c r="E514" t="str">
        <f>_xlfn.XLOOKUP(CKadeaTelcoLogs_Reseau[[#This Row],[Cell_ID]],'CKadeaTelcoRegistre_Maintenance'!A:A,'CKadeaTelcoRegistre_Maintenance'!B:B,"Non repertorié")</f>
        <v>Non repertorié</v>
      </c>
      <c r="F514" t="str">
        <f>_xlfn.XLOOKUP(CKadeaTelcoLogs_Reseau[[#This Row],[Cell_ID]],'CKadeaTelcoRegistre_Maintenance'!A:A,'CKadeaTelcoRegistre_Maintenance'!C:C,"Non repertorié")</f>
        <v>Non repertorié</v>
      </c>
      <c r="G514" t="str">
        <f>_xlfn.XLOOKUP(CKadeaTelcoLogs_Reseau[[#This Row],[Cell_ID]],'CKadeaTelcoRegistre_Maintenance'!A:A,'CKadeaTelcoRegistre_Maintenance'!D:D,"Non repertorié")</f>
        <v>Non repertorié</v>
      </c>
      <c r="H514" t="str">
        <f>_xlfn.XLOOKUP(CKadeaTelcoLogs_Reseau[[#This Row],[Cell_ID]],'CKadeaTelcoRegistre_Maintenance'!A:A,'CKadeaTelcoRegistre_Maintenance'!E:E,"Non repertorié")</f>
        <v>Non repertorié</v>
      </c>
      <c r="I514" t="str">
        <f>_xlfn.XLOOKUP(CKadeaTelcoLogs_Reseau[[#This Row],[Cell_ID]],'CKadeaTelcoRegistre_Maintenance'!A:A,'CKadeaTelcoRegistre_Maintenance'!F:F,"Non repertorié")</f>
        <v>Non repertorié</v>
      </c>
    </row>
    <row r="515" spans="1:9" ht="20.5" customHeight="1" x14ac:dyDescent="0.35">
      <c r="A515" s="1">
        <v>45230.303472222222</v>
      </c>
      <c r="B515" s="5" t="s">
        <v>397</v>
      </c>
      <c r="C515">
        <v>83</v>
      </c>
      <c r="D515" t="s">
        <v>10</v>
      </c>
      <c r="E515" t="str">
        <f>_xlfn.XLOOKUP(CKadeaTelcoLogs_Reseau[[#This Row],[Cell_ID]],'CKadeaTelcoRegistre_Maintenance'!A:A,'CKadeaTelcoRegistre_Maintenance'!B:B,"Non repertorié")</f>
        <v>Kongo-Central</v>
      </c>
      <c r="F515">
        <f>_xlfn.XLOOKUP(CKadeaTelcoLogs_Reseau[[#This Row],[Cell_ID]],'CKadeaTelcoRegistre_Maintenance'!A:A,'CKadeaTelcoRegistre_Maintenance'!C:C,"Non repertorié")</f>
        <v>-9.8208710000000004</v>
      </c>
      <c r="G515">
        <f>_xlfn.XLOOKUP(CKadeaTelcoLogs_Reseau[[#This Row],[Cell_ID]],'CKadeaTelcoRegistre_Maintenance'!A:A,'CKadeaTelcoRegistre_Maintenance'!D:D,"Non repertorié")</f>
        <v>23.229807000000001</v>
      </c>
      <c r="H515" t="str">
        <f>_xlfn.XLOOKUP(CKadeaTelcoLogs_Reseau[[#This Row],[Cell_ID]],'CKadeaTelcoRegistre_Maintenance'!A:A,'CKadeaTelcoRegistre_Maintenance'!E:E,"Non repertorié")</f>
        <v>5G</v>
      </c>
      <c r="I515" t="str">
        <f>_xlfn.XLOOKUP(CKadeaTelcoLogs_Reseau[[#This Row],[Cell_ID]],'CKadeaTelcoRegistre_Maintenance'!A:A,'CKadeaTelcoRegistre_Maintenance'!F:F,"Non repertorié")</f>
        <v>Nokia</v>
      </c>
    </row>
    <row r="516" spans="1:9" ht="20.5" customHeight="1" x14ac:dyDescent="0.35">
      <c r="A516" s="1">
        <v>45217.384722222225</v>
      </c>
      <c r="B516" s="5" t="s">
        <v>398</v>
      </c>
      <c r="C516">
        <v>99</v>
      </c>
      <c r="D516" t="s">
        <v>8</v>
      </c>
      <c r="E516" t="str">
        <f>_xlfn.XLOOKUP(CKadeaTelcoLogs_Reseau[[#This Row],[Cell_ID]],'CKadeaTelcoRegistre_Maintenance'!A:A,'CKadeaTelcoRegistre_Maintenance'!B:B,"Non repertorié")</f>
        <v>Haut-Lomami</v>
      </c>
      <c r="F516">
        <f>_xlfn.XLOOKUP(CKadeaTelcoLogs_Reseau[[#This Row],[Cell_ID]],'CKadeaTelcoRegistre_Maintenance'!A:A,'CKadeaTelcoRegistre_Maintenance'!C:C,"Non repertorié")</f>
        <v>-4.8157019999999999</v>
      </c>
      <c r="G516">
        <f>_xlfn.XLOOKUP(CKadeaTelcoLogs_Reseau[[#This Row],[Cell_ID]],'CKadeaTelcoRegistre_Maintenance'!A:A,'CKadeaTelcoRegistre_Maintenance'!D:D,"Non repertorié")</f>
        <v>27.679798000000002</v>
      </c>
      <c r="H516" t="str">
        <f>_xlfn.XLOOKUP(CKadeaTelcoLogs_Reseau[[#This Row],[Cell_ID]],'CKadeaTelcoRegistre_Maintenance'!A:A,'CKadeaTelcoRegistre_Maintenance'!E:E,"Non repertorié")</f>
        <v>3G</v>
      </c>
      <c r="I516" t="str">
        <f>_xlfn.XLOOKUP(CKadeaTelcoLogs_Reseau[[#This Row],[Cell_ID]],'CKadeaTelcoRegistre_Maintenance'!A:A,'CKadeaTelcoRegistre_Maintenance'!F:F,"Non repertorié")</f>
        <v>Ericsson</v>
      </c>
    </row>
    <row r="517" spans="1:9" ht="20.5" customHeight="1" x14ac:dyDescent="0.35">
      <c r="A517" s="1">
        <v>45230.40902777778</v>
      </c>
      <c r="B517" s="5" t="s">
        <v>399</v>
      </c>
      <c r="C517">
        <v>80</v>
      </c>
      <c r="D517" t="s">
        <v>8</v>
      </c>
      <c r="E517" t="str">
        <f>_xlfn.XLOOKUP(CKadeaTelcoLogs_Reseau[[#This Row],[Cell_ID]],'CKadeaTelcoRegistre_Maintenance'!A:A,'CKadeaTelcoRegistre_Maintenance'!B:B,"Non repertorié")</f>
        <v>Kwilu</v>
      </c>
      <c r="F517">
        <f>_xlfn.XLOOKUP(CKadeaTelcoLogs_Reseau[[#This Row],[Cell_ID]],'CKadeaTelcoRegistre_Maintenance'!A:A,'CKadeaTelcoRegistre_Maintenance'!C:C,"Non repertorié")</f>
        <v>0.62055499999999997</v>
      </c>
      <c r="G517">
        <f>_xlfn.XLOOKUP(CKadeaTelcoLogs_Reseau[[#This Row],[Cell_ID]],'CKadeaTelcoRegistre_Maintenance'!A:A,'CKadeaTelcoRegistre_Maintenance'!D:D,"Non repertorié")</f>
        <v>21.222035000000002</v>
      </c>
      <c r="H517" t="str">
        <f>_xlfn.XLOOKUP(CKadeaTelcoLogs_Reseau[[#This Row],[Cell_ID]],'CKadeaTelcoRegistre_Maintenance'!A:A,'CKadeaTelcoRegistre_Maintenance'!E:E,"Non repertorié")</f>
        <v>5G</v>
      </c>
      <c r="I517" t="str">
        <f>_xlfn.XLOOKUP(CKadeaTelcoLogs_Reseau[[#This Row],[Cell_ID]],'CKadeaTelcoRegistre_Maintenance'!A:A,'CKadeaTelcoRegistre_Maintenance'!F:F,"Non repertorié")</f>
        <v>Nokia</v>
      </c>
    </row>
    <row r="518" spans="1:9" ht="20.5" customHeight="1" x14ac:dyDescent="0.35">
      <c r="A518" s="1">
        <v>45209.925694444442</v>
      </c>
      <c r="B518" s="5" t="s">
        <v>400</v>
      </c>
      <c r="C518">
        <v>35</v>
      </c>
      <c r="D518" t="s">
        <v>5</v>
      </c>
      <c r="E518" t="str">
        <f>_xlfn.XLOOKUP(CKadeaTelcoLogs_Reseau[[#This Row],[Cell_ID]],'CKadeaTelcoRegistre_Maintenance'!A:A,'CKadeaTelcoRegistre_Maintenance'!B:B,"Non repertorié")</f>
        <v>Non repertorié</v>
      </c>
      <c r="F518" t="str">
        <f>_xlfn.XLOOKUP(CKadeaTelcoLogs_Reseau[[#This Row],[Cell_ID]],'CKadeaTelcoRegistre_Maintenance'!A:A,'CKadeaTelcoRegistre_Maintenance'!C:C,"Non repertorié")</f>
        <v>Non repertorié</v>
      </c>
      <c r="G518" t="str">
        <f>_xlfn.XLOOKUP(CKadeaTelcoLogs_Reseau[[#This Row],[Cell_ID]],'CKadeaTelcoRegistre_Maintenance'!A:A,'CKadeaTelcoRegistre_Maintenance'!D:D,"Non repertorié")</f>
        <v>Non repertorié</v>
      </c>
      <c r="H518" t="str">
        <f>_xlfn.XLOOKUP(CKadeaTelcoLogs_Reseau[[#This Row],[Cell_ID]],'CKadeaTelcoRegistre_Maintenance'!A:A,'CKadeaTelcoRegistre_Maintenance'!E:E,"Non repertorié")</f>
        <v>Non repertorié</v>
      </c>
      <c r="I518" t="str">
        <f>_xlfn.XLOOKUP(CKadeaTelcoLogs_Reseau[[#This Row],[Cell_ID]],'CKadeaTelcoRegistre_Maintenance'!A:A,'CKadeaTelcoRegistre_Maintenance'!F:F,"Non repertorié")</f>
        <v>Non repertorié</v>
      </c>
    </row>
    <row r="519" spans="1:9" ht="20.5" customHeight="1" x14ac:dyDescent="0.35">
      <c r="A519" s="1">
        <v>45222.938194444447</v>
      </c>
      <c r="B519" s="5" t="s">
        <v>401</v>
      </c>
      <c r="C519">
        <v>36</v>
      </c>
      <c r="D519" t="s">
        <v>5</v>
      </c>
      <c r="E519" t="str">
        <f>_xlfn.XLOOKUP(CKadeaTelcoLogs_Reseau[[#This Row],[Cell_ID]],'CKadeaTelcoRegistre_Maintenance'!A:A,'CKadeaTelcoRegistre_Maintenance'!B:B,"Non repertorié")</f>
        <v>Non repertorié</v>
      </c>
      <c r="F519" t="str">
        <f>_xlfn.XLOOKUP(CKadeaTelcoLogs_Reseau[[#This Row],[Cell_ID]],'CKadeaTelcoRegistre_Maintenance'!A:A,'CKadeaTelcoRegistre_Maintenance'!C:C,"Non repertorié")</f>
        <v>Non repertorié</v>
      </c>
      <c r="G519" t="str">
        <f>_xlfn.XLOOKUP(CKadeaTelcoLogs_Reseau[[#This Row],[Cell_ID]],'CKadeaTelcoRegistre_Maintenance'!A:A,'CKadeaTelcoRegistre_Maintenance'!D:D,"Non repertorié")</f>
        <v>Non repertorié</v>
      </c>
      <c r="H519" t="str">
        <f>_xlfn.XLOOKUP(CKadeaTelcoLogs_Reseau[[#This Row],[Cell_ID]],'CKadeaTelcoRegistre_Maintenance'!A:A,'CKadeaTelcoRegistre_Maintenance'!E:E,"Non repertorié")</f>
        <v>Non repertorié</v>
      </c>
      <c r="I519" t="str">
        <f>_xlfn.XLOOKUP(CKadeaTelcoLogs_Reseau[[#This Row],[Cell_ID]],'CKadeaTelcoRegistre_Maintenance'!A:A,'CKadeaTelcoRegistre_Maintenance'!F:F,"Non repertorié")</f>
        <v>Non repertorié</v>
      </c>
    </row>
    <row r="520" spans="1:9" ht="20.5" customHeight="1" x14ac:dyDescent="0.35">
      <c r="A520" s="1">
        <v>45202.529166666667</v>
      </c>
      <c r="B520" s="5" t="s">
        <v>402</v>
      </c>
      <c r="C520">
        <v>109</v>
      </c>
      <c r="D520" t="s">
        <v>8</v>
      </c>
      <c r="E520" t="str">
        <f>_xlfn.XLOOKUP(CKadeaTelcoLogs_Reseau[[#This Row],[Cell_ID]],'CKadeaTelcoRegistre_Maintenance'!A:A,'CKadeaTelcoRegistre_Maintenance'!B:B,"Non repertorié")</f>
        <v>Haut-Uele</v>
      </c>
      <c r="F520">
        <f>_xlfn.XLOOKUP(CKadeaTelcoLogs_Reseau[[#This Row],[Cell_ID]],'CKadeaTelcoRegistre_Maintenance'!A:A,'CKadeaTelcoRegistre_Maintenance'!C:C,"Non repertorié")</f>
        <v>-7.1483749999999997</v>
      </c>
      <c r="G520">
        <f>_xlfn.XLOOKUP(CKadeaTelcoLogs_Reseau[[#This Row],[Cell_ID]],'CKadeaTelcoRegistre_Maintenance'!A:A,'CKadeaTelcoRegistre_Maintenance'!D:D,"Non repertorié")</f>
        <v>26.014271000000001</v>
      </c>
      <c r="H520" t="str">
        <f>_xlfn.XLOOKUP(CKadeaTelcoLogs_Reseau[[#This Row],[Cell_ID]],'CKadeaTelcoRegistre_Maintenance'!A:A,'CKadeaTelcoRegistre_Maintenance'!E:E,"Non repertorié")</f>
        <v>5G</v>
      </c>
      <c r="I520" t="str">
        <f>_xlfn.XLOOKUP(CKadeaTelcoLogs_Reseau[[#This Row],[Cell_ID]],'CKadeaTelcoRegistre_Maintenance'!A:A,'CKadeaTelcoRegistre_Maintenance'!F:F,"Non repertorié")</f>
        <v>Huawei</v>
      </c>
    </row>
    <row r="521" spans="1:9" ht="20.5" customHeight="1" x14ac:dyDescent="0.35">
      <c r="A521" s="1">
        <v>45203.213888888888</v>
      </c>
      <c r="B521" s="5" t="s">
        <v>403</v>
      </c>
      <c r="C521">
        <v>5</v>
      </c>
      <c r="D521" t="s">
        <v>5</v>
      </c>
      <c r="E521" t="str">
        <f>_xlfn.XLOOKUP(CKadeaTelcoLogs_Reseau[[#This Row],[Cell_ID]],'CKadeaTelcoRegistre_Maintenance'!A:A,'CKadeaTelcoRegistre_Maintenance'!B:B,"Non repertorié")</f>
        <v>Nord-Kivu</v>
      </c>
      <c r="F521">
        <f>_xlfn.XLOOKUP(CKadeaTelcoLogs_Reseau[[#This Row],[Cell_ID]],'CKadeaTelcoRegistre_Maintenance'!A:A,'CKadeaTelcoRegistre_Maintenance'!C:C,"Non repertorié")</f>
        <v>-6.5332999999999997</v>
      </c>
      <c r="G521">
        <f>_xlfn.XLOOKUP(CKadeaTelcoLogs_Reseau[[#This Row],[Cell_ID]],'CKadeaTelcoRegistre_Maintenance'!A:A,'CKadeaTelcoRegistre_Maintenance'!D:D,"Non repertorié")</f>
        <v>20.098018</v>
      </c>
      <c r="H521" t="str">
        <f>_xlfn.XLOOKUP(CKadeaTelcoLogs_Reseau[[#This Row],[Cell_ID]],'CKadeaTelcoRegistre_Maintenance'!A:A,'CKadeaTelcoRegistre_Maintenance'!E:E,"Non repertorié")</f>
        <v>4G</v>
      </c>
      <c r="I521" t="str">
        <f>_xlfn.XLOOKUP(CKadeaTelcoLogs_Reseau[[#This Row],[Cell_ID]],'CKadeaTelcoRegistre_Maintenance'!A:A,'CKadeaTelcoRegistre_Maintenance'!F:F,"Non repertorié")</f>
        <v>Huawei</v>
      </c>
    </row>
    <row r="522" spans="1:9" ht="20.5" customHeight="1" x14ac:dyDescent="0.35">
      <c r="A522" s="1">
        <v>45215.457638888889</v>
      </c>
      <c r="B522" s="5" t="s">
        <v>404</v>
      </c>
      <c r="C522">
        <v>100</v>
      </c>
      <c r="D522" t="s">
        <v>5</v>
      </c>
      <c r="E522" t="str">
        <f>_xlfn.XLOOKUP(CKadeaTelcoLogs_Reseau[[#This Row],[Cell_ID]],'CKadeaTelcoRegistre_Maintenance'!A:A,'CKadeaTelcoRegistre_Maintenance'!B:B,"Non repertorié")</f>
        <v>Tanganyika</v>
      </c>
      <c r="F522">
        <f>_xlfn.XLOOKUP(CKadeaTelcoLogs_Reseau[[#This Row],[Cell_ID]],'CKadeaTelcoRegistre_Maintenance'!A:A,'CKadeaTelcoRegistre_Maintenance'!C:C,"Non repertorié")</f>
        <v>-11.793894</v>
      </c>
      <c r="G522">
        <f>_xlfn.XLOOKUP(CKadeaTelcoLogs_Reseau[[#This Row],[Cell_ID]],'CKadeaTelcoRegistre_Maintenance'!A:A,'CKadeaTelcoRegistre_Maintenance'!D:D,"Non repertorié")</f>
        <v>20.433340999999999</v>
      </c>
      <c r="H522" t="str">
        <f>_xlfn.XLOOKUP(CKadeaTelcoLogs_Reseau[[#This Row],[Cell_ID]],'CKadeaTelcoRegistre_Maintenance'!A:A,'CKadeaTelcoRegistre_Maintenance'!E:E,"Non repertorié")</f>
        <v>5G</v>
      </c>
      <c r="I522" t="str">
        <f>_xlfn.XLOOKUP(CKadeaTelcoLogs_Reseau[[#This Row],[Cell_ID]],'CKadeaTelcoRegistre_Maintenance'!A:A,'CKadeaTelcoRegistre_Maintenance'!F:F,"Non repertorié")</f>
        <v>Nokia</v>
      </c>
    </row>
    <row r="523" spans="1:9" ht="20.5" customHeight="1" x14ac:dyDescent="0.35">
      <c r="A523" s="1">
        <v>45207.011111111111</v>
      </c>
      <c r="B523" s="5" t="s">
        <v>405</v>
      </c>
      <c r="C523">
        <v>32</v>
      </c>
      <c r="D523" t="s">
        <v>5</v>
      </c>
      <c r="E523" t="str">
        <f>_xlfn.XLOOKUP(CKadeaTelcoLogs_Reseau[[#This Row],[Cell_ID]],'CKadeaTelcoRegistre_Maintenance'!A:A,'CKadeaTelcoRegistre_Maintenance'!B:B,"Non repertorié")</f>
        <v>Kasai-Central</v>
      </c>
      <c r="F523">
        <f>_xlfn.XLOOKUP(CKadeaTelcoLogs_Reseau[[#This Row],[Cell_ID]],'CKadeaTelcoRegistre_Maintenance'!A:A,'CKadeaTelcoRegistre_Maintenance'!C:C,"Non repertorié")</f>
        <v>1.897178</v>
      </c>
      <c r="G523">
        <f>_xlfn.XLOOKUP(CKadeaTelcoLogs_Reseau[[#This Row],[Cell_ID]],'CKadeaTelcoRegistre_Maintenance'!A:A,'CKadeaTelcoRegistre_Maintenance'!D:D,"Non repertorié")</f>
        <v>23.902604</v>
      </c>
      <c r="H523" t="str">
        <f>_xlfn.XLOOKUP(CKadeaTelcoLogs_Reseau[[#This Row],[Cell_ID]],'CKadeaTelcoRegistre_Maintenance'!A:A,'CKadeaTelcoRegistre_Maintenance'!E:E,"Non repertorié")</f>
        <v>3G</v>
      </c>
      <c r="I523" t="str">
        <f>_xlfn.XLOOKUP(CKadeaTelcoLogs_Reseau[[#This Row],[Cell_ID]],'CKadeaTelcoRegistre_Maintenance'!A:A,'CKadeaTelcoRegistre_Maintenance'!F:F,"Non repertorié")</f>
        <v>Nokia</v>
      </c>
    </row>
    <row r="524" spans="1:9" ht="20.5" customHeight="1" x14ac:dyDescent="0.35">
      <c r="A524" s="1">
        <v>45212.311111111114</v>
      </c>
      <c r="B524" s="5" t="s">
        <v>17</v>
      </c>
      <c r="C524">
        <v>79</v>
      </c>
      <c r="D524" t="s">
        <v>5</v>
      </c>
      <c r="E524" t="str">
        <f>_xlfn.XLOOKUP(CKadeaTelcoLogs_Reseau[[#This Row],[Cell_ID]],'CKadeaTelcoRegistre_Maintenance'!A:A,'CKadeaTelcoRegistre_Maintenance'!B:B,"Non repertorié")</f>
        <v>Kwango</v>
      </c>
      <c r="F524">
        <f>_xlfn.XLOOKUP(CKadeaTelcoLogs_Reseau[[#This Row],[Cell_ID]],'CKadeaTelcoRegistre_Maintenance'!A:A,'CKadeaTelcoRegistre_Maintenance'!C:C,"Non repertorié")</f>
        <v>4.8319039999999998</v>
      </c>
      <c r="G524">
        <f>_xlfn.XLOOKUP(CKadeaTelcoLogs_Reseau[[#This Row],[Cell_ID]],'CKadeaTelcoRegistre_Maintenance'!A:A,'CKadeaTelcoRegistre_Maintenance'!D:D,"Non repertorié")</f>
        <v>20.733468999999999</v>
      </c>
      <c r="H524" t="str">
        <f>_xlfn.XLOOKUP(CKadeaTelcoLogs_Reseau[[#This Row],[Cell_ID]],'CKadeaTelcoRegistre_Maintenance'!A:A,'CKadeaTelcoRegistre_Maintenance'!E:E,"Non repertorié")</f>
        <v>5G</v>
      </c>
      <c r="I524" t="str">
        <f>_xlfn.XLOOKUP(CKadeaTelcoLogs_Reseau[[#This Row],[Cell_ID]],'CKadeaTelcoRegistre_Maintenance'!A:A,'CKadeaTelcoRegistre_Maintenance'!F:F,"Non repertorié")</f>
        <v>Ericsson</v>
      </c>
    </row>
    <row r="525" spans="1:9" ht="20.5" customHeight="1" x14ac:dyDescent="0.35">
      <c r="A525" s="1">
        <v>45224.347916666666</v>
      </c>
      <c r="B525" s="5" t="s">
        <v>406</v>
      </c>
      <c r="C525">
        <v>14</v>
      </c>
      <c r="D525" t="s">
        <v>5</v>
      </c>
      <c r="E525" t="str">
        <f>_xlfn.XLOOKUP(CKadeaTelcoLogs_Reseau[[#This Row],[Cell_ID]],'CKadeaTelcoRegistre_Maintenance'!A:A,'CKadeaTelcoRegistre_Maintenance'!B:B,"Non repertorié")</f>
        <v>Tshuapa</v>
      </c>
      <c r="F525">
        <f>_xlfn.XLOOKUP(CKadeaTelcoLogs_Reseau[[#This Row],[Cell_ID]],'CKadeaTelcoRegistre_Maintenance'!A:A,'CKadeaTelcoRegistre_Maintenance'!C:C,"Non repertorié")</f>
        <v>-7.789663</v>
      </c>
      <c r="G525">
        <f>_xlfn.XLOOKUP(CKadeaTelcoLogs_Reseau[[#This Row],[Cell_ID]],'CKadeaTelcoRegistre_Maintenance'!A:A,'CKadeaTelcoRegistre_Maintenance'!D:D,"Non repertorié")</f>
        <v>26.529098000000001</v>
      </c>
      <c r="H525" t="str">
        <f>_xlfn.XLOOKUP(CKadeaTelcoLogs_Reseau[[#This Row],[Cell_ID]],'CKadeaTelcoRegistre_Maintenance'!A:A,'CKadeaTelcoRegistre_Maintenance'!E:E,"Non repertorié")</f>
        <v>5G</v>
      </c>
      <c r="I525" t="str">
        <f>_xlfn.XLOOKUP(CKadeaTelcoLogs_Reseau[[#This Row],[Cell_ID]],'CKadeaTelcoRegistre_Maintenance'!A:A,'CKadeaTelcoRegistre_Maintenance'!F:F,"Non repertorié")</f>
        <v>Nokia</v>
      </c>
    </row>
    <row r="526" spans="1:9" ht="20.5" customHeight="1" x14ac:dyDescent="0.35">
      <c r="A526" s="1">
        <v>45209.781944444447</v>
      </c>
      <c r="B526" s="5" t="s">
        <v>374</v>
      </c>
      <c r="C526">
        <v>10</v>
      </c>
      <c r="D526" t="s">
        <v>8</v>
      </c>
      <c r="E526" t="str">
        <f>_xlfn.XLOOKUP(CKadeaTelcoLogs_Reseau[[#This Row],[Cell_ID]],'CKadeaTelcoRegistre_Maintenance'!A:A,'CKadeaTelcoRegistre_Maintenance'!B:B,"Non repertorié")</f>
        <v>Non repertorié</v>
      </c>
      <c r="F526" t="str">
        <f>_xlfn.XLOOKUP(CKadeaTelcoLogs_Reseau[[#This Row],[Cell_ID]],'CKadeaTelcoRegistre_Maintenance'!A:A,'CKadeaTelcoRegistre_Maintenance'!C:C,"Non repertorié")</f>
        <v>Non repertorié</v>
      </c>
      <c r="G526" t="str">
        <f>_xlfn.XLOOKUP(CKadeaTelcoLogs_Reseau[[#This Row],[Cell_ID]],'CKadeaTelcoRegistre_Maintenance'!A:A,'CKadeaTelcoRegistre_Maintenance'!D:D,"Non repertorié")</f>
        <v>Non repertorié</v>
      </c>
      <c r="H526" t="str">
        <f>_xlfn.XLOOKUP(CKadeaTelcoLogs_Reseau[[#This Row],[Cell_ID]],'CKadeaTelcoRegistre_Maintenance'!A:A,'CKadeaTelcoRegistre_Maintenance'!E:E,"Non repertorié")</f>
        <v>Non repertorié</v>
      </c>
      <c r="I526" t="str">
        <f>_xlfn.XLOOKUP(CKadeaTelcoLogs_Reseau[[#This Row],[Cell_ID]],'CKadeaTelcoRegistre_Maintenance'!A:A,'CKadeaTelcoRegistre_Maintenance'!F:F,"Non repertorié")</f>
        <v>Non repertorié</v>
      </c>
    </row>
    <row r="527" spans="1:9" ht="20.5" customHeight="1" x14ac:dyDescent="0.35">
      <c r="A527" s="1">
        <v>45218.011111111111</v>
      </c>
      <c r="B527" s="5" t="s">
        <v>407</v>
      </c>
      <c r="C527">
        <v>59</v>
      </c>
      <c r="D527" t="s">
        <v>5</v>
      </c>
      <c r="E527" t="str">
        <f>_xlfn.XLOOKUP(CKadeaTelcoLogs_Reseau[[#This Row],[Cell_ID]],'CKadeaTelcoRegistre_Maintenance'!A:A,'CKadeaTelcoRegistre_Maintenance'!B:B,"Non repertorié")</f>
        <v>Non repertorié</v>
      </c>
      <c r="F527" t="str">
        <f>_xlfn.XLOOKUP(CKadeaTelcoLogs_Reseau[[#This Row],[Cell_ID]],'CKadeaTelcoRegistre_Maintenance'!A:A,'CKadeaTelcoRegistre_Maintenance'!C:C,"Non repertorié")</f>
        <v>Non repertorié</v>
      </c>
      <c r="G527" t="str">
        <f>_xlfn.XLOOKUP(CKadeaTelcoLogs_Reseau[[#This Row],[Cell_ID]],'CKadeaTelcoRegistre_Maintenance'!A:A,'CKadeaTelcoRegistre_Maintenance'!D:D,"Non repertorié")</f>
        <v>Non repertorié</v>
      </c>
      <c r="H527" t="str">
        <f>_xlfn.XLOOKUP(CKadeaTelcoLogs_Reseau[[#This Row],[Cell_ID]],'CKadeaTelcoRegistre_Maintenance'!A:A,'CKadeaTelcoRegistre_Maintenance'!E:E,"Non repertorié")</f>
        <v>Non repertorié</v>
      </c>
      <c r="I527" t="str">
        <f>_xlfn.XLOOKUP(CKadeaTelcoLogs_Reseau[[#This Row],[Cell_ID]],'CKadeaTelcoRegistre_Maintenance'!A:A,'CKadeaTelcoRegistre_Maintenance'!F:F,"Non repertorié")</f>
        <v>Non repertorié</v>
      </c>
    </row>
    <row r="528" spans="1:9" ht="20.5" customHeight="1" x14ac:dyDescent="0.35">
      <c r="A528" s="1">
        <v>45220.488888888889</v>
      </c>
      <c r="B528" s="5" t="s">
        <v>92</v>
      </c>
      <c r="C528">
        <v>49</v>
      </c>
      <c r="D528" t="s">
        <v>10</v>
      </c>
      <c r="E528" t="str">
        <f>_xlfn.XLOOKUP(CKadeaTelcoLogs_Reseau[[#This Row],[Cell_ID]],'CKadeaTelcoRegistre_Maintenance'!A:A,'CKadeaTelcoRegistre_Maintenance'!B:B,"Non repertorié")</f>
        <v>Sud-Ubangi</v>
      </c>
      <c r="F528">
        <f>_xlfn.XLOOKUP(CKadeaTelcoLogs_Reseau[[#This Row],[Cell_ID]],'CKadeaTelcoRegistre_Maintenance'!A:A,'CKadeaTelcoRegistre_Maintenance'!C:C,"Non repertorié")</f>
        <v>-9.3652239999999995</v>
      </c>
      <c r="G528">
        <f>_xlfn.XLOOKUP(CKadeaTelcoLogs_Reseau[[#This Row],[Cell_ID]],'CKadeaTelcoRegistre_Maintenance'!A:A,'CKadeaTelcoRegistre_Maintenance'!D:D,"Non repertorié")</f>
        <v>22.593423999999999</v>
      </c>
      <c r="H528" t="str">
        <f>_xlfn.XLOOKUP(CKadeaTelcoLogs_Reseau[[#This Row],[Cell_ID]],'CKadeaTelcoRegistre_Maintenance'!A:A,'CKadeaTelcoRegistre_Maintenance'!E:E,"Non repertorié")</f>
        <v>5G</v>
      </c>
      <c r="I528" t="str">
        <f>_xlfn.XLOOKUP(CKadeaTelcoLogs_Reseau[[#This Row],[Cell_ID]],'CKadeaTelcoRegistre_Maintenance'!A:A,'CKadeaTelcoRegistre_Maintenance'!F:F,"Non repertorié")</f>
        <v>Nokia</v>
      </c>
    </row>
    <row r="529" spans="1:9" ht="20.5" customHeight="1" x14ac:dyDescent="0.35">
      <c r="A529" s="1">
        <v>45207.070833333331</v>
      </c>
      <c r="B529" s="5" t="s">
        <v>408</v>
      </c>
      <c r="C529">
        <v>94</v>
      </c>
      <c r="D529" t="s">
        <v>8</v>
      </c>
      <c r="E529" t="str">
        <f>_xlfn.XLOOKUP(CKadeaTelcoLogs_Reseau[[#This Row],[Cell_ID]],'CKadeaTelcoRegistre_Maintenance'!A:A,'CKadeaTelcoRegistre_Maintenance'!B:B,"Non repertorié")</f>
        <v>Equateur</v>
      </c>
      <c r="F529">
        <f>_xlfn.XLOOKUP(CKadeaTelcoLogs_Reseau[[#This Row],[Cell_ID]],'CKadeaTelcoRegistre_Maintenance'!A:A,'CKadeaTelcoRegistre_Maintenance'!C:C,"Non repertorié")</f>
        <v>-1.1284540000000001</v>
      </c>
      <c r="G529">
        <f>_xlfn.XLOOKUP(CKadeaTelcoLogs_Reseau[[#This Row],[Cell_ID]],'CKadeaTelcoRegistre_Maintenance'!A:A,'CKadeaTelcoRegistre_Maintenance'!D:D,"Non repertorié")</f>
        <v>23.000360000000001</v>
      </c>
      <c r="H529" t="str">
        <f>_xlfn.XLOOKUP(CKadeaTelcoLogs_Reseau[[#This Row],[Cell_ID]],'CKadeaTelcoRegistre_Maintenance'!A:A,'CKadeaTelcoRegistre_Maintenance'!E:E,"Non repertorié")</f>
        <v>5G</v>
      </c>
      <c r="I529" t="str">
        <f>_xlfn.XLOOKUP(CKadeaTelcoLogs_Reseau[[#This Row],[Cell_ID]],'CKadeaTelcoRegistre_Maintenance'!A:A,'CKadeaTelcoRegistre_Maintenance'!F:F,"Non repertorié")</f>
        <v>Ericsson</v>
      </c>
    </row>
    <row r="530" spans="1:9" ht="20.5" customHeight="1" x14ac:dyDescent="0.35">
      <c r="A530" s="1">
        <v>45203.59652777778</v>
      </c>
      <c r="B530" s="5" t="s">
        <v>409</v>
      </c>
      <c r="C530">
        <v>13</v>
      </c>
      <c r="D530" t="s">
        <v>8</v>
      </c>
      <c r="E530" t="str">
        <f>_xlfn.XLOOKUP(CKadeaTelcoLogs_Reseau[[#This Row],[Cell_ID]],'CKadeaTelcoRegistre_Maintenance'!A:A,'CKadeaTelcoRegistre_Maintenance'!B:B,"Non repertorié")</f>
        <v>Tshuapa</v>
      </c>
      <c r="F530">
        <f>_xlfn.XLOOKUP(CKadeaTelcoLogs_Reseau[[#This Row],[Cell_ID]],'CKadeaTelcoRegistre_Maintenance'!A:A,'CKadeaTelcoRegistre_Maintenance'!C:C,"Non repertorié")</f>
        <v>-1.9540519999999999</v>
      </c>
      <c r="G530">
        <f>_xlfn.XLOOKUP(CKadeaTelcoLogs_Reseau[[#This Row],[Cell_ID]],'CKadeaTelcoRegistre_Maintenance'!A:A,'CKadeaTelcoRegistre_Maintenance'!D:D,"Non repertorié")</f>
        <v>12.667945</v>
      </c>
      <c r="H530" t="str">
        <f>_xlfn.XLOOKUP(CKadeaTelcoLogs_Reseau[[#This Row],[Cell_ID]],'CKadeaTelcoRegistre_Maintenance'!A:A,'CKadeaTelcoRegistre_Maintenance'!E:E,"Non repertorié")</f>
        <v>4G</v>
      </c>
      <c r="I530" t="str">
        <f>_xlfn.XLOOKUP(CKadeaTelcoLogs_Reseau[[#This Row],[Cell_ID]],'CKadeaTelcoRegistre_Maintenance'!A:A,'CKadeaTelcoRegistre_Maintenance'!F:F,"Non repertorié")</f>
        <v>Huawei</v>
      </c>
    </row>
    <row r="531" spans="1:9" ht="20.5" customHeight="1" x14ac:dyDescent="0.35">
      <c r="A531" s="1">
        <v>45205.529861111114</v>
      </c>
      <c r="B531" s="5" t="s">
        <v>86</v>
      </c>
      <c r="C531">
        <v>74</v>
      </c>
      <c r="D531" t="s">
        <v>8</v>
      </c>
      <c r="E531" t="str">
        <f>_xlfn.XLOOKUP(CKadeaTelcoLogs_Reseau[[#This Row],[Cell_ID]],'CKadeaTelcoRegistre_Maintenance'!A:A,'CKadeaTelcoRegistre_Maintenance'!B:B,"Non repertorié")</f>
        <v>Mongala</v>
      </c>
      <c r="F531">
        <f>_xlfn.XLOOKUP(CKadeaTelcoLogs_Reseau[[#This Row],[Cell_ID]],'CKadeaTelcoRegistre_Maintenance'!A:A,'CKadeaTelcoRegistre_Maintenance'!C:C,"Non repertorié")</f>
        <v>-11.514188000000001</v>
      </c>
      <c r="G531">
        <f>_xlfn.XLOOKUP(CKadeaTelcoLogs_Reseau[[#This Row],[Cell_ID]],'CKadeaTelcoRegistre_Maintenance'!A:A,'CKadeaTelcoRegistre_Maintenance'!D:D,"Non repertorié")</f>
        <v>15.971181</v>
      </c>
      <c r="H531" t="str">
        <f>_xlfn.XLOOKUP(CKadeaTelcoLogs_Reseau[[#This Row],[Cell_ID]],'CKadeaTelcoRegistre_Maintenance'!A:A,'CKadeaTelcoRegistre_Maintenance'!E:E,"Non repertorié")</f>
        <v>5G</v>
      </c>
      <c r="I531" t="str">
        <f>_xlfn.XLOOKUP(CKadeaTelcoLogs_Reseau[[#This Row],[Cell_ID]],'CKadeaTelcoRegistre_Maintenance'!A:A,'CKadeaTelcoRegistre_Maintenance'!F:F,"Non repertorié")</f>
        <v>Ericsson</v>
      </c>
    </row>
    <row r="532" spans="1:9" ht="20.5" customHeight="1" x14ac:dyDescent="0.35">
      <c r="A532" s="1">
        <v>45216.950694444444</v>
      </c>
      <c r="B532" s="5" t="s">
        <v>6</v>
      </c>
      <c r="C532">
        <v>12</v>
      </c>
      <c r="D532" t="s">
        <v>5</v>
      </c>
      <c r="E532" t="str">
        <f>_xlfn.XLOOKUP(CKadeaTelcoLogs_Reseau[[#This Row],[Cell_ID]],'CKadeaTelcoRegistre_Maintenance'!A:A,'CKadeaTelcoRegistre_Maintenance'!B:B,"Non repertorié")</f>
        <v>Non repertorié</v>
      </c>
      <c r="F532" t="str">
        <f>_xlfn.XLOOKUP(CKadeaTelcoLogs_Reseau[[#This Row],[Cell_ID]],'CKadeaTelcoRegistre_Maintenance'!A:A,'CKadeaTelcoRegistre_Maintenance'!C:C,"Non repertorié")</f>
        <v>Non repertorié</v>
      </c>
      <c r="G532" t="str">
        <f>_xlfn.XLOOKUP(CKadeaTelcoLogs_Reseau[[#This Row],[Cell_ID]],'CKadeaTelcoRegistre_Maintenance'!A:A,'CKadeaTelcoRegistre_Maintenance'!D:D,"Non repertorié")</f>
        <v>Non repertorié</v>
      </c>
      <c r="H532" t="str">
        <f>_xlfn.XLOOKUP(CKadeaTelcoLogs_Reseau[[#This Row],[Cell_ID]],'CKadeaTelcoRegistre_Maintenance'!A:A,'CKadeaTelcoRegistre_Maintenance'!E:E,"Non repertorié")</f>
        <v>Non repertorié</v>
      </c>
      <c r="I532" t="str">
        <f>_xlfn.XLOOKUP(CKadeaTelcoLogs_Reseau[[#This Row],[Cell_ID]],'CKadeaTelcoRegistre_Maintenance'!A:A,'CKadeaTelcoRegistre_Maintenance'!F:F,"Non repertorié")</f>
        <v>Non repertorié</v>
      </c>
    </row>
    <row r="533" spans="1:9" ht="20.5" customHeight="1" x14ac:dyDescent="0.35">
      <c r="A533" s="1">
        <v>45209.921527777777</v>
      </c>
      <c r="B533" s="5" t="s">
        <v>191</v>
      </c>
      <c r="C533">
        <v>119</v>
      </c>
      <c r="D533" t="s">
        <v>5</v>
      </c>
      <c r="E533" t="str">
        <f>_xlfn.XLOOKUP(CKadeaTelcoLogs_Reseau[[#This Row],[Cell_ID]],'CKadeaTelcoRegistre_Maintenance'!A:A,'CKadeaTelcoRegistre_Maintenance'!B:B,"Non repertorié")</f>
        <v>Bas-Uele</v>
      </c>
      <c r="F533">
        <f>_xlfn.XLOOKUP(CKadeaTelcoLogs_Reseau[[#This Row],[Cell_ID]],'CKadeaTelcoRegistre_Maintenance'!A:A,'CKadeaTelcoRegistre_Maintenance'!C:C,"Non repertorié")</f>
        <v>1.5278670000000001</v>
      </c>
      <c r="G533">
        <f>_xlfn.XLOOKUP(CKadeaTelcoLogs_Reseau[[#This Row],[Cell_ID]],'CKadeaTelcoRegistre_Maintenance'!A:A,'CKadeaTelcoRegistre_Maintenance'!D:D,"Non repertorié")</f>
        <v>13.899388999999999</v>
      </c>
      <c r="H533" t="str">
        <f>_xlfn.XLOOKUP(CKadeaTelcoLogs_Reseau[[#This Row],[Cell_ID]],'CKadeaTelcoRegistre_Maintenance'!A:A,'CKadeaTelcoRegistre_Maintenance'!E:E,"Non repertorié")</f>
        <v>3G</v>
      </c>
      <c r="I533" t="str">
        <f>_xlfn.XLOOKUP(CKadeaTelcoLogs_Reseau[[#This Row],[Cell_ID]],'CKadeaTelcoRegistre_Maintenance'!A:A,'CKadeaTelcoRegistre_Maintenance'!F:F,"Non repertorié")</f>
        <v>Huawei</v>
      </c>
    </row>
    <row r="534" spans="1:9" ht="20.5" customHeight="1" x14ac:dyDescent="0.35">
      <c r="A534" s="1">
        <v>45220.390972222223</v>
      </c>
      <c r="B534" s="5" t="s">
        <v>373</v>
      </c>
      <c r="C534">
        <v>13</v>
      </c>
      <c r="D534" t="s">
        <v>8</v>
      </c>
      <c r="E534" t="str">
        <f>_xlfn.XLOOKUP(CKadeaTelcoLogs_Reseau[[#This Row],[Cell_ID]],'CKadeaTelcoRegistre_Maintenance'!A:A,'CKadeaTelcoRegistre_Maintenance'!B:B,"Non repertorié")</f>
        <v>Non repertorié</v>
      </c>
      <c r="F534" t="str">
        <f>_xlfn.XLOOKUP(CKadeaTelcoLogs_Reseau[[#This Row],[Cell_ID]],'CKadeaTelcoRegistre_Maintenance'!A:A,'CKadeaTelcoRegistre_Maintenance'!C:C,"Non repertorié")</f>
        <v>Non repertorié</v>
      </c>
      <c r="G534" t="str">
        <f>_xlfn.XLOOKUP(CKadeaTelcoLogs_Reseau[[#This Row],[Cell_ID]],'CKadeaTelcoRegistre_Maintenance'!A:A,'CKadeaTelcoRegistre_Maintenance'!D:D,"Non repertorié")</f>
        <v>Non repertorié</v>
      </c>
      <c r="H534" t="str">
        <f>_xlfn.XLOOKUP(CKadeaTelcoLogs_Reseau[[#This Row],[Cell_ID]],'CKadeaTelcoRegistre_Maintenance'!A:A,'CKadeaTelcoRegistre_Maintenance'!E:E,"Non repertorié")</f>
        <v>Non repertorié</v>
      </c>
      <c r="I534" t="str">
        <f>_xlfn.XLOOKUP(CKadeaTelcoLogs_Reseau[[#This Row],[Cell_ID]],'CKadeaTelcoRegistre_Maintenance'!A:A,'CKadeaTelcoRegistre_Maintenance'!F:F,"Non repertorié")</f>
        <v>Non repertorié</v>
      </c>
    </row>
    <row r="535" spans="1:9" ht="20.5" customHeight="1" x14ac:dyDescent="0.35">
      <c r="A535" s="1">
        <v>45219.301388888889</v>
      </c>
      <c r="B535" s="5" t="s">
        <v>23</v>
      </c>
      <c r="C535">
        <v>65</v>
      </c>
      <c r="D535" t="s">
        <v>5</v>
      </c>
      <c r="E535" t="str">
        <f>_xlfn.XLOOKUP(CKadeaTelcoLogs_Reseau[[#This Row],[Cell_ID]],'CKadeaTelcoRegistre_Maintenance'!A:A,'CKadeaTelcoRegistre_Maintenance'!B:B,"Non repertorié")</f>
        <v>Non repertorié</v>
      </c>
      <c r="F535" t="str">
        <f>_xlfn.XLOOKUP(CKadeaTelcoLogs_Reseau[[#This Row],[Cell_ID]],'CKadeaTelcoRegistre_Maintenance'!A:A,'CKadeaTelcoRegistre_Maintenance'!C:C,"Non repertorié")</f>
        <v>Non repertorié</v>
      </c>
      <c r="G535" t="str">
        <f>_xlfn.XLOOKUP(CKadeaTelcoLogs_Reseau[[#This Row],[Cell_ID]],'CKadeaTelcoRegistre_Maintenance'!A:A,'CKadeaTelcoRegistre_Maintenance'!D:D,"Non repertorié")</f>
        <v>Non repertorié</v>
      </c>
      <c r="H535" t="str">
        <f>_xlfn.XLOOKUP(CKadeaTelcoLogs_Reseau[[#This Row],[Cell_ID]],'CKadeaTelcoRegistre_Maintenance'!A:A,'CKadeaTelcoRegistre_Maintenance'!E:E,"Non repertorié")</f>
        <v>Non repertorié</v>
      </c>
      <c r="I535" t="str">
        <f>_xlfn.XLOOKUP(CKadeaTelcoLogs_Reseau[[#This Row],[Cell_ID]],'CKadeaTelcoRegistre_Maintenance'!A:A,'CKadeaTelcoRegistre_Maintenance'!F:F,"Non repertorié")</f>
        <v>Non repertorié</v>
      </c>
    </row>
    <row r="536" spans="1:9" ht="20.5" customHeight="1" x14ac:dyDescent="0.35">
      <c r="A536" s="1">
        <v>45230.1875</v>
      </c>
      <c r="B536" s="5" t="s">
        <v>410</v>
      </c>
      <c r="C536">
        <v>9</v>
      </c>
      <c r="D536" t="s">
        <v>10</v>
      </c>
      <c r="E536" t="str">
        <f>_xlfn.XLOOKUP(CKadeaTelcoLogs_Reseau[[#This Row],[Cell_ID]],'CKadeaTelcoRegistre_Maintenance'!A:A,'CKadeaTelcoRegistre_Maintenance'!B:B,"Non repertorié")</f>
        <v>Non repertorié</v>
      </c>
      <c r="F536" t="str">
        <f>_xlfn.XLOOKUP(CKadeaTelcoLogs_Reseau[[#This Row],[Cell_ID]],'CKadeaTelcoRegistre_Maintenance'!A:A,'CKadeaTelcoRegistre_Maintenance'!C:C,"Non repertorié")</f>
        <v>Non repertorié</v>
      </c>
      <c r="G536" t="str">
        <f>_xlfn.XLOOKUP(CKadeaTelcoLogs_Reseau[[#This Row],[Cell_ID]],'CKadeaTelcoRegistre_Maintenance'!A:A,'CKadeaTelcoRegistre_Maintenance'!D:D,"Non repertorié")</f>
        <v>Non repertorié</v>
      </c>
      <c r="H536" t="str">
        <f>_xlfn.XLOOKUP(CKadeaTelcoLogs_Reseau[[#This Row],[Cell_ID]],'CKadeaTelcoRegistre_Maintenance'!A:A,'CKadeaTelcoRegistre_Maintenance'!E:E,"Non repertorié")</f>
        <v>Non repertorié</v>
      </c>
      <c r="I536" t="str">
        <f>_xlfn.XLOOKUP(CKadeaTelcoLogs_Reseau[[#This Row],[Cell_ID]],'CKadeaTelcoRegistre_Maintenance'!A:A,'CKadeaTelcoRegistre_Maintenance'!F:F,"Non repertorié")</f>
        <v>Non repertorié</v>
      </c>
    </row>
    <row r="537" spans="1:9" ht="20.5" customHeight="1" x14ac:dyDescent="0.35">
      <c r="A537" s="1">
        <v>45204.615972222222</v>
      </c>
      <c r="B537" s="5" t="s">
        <v>411</v>
      </c>
      <c r="C537">
        <v>41</v>
      </c>
      <c r="D537" t="s">
        <v>10</v>
      </c>
      <c r="E537" t="str">
        <f>_xlfn.XLOOKUP(CKadeaTelcoLogs_Reseau[[#This Row],[Cell_ID]],'CKadeaTelcoRegistre_Maintenance'!A:A,'CKadeaTelcoRegistre_Maintenance'!B:B,"Non repertorié")</f>
        <v>Kinshasa</v>
      </c>
      <c r="F537">
        <f>_xlfn.XLOOKUP(CKadeaTelcoLogs_Reseau[[#This Row],[Cell_ID]],'CKadeaTelcoRegistre_Maintenance'!A:A,'CKadeaTelcoRegistre_Maintenance'!C:C,"Non repertorié")</f>
        <v>1.3006180000000001</v>
      </c>
      <c r="G537">
        <f>_xlfn.XLOOKUP(CKadeaTelcoLogs_Reseau[[#This Row],[Cell_ID]],'CKadeaTelcoRegistre_Maintenance'!A:A,'CKadeaTelcoRegistre_Maintenance'!D:D,"Non repertorié")</f>
        <v>29.060970999999999</v>
      </c>
      <c r="H537" t="str">
        <f>_xlfn.XLOOKUP(CKadeaTelcoLogs_Reseau[[#This Row],[Cell_ID]],'CKadeaTelcoRegistre_Maintenance'!A:A,'CKadeaTelcoRegistre_Maintenance'!E:E,"Non repertorié")</f>
        <v>3G</v>
      </c>
      <c r="I537" t="str">
        <f>_xlfn.XLOOKUP(CKadeaTelcoLogs_Reseau[[#This Row],[Cell_ID]],'CKadeaTelcoRegistre_Maintenance'!A:A,'CKadeaTelcoRegistre_Maintenance'!F:F,"Non repertorié")</f>
        <v>ZTE</v>
      </c>
    </row>
    <row r="538" spans="1:9" ht="20.5" customHeight="1" x14ac:dyDescent="0.35">
      <c r="A538" s="1">
        <v>45219.476388888892</v>
      </c>
      <c r="B538" s="5" t="s">
        <v>12</v>
      </c>
      <c r="C538">
        <v>57</v>
      </c>
      <c r="D538" t="s">
        <v>5</v>
      </c>
      <c r="E538" t="str">
        <f>_xlfn.XLOOKUP(CKadeaTelcoLogs_Reseau[[#This Row],[Cell_ID]],'CKadeaTelcoRegistre_Maintenance'!A:A,'CKadeaTelcoRegistre_Maintenance'!B:B,"Non repertorié")</f>
        <v>Kongo-Central</v>
      </c>
      <c r="F538">
        <f>_xlfn.XLOOKUP(CKadeaTelcoLogs_Reseau[[#This Row],[Cell_ID]],'CKadeaTelcoRegistre_Maintenance'!A:A,'CKadeaTelcoRegistre_Maintenance'!C:C,"Non repertorié")</f>
        <v>-2.8211520000000001</v>
      </c>
      <c r="G538">
        <f>_xlfn.XLOOKUP(CKadeaTelcoLogs_Reseau[[#This Row],[Cell_ID]],'CKadeaTelcoRegistre_Maintenance'!A:A,'CKadeaTelcoRegistre_Maintenance'!D:D,"Non repertorié")</f>
        <v>20.651419000000001</v>
      </c>
      <c r="H538" t="str">
        <f>_xlfn.XLOOKUP(CKadeaTelcoLogs_Reseau[[#This Row],[Cell_ID]],'CKadeaTelcoRegistre_Maintenance'!A:A,'CKadeaTelcoRegistre_Maintenance'!E:E,"Non repertorié")</f>
        <v>5G</v>
      </c>
      <c r="I538" t="str">
        <f>_xlfn.XLOOKUP(CKadeaTelcoLogs_Reseau[[#This Row],[Cell_ID]],'CKadeaTelcoRegistre_Maintenance'!A:A,'CKadeaTelcoRegistre_Maintenance'!F:F,"Non repertorié")</f>
        <v>Ericsson</v>
      </c>
    </row>
    <row r="539" spans="1:9" ht="20.5" customHeight="1" x14ac:dyDescent="0.35">
      <c r="A539" s="1">
        <v>45222.748611111114</v>
      </c>
      <c r="B539" s="5" t="s">
        <v>412</v>
      </c>
      <c r="C539">
        <v>28</v>
      </c>
      <c r="D539" t="s">
        <v>8</v>
      </c>
      <c r="E539" t="str">
        <f>_xlfn.XLOOKUP(CKadeaTelcoLogs_Reseau[[#This Row],[Cell_ID]],'CKadeaTelcoRegistre_Maintenance'!A:A,'CKadeaTelcoRegistre_Maintenance'!B:B,"Non repertorié")</f>
        <v>Haut-Katanga</v>
      </c>
      <c r="F539">
        <f>_xlfn.XLOOKUP(CKadeaTelcoLogs_Reseau[[#This Row],[Cell_ID]],'CKadeaTelcoRegistre_Maintenance'!A:A,'CKadeaTelcoRegistre_Maintenance'!C:C,"Non repertorié")</f>
        <v>-11.468578000000001</v>
      </c>
      <c r="G539">
        <f>_xlfn.XLOOKUP(CKadeaTelcoLogs_Reseau[[#This Row],[Cell_ID]],'CKadeaTelcoRegistre_Maintenance'!A:A,'CKadeaTelcoRegistre_Maintenance'!D:D,"Non repertorié")</f>
        <v>16.914501999999999</v>
      </c>
      <c r="H539" t="str">
        <f>_xlfn.XLOOKUP(CKadeaTelcoLogs_Reseau[[#This Row],[Cell_ID]],'CKadeaTelcoRegistre_Maintenance'!A:A,'CKadeaTelcoRegistre_Maintenance'!E:E,"Non repertorié")</f>
        <v>4G</v>
      </c>
      <c r="I539" t="str">
        <f>_xlfn.XLOOKUP(CKadeaTelcoLogs_Reseau[[#This Row],[Cell_ID]],'CKadeaTelcoRegistre_Maintenance'!A:A,'CKadeaTelcoRegistre_Maintenance'!F:F,"Non repertorié")</f>
        <v>Ericsson</v>
      </c>
    </row>
    <row r="540" spans="1:9" ht="20.5" customHeight="1" x14ac:dyDescent="0.35">
      <c r="A540" s="1">
        <v>45215.743750000001</v>
      </c>
      <c r="B540" s="5" t="s">
        <v>413</v>
      </c>
      <c r="C540">
        <v>103</v>
      </c>
      <c r="D540" t="s">
        <v>5</v>
      </c>
      <c r="E540" t="str">
        <f>_xlfn.XLOOKUP(CKadeaTelcoLogs_Reseau[[#This Row],[Cell_ID]],'CKadeaTelcoRegistre_Maintenance'!A:A,'CKadeaTelcoRegistre_Maintenance'!B:B,"Non repertorié")</f>
        <v>Non repertorié</v>
      </c>
      <c r="F540" t="str">
        <f>_xlfn.XLOOKUP(CKadeaTelcoLogs_Reseau[[#This Row],[Cell_ID]],'CKadeaTelcoRegistre_Maintenance'!A:A,'CKadeaTelcoRegistre_Maintenance'!C:C,"Non repertorié")</f>
        <v>Non repertorié</v>
      </c>
      <c r="G540" t="str">
        <f>_xlfn.XLOOKUP(CKadeaTelcoLogs_Reseau[[#This Row],[Cell_ID]],'CKadeaTelcoRegistre_Maintenance'!A:A,'CKadeaTelcoRegistre_Maintenance'!D:D,"Non repertorié")</f>
        <v>Non repertorié</v>
      </c>
      <c r="H540" t="str">
        <f>_xlfn.XLOOKUP(CKadeaTelcoLogs_Reseau[[#This Row],[Cell_ID]],'CKadeaTelcoRegistre_Maintenance'!A:A,'CKadeaTelcoRegistre_Maintenance'!E:E,"Non repertorié")</f>
        <v>Non repertorié</v>
      </c>
      <c r="I540" t="str">
        <f>_xlfn.XLOOKUP(CKadeaTelcoLogs_Reseau[[#This Row],[Cell_ID]],'CKadeaTelcoRegistre_Maintenance'!A:A,'CKadeaTelcoRegistre_Maintenance'!F:F,"Non repertorié")</f>
        <v>Non repertorié</v>
      </c>
    </row>
    <row r="541" spans="1:9" ht="20.5" customHeight="1" x14ac:dyDescent="0.35">
      <c r="A541" s="1">
        <v>45221.283333333333</v>
      </c>
      <c r="B541" s="5" t="s">
        <v>414</v>
      </c>
      <c r="C541">
        <v>22</v>
      </c>
      <c r="D541" t="s">
        <v>5</v>
      </c>
      <c r="E541" t="str">
        <f>_xlfn.XLOOKUP(CKadeaTelcoLogs_Reseau[[#This Row],[Cell_ID]],'CKadeaTelcoRegistre_Maintenance'!A:A,'CKadeaTelcoRegistre_Maintenance'!B:B,"Non repertorié")</f>
        <v>Kinshasa</v>
      </c>
      <c r="F541">
        <f>_xlfn.XLOOKUP(CKadeaTelcoLogs_Reseau[[#This Row],[Cell_ID]],'CKadeaTelcoRegistre_Maintenance'!A:A,'CKadeaTelcoRegistre_Maintenance'!C:C,"Non repertorié")</f>
        <v>-2.6665070000000002</v>
      </c>
      <c r="G541">
        <f>_xlfn.XLOOKUP(CKadeaTelcoLogs_Reseau[[#This Row],[Cell_ID]],'CKadeaTelcoRegistre_Maintenance'!A:A,'CKadeaTelcoRegistre_Maintenance'!D:D,"Non repertorié")</f>
        <v>18.623692999999999</v>
      </c>
      <c r="H541" t="str">
        <f>_xlfn.XLOOKUP(CKadeaTelcoLogs_Reseau[[#This Row],[Cell_ID]],'CKadeaTelcoRegistre_Maintenance'!A:A,'CKadeaTelcoRegistre_Maintenance'!E:E,"Non repertorié")</f>
        <v>3G</v>
      </c>
      <c r="I541" t="str">
        <f>_xlfn.XLOOKUP(CKadeaTelcoLogs_Reseau[[#This Row],[Cell_ID]],'CKadeaTelcoRegistre_Maintenance'!A:A,'CKadeaTelcoRegistre_Maintenance'!F:F,"Non repertorié")</f>
        <v>ZTE</v>
      </c>
    </row>
    <row r="542" spans="1:9" ht="20.5" customHeight="1" x14ac:dyDescent="0.35">
      <c r="A542" s="1">
        <v>45207.908333333333</v>
      </c>
      <c r="B542" s="5" t="s">
        <v>415</v>
      </c>
      <c r="C542">
        <v>103</v>
      </c>
      <c r="D542" t="s">
        <v>5</v>
      </c>
      <c r="E542" t="str">
        <f>_xlfn.XLOOKUP(CKadeaTelcoLogs_Reseau[[#This Row],[Cell_ID]],'CKadeaTelcoRegistre_Maintenance'!A:A,'CKadeaTelcoRegistre_Maintenance'!B:B,"Non repertorié")</f>
        <v>Non repertorié</v>
      </c>
      <c r="F542" t="str">
        <f>_xlfn.XLOOKUP(CKadeaTelcoLogs_Reseau[[#This Row],[Cell_ID]],'CKadeaTelcoRegistre_Maintenance'!A:A,'CKadeaTelcoRegistre_Maintenance'!C:C,"Non repertorié")</f>
        <v>Non repertorié</v>
      </c>
      <c r="G542" t="str">
        <f>_xlfn.XLOOKUP(CKadeaTelcoLogs_Reseau[[#This Row],[Cell_ID]],'CKadeaTelcoRegistre_Maintenance'!A:A,'CKadeaTelcoRegistre_Maintenance'!D:D,"Non repertorié")</f>
        <v>Non repertorié</v>
      </c>
      <c r="H542" t="str">
        <f>_xlfn.XLOOKUP(CKadeaTelcoLogs_Reseau[[#This Row],[Cell_ID]],'CKadeaTelcoRegistre_Maintenance'!A:A,'CKadeaTelcoRegistre_Maintenance'!E:E,"Non repertorié")</f>
        <v>Non repertorié</v>
      </c>
      <c r="I542" t="str">
        <f>_xlfn.XLOOKUP(CKadeaTelcoLogs_Reseau[[#This Row],[Cell_ID]],'CKadeaTelcoRegistre_Maintenance'!A:A,'CKadeaTelcoRegistre_Maintenance'!F:F,"Non repertorié")</f>
        <v>Non repertorié</v>
      </c>
    </row>
    <row r="543" spans="1:9" ht="20.5" customHeight="1" x14ac:dyDescent="0.35">
      <c r="A543" s="1">
        <v>45219.106249999997</v>
      </c>
      <c r="B543" s="5" t="s">
        <v>416</v>
      </c>
      <c r="C543">
        <v>87</v>
      </c>
      <c r="D543" t="s">
        <v>8</v>
      </c>
      <c r="E543" t="str">
        <f>_xlfn.XLOOKUP(CKadeaTelcoLogs_Reseau[[#This Row],[Cell_ID]],'CKadeaTelcoRegistre_Maintenance'!A:A,'CKadeaTelcoRegistre_Maintenance'!B:B,"Non repertorié")</f>
        <v>Non repertorié</v>
      </c>
      <c r="F543" t="str">
        <f>_xlfn.XLOOKUP(CKadeaTelcoLogs_Reseau[[#This Row],[Cell_ID]],'CKadeaTelcoRegistre_Maintenance'!A:A,'CKadeaTelcoRegistre_Maintenance'!C:C,"Non repertorié")</f>
        <v>Non repertorié</v>
      </c>
      <c r="G543" t="str">
        <f>_xlfn.XLOOKUP(CKadeaTelcoLogs_Reseau[[#This Row],[Cell_ID]],'CKadeaTelcoRegistre_Maintenance'!A:A,'CKadeaTelcoRegistre_Maintenance'!D:D,"Non repertorié")</f>
        <v>Non repertorié</v>
      </c>
      <c r="H543" t="str">
        <f>_xlfn.XLOOKUP(CKadeaTelcoLogs_Reseau[[#This Row],[Cell_ID]],'CKadeaTelcoRegistre_Maintenance'!A:A,'CKadeaTelcoRegistre_Maintenance'!E:E,"Non repertorié")</f>
        <v>Non repertorié</v>
      </c>
      <c r="I543" t="str">
        <f>_xlfn.XLOOKUP(CKadeaTelcoLogs_Reseau[[#This Row],[Cell_ID]],'CKadeaTelcoRegistre_Maintenance'!A:A,'CKadeaTelcoRegistre_Maintenance'!F:F,"Non repertorié")</f>
        <v>Non repertorié</v>
      </c>
    </row>
    <row r="544" spans="1:9" ht="20.5" customHeight="1" x14ac:dyDescent="0.35">
      <c r="A544" s="1">
        <v>45214.697916666664</v>
      </c>
      <c r="B544" s="5" t="s">
        <v>417</v>
      </c>
      <c r="C544">
        <v>98</v>
      </c>
      <c r="D544" t="s">
        <v>10</v>
      </c>
      <c r="E544" t="str">
        <f>_xlfn.XLOOKUP(CKadeaTelcoLogs_Reseau[[#This Row],[Cell_ID]],'CKadeaTelcoRegistre_Maintenance'!A:A,'CKadeaTelcoRegistre_Maintenance'!B:B,"Non repertorié")</f>
        <v>Mai-Ndombe</v>
      </c>
      <c r="F544">
        <f>_xlfn.XLOOKUP(CKadeaTelcoLogs_Reseau[[#This Row],[Cell_ID]],'CKadeaTelcoRegistre_Maintenance'!A:A,'CKadeaTelcoRegistre_Maintenance'!C:C,"Non repertorié")</f>
        <v>-12.192204</v>
      </c>
      <c r="G544">
        <f>_xlfn.XLOOKUP(CKadeaTelcoLogs_Reseau[[#This Row],[Cell_ID]],'CKadeaTelcoRegistre_Maintenance'!A:A,'CKadeaTelcoRegistre_Maintenance'!D:D,"Non repertorié")</f>
        <v>28.468682000000001</v>
      </c>
      <c r="H544" t="str">
        <f>_xlfn.XLOOKUP(CKadeaTelcoLogs_Reseau[[#This Row],[Cell_ID]],'CKadeaTelcoRegistre_Maintenance'!A:A,'CKadeaTelcoRegistre_Maintenance'!E:E,"Non repertorié")</f>
        <v>3G</v>
      </c>
      <c r="I544" t="str">
        <f>_xlfn.XLOOKUP(CKadeaTelcoLogs_Reseau[[#This Row],[Cell_ID]],'CKadeaTelcoRegistre_Maintenance'!A:A,'CKadeaTelcoRegistre_Maintenance'!F:F,"Non repertorié")</f>
        <v>ZTE</v>
      </c>
    </row>
    <row r="545" spans="1:9" ht="20.5" customHeight="1" x14ac:dyDescent="0.35">
      <c r="A545" s="1">
        <v>45211.123611111114</v>
      </c>
      <c r="B545" s="5" t="s">
        <v>119</v>
      </c>
      <c r="C545">
        <v>87</v>
      </c>
      <c r="D545" t="s">
        <v>5</v>
      </c>
      <c r="E545" t="str">
        <f>_xlfn.XLOOKUP(CKadeaTelcoLogs_Reseau[[#This Row],[Cell_ID]],'CKadeaTelcoRegistre_Maintenance'!A:A,'CKadeaTelcoRegistre_Maintenance'!B:B,"Non repertorié")</f>
        <v>Non repertorié</v>
      </c>
      <c r="F545" t="str">
        <f>_xlfn.XLOOKUP(CKadeaTelcoLogs_Reseau[[#This Row],[Cell_ID]],'CKadeaTelcoRegistre_Maintenance'!A:A,'CKadeaTelcoRegistre_Maintenance'!C:C,"Non repertorié")</f>
        <v>Non repertorié</v>
      </c>
      <c r="G545" t="str">
        <f>_xlfn.XLOOKUP(CKadeaTelcoLogs_Reseau[[#This Row],[Cell_ID]],'CKadeaTelcoRegistre_Maintenance'!A:A,'CKadeaTelcoRegistre_Maintenance'!D:D,"Non repertorié")</f>
        <v>Non repertorié</v>
      </c>
      <c r="H545" t="str">
        <f>_xlfn.XLOOKUP(CKadeaTelcoLogs_Reseau[[#This Row],[Cell_ID]],'CKadeaTelcoRegistre_Maintenance'!A:A,'CKadeaTelcoRegistre_Maintenance'!E:E,"Non repertorié")</f>
        <v>Non repertorié</v>
      </c>
      <c r="I545" t="str">
        <f>_xlfn.XLOOKUP(CKadeaTelcoLogs_Reseau[[#This Row],[Cell_ID]],'CKadeaTelcoRegistre_Maintenance'!A:A,'CKadeaTelcoRegistre_Maintenance'!F:F,"Non repertorié")</f>
        <v>Non repertorié</v>
      </c>
    </row>
    <row r="546" spans="1:9" ht="20.5" customHeight="1" x14ac:dyDescent="0.35">
      <c r="A546" s="1">
        <v>45218.127083333333</v>
      </c>
      <c r="B546" s="5" t="s">
        <v>273</v>
      </c>
      <c r="C546">
        <v>58</v>
      </c>
      <c r="D546" t="s">
        <v>8</v>
      </c>
      <c r="E546" t="str">
        <f>_xlfn.XLOOKUP(CKadeaTelcoLogs_Reseau[[#This Row],[Cell_ID]],'CKadeaTelcoRegistre_Maintenance'!A:A,'CKadeaTelcoRegistre_Maintenance'!B:B,"Non repertorié")</f>
        <v>Sud-Kivu</v>
      </c>
      <c r="F546">
        <f>_xlfn.XLOOKUP(CKadeaTelcoLogs_Reseau[[#This Row],[Cell_ID]],'CKadeaTelcoRegistre_Maintenance'!A:A,'CKadeaTelcoRegistre_Maintenance'!C:C,"Non repertorié")</f>
        <v>1.2419519999999999</v>
      </c>
      <c r="G546">
        <f>_xlfn.XLOOKUP(CKadeaTelcoLogs_Reseau[[#This Row],[Cell_ID]],'CKadeaTelcoRegistre_Maintenance'!A:A,'CKadeaTelcoRegistre_Maintenance'!D:D,"Non repertorié")</f>
        <v>25.261382999999999</v>
      </c>
      <c r="H546" t="str">
        <f>_xlfn.XLOOKUP(CKadeaTelcoLogs_Reseau[[#This Row],[Cell_ID]],'CKadeaTelcoRegistre_Maintenance'!A:A,'CKadeaTelcoRegistre_Maintenance'!E:E,"Non repertorié")</f>
        <v>4G</v>
      </c>
      <c r="I546" t="str">
        <f>_xlfn.XLOOKUP(CKadeaTelcoLogs_Reseau[[#This Row],[Cell_ID]],'CKadeaTelcoRegistre_Maintenance'!A:A,'CKadeaTelcoRegistre_Maintenance'!F:F,"Non repertorié")</f>
        <v>Huawei</v>
      </c>
    </row>
    <row r="547" spans="1:9" ht="20.5" customHeight="1" x14ac:dyDescent="0.35">
      <c r="A547" s="1">
        <v>45226.747916666667</v>
      </c>
      <c r="B547" s="5" t="s">
        <v>418</v>
      </c>
      <c r="C547">
        <v>52</v>
      </c>
      <c r="D547" t="s">
        <v>8</v>
      </c>
      <c r="E547" t="str">
        <f>_xlfn.XLOOKUP(CKadeaTelcoLogs_Reseau[[#This Row],[Cell_ID]],'CKadeaTelcoRegistre_Maintenance'!A:A,'CKadeaTelcoRegistre_Maintenance'!B:B,"Non repertorié")</f>
        <v>Non repertorié</v>
      </c>
      <c r="F547" t="str">
        <f>_xlfn.XLOOKUP(CKadeaTelcoLogs_Reseau[[#This Row],[Cell_ID]],'CKadeaTelcoRegistre_Maintenance'!A:A,'CKadeaTelcoRegistre_Maintenance'!C:C,"Non repertorié")</f>
        <v>Non repertorié</v>
      </c>
      <c r="G547" t="str">
        <f>_xlfn.XLOOKUP(CKadeaTelcoLogs_Reseau[[#This Row],[Cell_ID]],'CKadeaTelcoRegistre_Maintenance'!A:A,'CKadeaTelcoRegistre_Maintenance'!D:D,"Non repertorié")</f>
        <v>Non repertorié</v>
      </c>
      <c r="H547" t="str">
        <f>_xlfn.XLOOKUP(CKadeaTelcoLogs_Reseau[[#This Row],[Cell_ID]],'CKadeaTelcoRegistre_Maintenance'!A:A,'CKadeaTelcoRegistre_Maintenance'!E:E,"Non repertorié")</f>
        <v>Non repertorié</v>
      </c>
      <c r="I547" t="str">
        <f>_xlfn.XLOOKUP(CKadeaTelcoLogs_Reseau[[#This Row],[Cell_ID]],'CKadeaTelcoRegistre_Maintenance'!A:A,'CKadeaTelcoRegistre_Maintenance'!F:F,"Non repertorié")</f>
        <v>Non repertorié</v>
      </c>
    </row>
    <row r="548" spans="1:9" ht="20.5" customHeight="1" x14ac:dyDescent="0.35">
      <c r="A548" s="1">
        <v>45216.275000000001</v>
      </c>
      <c r="B548" s="5" t="s">
        <v>419</v>
      </c>
      <c r="C548">
        <v>119</v>
      </c>
      <c r="D548" t="s">
        <v>10</v>
      </c>
      <c r="E548" t="str">
        <f>_xlfn.XLOOKUP(CKadeaTelcoLogs_Reseau[[#This Row],[Cell_ID]],'CKadeaTelcoRegistre_Maintenance'!A:A,'CKadeaTelcoRegistre_Maintenance'!B:B,"Non repertorié")</f>
        <v>Sud-Kivu</v>
      </c>
      <c r="F548">
        <f>_xlfn.XLOOKUP(CKadeaTelcoLogs_Reseau[[#This Row],[Cell_ID]],'CKadeaTelcoRegistre_Maintenance'!A:A,'CKadeaTelcoRegistre_Maintenance'!C:C,"Non repertorié")</f>
        <v>2.4414509999999998</v>
      </c>
      <c r="G548">
        <f>_xlfn.XLOOKUP(CKadeaTelcoLogs_Reseau[[#This Row],[Cell_ID]],'CKadeaTelcoRegistre_Maintenance'!A:A,'CKadeaTelcoRegistre_Maintenance'!D:D,"Non repertorié")</f>
        <v>30.167489</v>
      </c>
      <c r="H548" t="str">
        <f>_xlfn.XLOOKUP(CKadeaTelcoLogs_Reseau[[#This Row],[Cell_ID]],'CKadeaTelcoRegistre_Maintenance'!A:A,'CKadeaTelcoRegistre_Maintenance'!E:E,"Non repertorié")</f>
        <v>5G</v>
      </c>
      <c r="I548" t="str">
        <f>_xlfn.XLOOKUP(CKadeaTelcoLogs_Reseau[[#This Row],[Cell_ID]],'CKadeaTelcoRegistre_Maintenance'!A:A,'CKadeaTelcoRegistre_Maintenance'!F:F,"Non repertorié")</f>
        <v>Nokia</v>
      </c>
    </row>
    <row r="549" spans="1:9" ht="20.5" customHeight="1" x14ac:dyDescent="0.35">
      <c r="A549" s="1">
        <v>45217.173611111109</v>
      </c>
      <c r="B549" s="5" t="s">
        <v>136</v>
      </c>
      <c r="C549">
        <v>53</v>
      </c>
      <c r="D549" t="s">
        <v>8</v>
      </c>
      <c r="E549" t="str">
        <f>_xlfn.XLOOKUP(CKadeaTelcoLogs_Reseau[[#This Row],[Cell_ID]],'CKadeaTelcoRegistre_Maintenance'!A:A,'CKadeaTelcoRegistre_Maintenance'!B:B,"Non repertorié")</f>
        <v>Kinshasa</v>
      </c>
      <c r="F549">
        <f>_xlfn.XLOOKUP(CKadeaTelcoLogs_Reseau[[#This Row],[Cell_ID]],'CKadeaTelcoRegistre_Maintenance'!A:A,'CKadeaTelcoRegistre_Maintenance'!C:C,"Non repertorié")</f>
        <v>-1.6097570000000001</v>
      </c>
      <c r="G549">
        <f>_xlfn.XLOOKUP(CKadeaTelcoLogs_Reseau[[#This Row],[Cell_ID]],'CKadeaTelcoRegistre_Maintenance'!A:A,'CKadeaTelcoRegistre_Maintenance'!D:D,"Non repertorié")</f>
        <v>30.661662</v>
      </c>
      <c r="H549" t="str">
        <f>_xlfn.XLOOKUP(CKadeaTelcoLogs_Reseau[[#This Row],[Cell_ID]],'CKadeaTelcoRegistre_Maintenance'!A:A,'CKadeaTelcoRegistre_Maintenance'!E:E,"Non repertorié")</f>
        <v>4G</v>
      </c>
      <c r="I549" t="str">
        <f>_xlfn.XLOOKUP(CKadeaTelcoLogs_Reseau[[#This Row],[Cell_ID]],'CKadeaTelcoRegistre_Maintenance'!A:A,'CKadeaTelcoRegistre_Maintenance'!F:F,"Non repertorié")</f>
        <v>Ericsson</v>
      </c>
    </row>
    <row r="550" spans="1:9" ht="20.5" customHeight="1" x14ac:dyDescent="0.35">
      <c r="A550" s="1">
        <v>45210.686111111114</v>
      </c>
      <c r="B550" s="5" t="s">
        <v>420</v>
      </c>
      <c r="C550">
        <v>62</v>
      </c>
      <c r="D550" t="s">
        <v>8</v>
      </c>
      <c r="E550" t="str">
        <f>_xlfn.XLOOKUP(CKadeaTelcoLogs_Reseau[[#This Row],[Cell_ID]],'CKadeaTelcoRegistre_Maintenance'!A:A,'CKadeaTelcoRegistre_Maintenance'!B:B,"Non repertorié")</f>
        <v>Nord-Ubangi</v>
      </c>
      <c r="F550">
        <f>_xlfn.XLOOKUP(CKadeaTelcoLogs_Reseau[[#This Row],[Cell_ID]],'CKadeaTelcoRegistre_Maintenance'!A:A,'CKadeaTelcoRegistre_Maintenance'!C:C,"Non repertorié")</f>
        <v>8.5490999999999998E-2</v>
      </c>
      <c r="G550">
        <f>_xlfn.XLOOKUP(CKadeaTelcoLogs_Reseau[[#This Row],[Cell_ID]],'CKadeaTelcoRegistre_Maintenance'!A:A,'CKadeaTelcoRegistre_Maintenance'!D:D,"Non repertorié")</f>
        <v>26.296129000000001</v>
      </c>
      <c r="H550" t="str">
        <f>_xlfn.XLOOKUP(CKadeaTelcoLogs_Reseau[[#This Row],[Cell_ID]],'CKadeaTelcoRegistre_Maintenance'!A:A,'CKadeaTelcoRegistre_Maintenance'!E:E,"Non repertorié")</f>
        <v>3G</v>
      </c>
      <c r="I550" t="str">
        <f>_xlfn.XLOOKUP(CKadeaTelcoLogs_Reseau[[#This Row],[Cell_ID]],'CKadeaTelcoRegistre_Maintenance'!A:A,'CKadeaTelcoRegistre_Maintenance'!F:F,"Non repertorié")</f>
        <v>ZTE</v>
      </c>
    </row>
    <row r="551" spans="1:9" ht="20.5" customHeight="1" x14ac:dyDescent="0.35">
      <c r="A551" s="1">
        <v>45203.884027777778</v>
      </c>
      <c r="B551" s="5" t="s">
        <v>421</v>
      </c>
      <c r="C551">
        <v>116</v>
      </c>
      <c r="D551" t="s">
        <v>8</v>
      </c>
      <c r="E551" t="str">
        <f>_xlfn.XLOOKUP(CKadeaTelcoLogs_Reseau[[#This Row],[Cell_ID]],'CKadeaTelcoRegistre_Maintenance'!A:A,'CKadeaTelcoRegistre_Maintenance'!B:B,"Non repertorié")</f>
        <v>Non repertorié</v>
      </c>
      <c r="F551" t="str">
        <f>_xlfn.XLOOKUP(CKadeaTelcoLogs_Reseau[[#This Row],[Cell_ID]],'CKadeaTelcoRegistre_Maintenance'!A:A,'CKadeaTelcoRegistre_Maintenance'!C:C,"Non repertorié")</f>
        <v>Non repertorié</v>
      </c>
      <c r="G551" t="str">
        <f>_xlfn.XLOOKUP(CKadeaTelcoLogs_Reseau[[#This Row],[Cell_ID]],'CKadeaTelcoRegistre_Maintenance'!A:A,'CKadeaTelcoRegistre_Maintenance'!D:D,"Non repertorié")</f>
        <v>Non repertorié</v>
      </c>
      <c r="H551" t="str">
        <f>_xlfn.XLOOKUP(CKadeaTelcoLogs_Reseau[[#This Row],[Cell_ID]],'CKadeaTelcoRegistre_Maintenance'!A:A,'CKadeaTelcoRegistre_Maintenance'!E:E,"Non repertorié")</f>
        <v>Non repertorié</v>
      </c>
      <c r="I551" t="str">
        <f>_xlfn.XLOOKUP(CKadeaTelcoLogs_Reseau[[#This Row],[Cell_ID]],'CKadeaTelcoRegistre_Maintenance'!A:A,'CKadeaTelcoRegistre_Maintenance'!F:F,"Non repertorié")</f>
        <v>Non repertorié</v>
      </c>
    </row>
    <row r="552" spans="1:9" ht="20.5" customHeight="1" x14ac:dyDescent="0.35">
      <c r="A552" s="1">
        <v>45222.771527777775</v>
      </c>
      <c r="B552" s="5" t="s">
        <v>11</v>
      </c>
      <c r="C552">
        <v>53</v>
      </c>
      <c r="D552" t="s">
        <v>10</v>
      </c>
      <c r="E552" t="str">
        <f>_xlfn.XLOOKUP(CKadeaTelcoLogs_Reseau[[#This Row],[Cell_ID]],'CKadeaTelcoRegistre_Maintenance'!A:A,'CKadeaTelcoRegistre_Maintenance'!B:B,"Non repertorié")</f>
        <v>Non repertorié</v>
      </c>
      <c r="F552" t="str">
        <f>_xlfn.XLOOKUP(CKadeaTelcoLogs_Reseau[[#This Row],[Cell_ID]],'CKadeaTelcoRegistre_Maintenance'!A:A,'CKadeaTelcoRegistre_Maintenance'!C:C,"Non repertorié")</f>
        <v>Non repertorié</v>
      </c>
      <c r="G552" t="str">
        <f>_xlfn.XLOOKUP(CKadeaTelcoLogs_Reseau[[#This Row],[Cell_ID]],'CKadeaTelcoRegistre_Maintenance'!A:A,'CKadeaTelcoRegistre_Maintenance'!D:D,"Non repertorié")</f>
        <v>Non repertorié</v>
      </c>
      <c r="H552" t="str">
        <f>_xlfn.XLOOKUP(CKadeaTelcoLogs_Reseau[[#This Row],[Cell_ID]],'CKadeaTelcoRegistre_Maintenance'!A:A,'CKadeaTelcoRegistre_Maintenance'!E:E,"Non repertorié")</f>
        <v>Non repertorié</v>
      </c>
      <c r="I552" t="str">
        <f>_xlfn.XLOOKUP(CKadeaTelcoLogs_Reseau[[#This Row],[Cell_ID]],'CKadeaTelcoRegistre_Maintenance'!A:A,'CKadeaTelcoRegistre_Maintenance'!F:F,"Non repertorié")</f>
        <v>Non repertorié</v>
      </c>
    </row>
    <row r="553" spans="1:9" ht="20.5" customHeight="1" x14ac:dyDescent="0.35">
      <c r="A553" s="1">
        <v>45202.686111111114</v>
      </c>
      <c r="B553" s="5" t="s">
        <v>422</v>
      </c>
      <c r="C553">
        <v>53</v>
      </c>
      <c r="D553" t="s">
        <v>5</v>
      </c>
      <c r="E553" t="str">
        <f>_xlfn.XLOOKUP(CKadeaTelcoLogs_Reseau[[#This Row],[Cell_ID]],'CKadeaTelcoRegistre_Maintenance'!A:A,'CKadeaTelcoRegistre_Maintenance'!B:B,"Non repertorié")</f>
        <v>Non repertorié</v>
      </c>
      <c r="F553" t="str">
        <f>_xlfn.XLOOKUP(CKadeaTelcoLogs_Reseau[[#This Row],[Cell_ID]],'CKadeaTelcoRegistre_Maintenance'!A:A,'CKadeaTelcoRegistre_Maintenance'!C:C,"Non repertorié")</f>
        <v>Non repertorié</v>
      </c>
      <c r="G553" t="str">
        <f>_xlfn.XLOOKUP(CKadeaTelcoLogs_Reseau[[#This Row],[Cell_ID]],'CKadeaTelcoRegistre_Maintenance'!A:A,'CKadeaTelcoRegistre_Maintenance'!D:D,"Non repertorié")</f>
        <v>Non repertorié</v>
      </c>
      <c r="H553" t="str">
        <f>_xlfn.XLOOKUP(CKadeaTelcoLogs_Reseau[[#This Row],[Cell_ID]],'CKadeaTelcoRegistre_Maintenance'!A:A,'CKadeaTelcoRegistre_Maintenance'!E:E,"Non repertorié")</f>
        <v>Non repertorié</v>
      </c>
      <c r="I553" t="str">
        <f>_xlfn.XLOOKUP(CKadeaTelcoLogs_Reseau[[#This Row],[Cell_ID]],'CKadeaTelcoRegistre_Maintenance'!A:A,'CKadeaTelcoRegistre_Maintenance'!F:F,"Non repertorié")</f>
        <v>Non repertorié</v>
      </c>
    </row>
    <row r="554" spans="1:9" ht="20.5" customHeight="1" x14ac:dyDescent="0.35">
      <c r="A554" s="1">
        <v>45225.061805555553</v>
      </c>
      <c r="B554" s="5" t="s">
        <v>423</v>
      </c>
      <c r="C554">
        <v>15</v>
      </c>
      <c r="D554" t="s">
        <v>10</v>
      </c>
      <c r="E554" t="str">
        <f>_xlfn.XLOOKUP(CKadeaTelcoLogs_Reseau[[#This Row],[Cell_ID]],'CKadeaTelcoRegistre_Maintenance'!A:A,'CKadeaTelcoRegistre_Maintenance'!B:B,"Non repertorié")</f>
        <v>Non repertorié</v>
      </c>
      <c r="F554" t="str">
        <f>_xlfn.XLOOKUP(CKadeaTelcoLogs_Reseau[[#This Row],[Cell_ID]],'CKadeaTelcoRegistre_Maintenance'!A:A,'CKadeaTelcoRegistre_Maintenance'!C:C,"Non repertorié")</f>
        <v>Non repertorié</v>
      </c>
      <c r="G554" t="str">
        <f>_xlfn.XLOOKUP(CKadeaTelcoLogs_Reseau[[#This Row],[Cell_ID]],'CKadeaTelcoRegistre_Maintenance'!A:A,'CKadeaTelcoRegistre_Maintenance'!D:D,"Non repertorié")</f>
        <v>Non repertorié</v>
      </c>
      <c r="H554" t="str">
        <f>_xlfn.XLOOKUP(CKadeaTelcoLogs_Reseau[[#This Row],[Cell_ID]],'CKadeaTelcoRegistre_Maintenance'!A:A,'CKadeaTelcoRegistre_Maintenance'!E:E,"Non repertorié")</f>
        <v>Non repertorié</v>
      </c>
      <c r="I554" t="str">
        <f>_xlfn.XLOOKUP(CKadeaTelcoLogs_Reseau[[#This Row],[Cell_ID]],'CKadeaTelcoRegistre_Maintenance'!A:A,'CKadeaTelcoRegistre_Maintenance'!F:F,"Non repertorié")</f>
        <v>Non repertorié</v>
      </c>
    </row>
    <row r="555" spans="1:9" ht="20.5" customHeight="1" x14ac:dyDescent="0.35">
      <c r="A555" s="1">
        <v>45204.68472222222</v>
      </c>
      <c r="B555" s="5" t="s">
        <v>424</v>
      </c>
      <c r="C555">
        <v>92</v>
      </c>
      <c r="D555" t="s">
        <v>5</v>
      </c>
      <c r="E555" t="str">
        <f>_xlfn.XLOOKUP(CKadeaTelcoLogs_Reseau[[#This Row],[Cell_ID]],'CKadeaTelcoRegistre_Maintenance'!A:A,'CKadeaTelcoRegistre_Maintenance'!B:B,"Non repertorié")</f>
        <v>Non repertorié</v>
      </c>
      <c r="F555" t="str">
        <f>_xlfn.XLOOKUP(CKadeaTelcoLogs_Reseau[[#This Row],[Cell_ID]],'CKadeaTelcoRegistre_Maintenance'!A:A,'CKadeaTelcoRegistre_Maintenance'!C:C,"Non repertorié")</f>
        <v>Non repertorié</v>
      </c>
      <c r="G555" t="str">
        <f>_xlfn.XLOOKUP(CKadeaTelcoLogs_Reseau[[#This Row],[Cell_ID]],'CKadeaTelcoRegistre_Maintenance'!A:A,'CKadeaTelcoRegistre_Maintenance'!D:D,"Non repertorié")</f>
        <v>Non repertorié</v>
      </c>
      <c r="H555" t="str">
        <f>_xlfn.XLOOKUP(CKadeaTelcoLogs_Reseau[[#This Row],[Cell_ID]],'CKadeaTelcoRegistre_Maintenance'!A:A,'CKadeaTelcoRegistre_Maintenance'!E:E,"Non repertorié")</f>
        <v>Non repertorié</v>
      </c>
      <c r="I555" t="str">
        <f>_xlfn.XLOOKUP(CKadeaTelcoLogs_Reseau[[#This Row],[Cell_ID]],'CKadeaTelcoRegistre_Maintenance'!A:A,'CKadeaTelcoRegistre_Maintenance'!F:F,"Non repertorié")</f>
        <v>Non repertorié</v>
      </c>
    </row>
    <row r="556" spans="1:9" ht="20.5" customHeight="1" x14ac:dyDescent="0.35">
      <c r="A556" s="1">
        <v>45214.752083333333</v>
      </c>
      <c r="B556" s="5" t="s">
        <v>425</v>
      </c>
      <c r="C556">
        <v>89</v>
      </c>
      <c r="D556" t="s">
        <v>8</v>
      </c>
      <c r="E556" t="str">
        <f>_xlfn.XLOOKUP(CKadeaTelcoLogs_Reseau[[#This Row],[Cell_ID]],'CKadeaTelcoRegistre_Maintenance'!A:A,'CKadeaTelcoRegistre_Maintenance'!B:B,"Non repertorié")</f>
        <v>Non repertorié</v>
      </c>
      <c r="F556" t="str">
        <f>_xlfn.XLOOKUP(CKadeaTelcoLogs_Reseau[[#This Row],[Cell_ID]],'CKadeaTelcoRegistre_Maintenance'!A:A,'CKadeaTelcoRegistre_Maintenance'!C:C,"Non repertorié")</f>
        <v>Non repertorié</v>
      </c>
      <c r="G556" t="str">
        <f>_xlfn.XLOOKUP(CKadeaTelcoLogs_Reseau[[#This Row],[Cell_ID]],'CKadeaTelcoRegistre_Maintenance'!A:A,'CKadeaTelcoRegistre_Maintenance'!D:D,"Non repertorié")</f>
        <v>Non repertorié</v>
      </c>
      <c r="H556" t="str">
        <f>_xlfn.XLOOKUP(CKadeaTelcoLogs_Reseau[[#This Row],[Cell_ID]],'CKadeaTelcoRegistre_Maintenance'!A:A,'CKadeaTelcoRegistre_Maintenance'!E:E,"Non repertorié")</f>
        <v>Non repertorié</v>
      </c>
      <c r="I556" t="str">
        <f>_xlfn.XLOOKUP(CKadeaTelcoLogs_Reseau[[#This Row],[Cell_ID]],'CKadeaTelcoRegistre_Maintenance'!A:A,'CKadeaTelcoRegistre_Maintenance'!F:F,"Non repertorié")</f>
        <v>Non repertorié</v>
      </c>
    </row>
    <row r="557" spans="1:9" ht="20.5" customHeight="1" x14ac:dyDescent="0.35">
      <c r="A557" s="1">
        <v>45225.406944444447</v>
      </c>
      <c r="B557" s="5" t="s">
        <v>426</v>
      </c>
      <c r="C557">
        <v>74</v>
      </c>
      <c r="D557" t="s">
        <v>5</v>
      </c>
      <c r="E557" t="str">
        <f>_xlfn.XLOOKUP(CKadeaTelcoLogs_Reseau[[#This Row],[Cell_ID]],'CKadeaTelcoRegistre_Maintenance'!A:A,'CKadeaTelcoRegistre_Maintenance'!B:B,"Non repertorié")</f>
        <v>Kwango</v>
      </c>
      <c r="F557">
        <f>_xlfn.XLOOKUP(CKadeaTelcoLogs_Reseau[[#This Row],[Cell_ID]],'CKadeaTelcoRegistre_Maintenance'!A:A,'CKadeaTelcoRegistre_Maintenance'!C:C,"Non repertorié")</f>
        <v>-4.6957509999999996</v>
      </c>
      <c r="G557">
        <f>_xlfn.XLOOKUP(CKadeaTelcoLogs_Reseau[[#This Row],[Cell_ID]],'CKadeaTelcoRegistre_Maintenance'!A:A,'CKadeaTelcoRegistre_Maintenance'!D:D,"Non repertorié")</f>
        <v>14.233525999999999</v>
      </c>
      <c r="H557" t="str">
        <f>_xlfn.XLOOKUP(CKadeaTelcoLogs_Reseau[[#This Row],[Cell_ID]],'CKadeaTelcoRegistre_Maintenance'!A:A,'CKadeaTelcoRegistre_Maintenance'!E:E,"Non repertorié")</f>
        <v>4G</v>
      </c>
      <c r="I557" t="str">
        <f>_xlfn.XLOOKUP(CKadeaTelcoLogs_Reseau[[#This Row],[Cell_ID]],'CKadeaTelcoRegistre_Maintenance'!A:A,'CKadeaTelcoRegistre_Maintenance'!F:F,"Non repertorié")</f>
        <v>Nokia</v>
      </c>
    </row>
    <row r="558" spans="1:9" ht="20.5" customHeight="1" x14ac:dyDescent="0.35">
      <c r="A558" s="1">
        <v>45200.511111111111</v>
      </c>
      <c r="B558" s="5" t="s">
        <v>427</v>
      </c>
      <c r="C558">
        <v>22</v>
      </c>
      <c r="D558" t="s">
        <v>10</v>
      </c>
      <c r="E558" t="str">
        <f>_xlfn.XLOOKUP(CKadeaTelcoLogs_Reseau[[#This Row],[Cell_ID]],'CKadeaTelcoRegistre_Maintenance'!A:A,'CKadeaTelcoRegistre_Maintenance'!B:B,"Non repertorié")</f>
        <v>Kwilu</v>
      </c>
      <c r="F558">
        <f>_xlfn.XLOOKUP(CKadeaTelcoLogs_Reseau[[#This Row],[Cell_ID]],'CKadeaTelcoRegistre_Maintenance'!A:A,'CKadeaTelcoRegistre_Maintenance'!C:C,"Non repertorié")</f>
        <v>-10.939712999999999</v>
      </c>
      <c r="G558">
        <f>_xlfn.XLOOKUP(CKadeaTelcoLogs_Reseau[[#This Row],[Cell_ID]],'CKadeaTelcoRegistre_Maintenance'!A:A,'CKadeaTelcoRegistre_Maintenance'!D:D,"Non repertorié")</f>
        <v>18.276230999999999</v>
      </c>
      <c r="H558" t="str">
        <f>_xlfn.XLOOKUP(CKadeaTelcoLogs_Reseau[[#This Row],[Cell_ID]],'CKadeaTelcoRegistre_Maintenance'!A:A,'CKadeaTelcoRegistre_Maintenance'!E:E,"Non repertorié")</f>
        <v>4G</v>
      </c>
      <c r="I558" t="str">
        <f>_xlfn.XLOOKUP(CKadeaTelcoLogs_Reseau[[#This Row],[Cell_ID]],'CKadeaTelcoRegistre_Maintenance'!A:A,'CKadeaTelcoRegistre_Maintenance'!F:F,"Non repertorié")</f>
        <v>ZTE</v>
      </c>
    </row>
    <row r="559" spans="1:9" ht="20.5" customHeight="1" x14ac:dyDescent="0.35">
      <c r="A559" s="1">
        <v>45221.565972222219</v>
      </c>
      <c r="B559" s="5" t="s">
        <v>428</v>
      </c>
      <c r="C559">
        <v>87</v>
      </c>
      <c r="D559" t="s">
        <v>8</v>
      </c>
      <c r="E559" t="str">
        <f>_xlfn.XLOOKUP(CKadeaTelcoLogs_Reseau[[#This Row],[Cell_ID]],'CKadeaTelcoRegistre_Maintenance'!A:A,'CKadeaTelcoRegistre_Maintenance'!B:B,"Non repertorié")</f>
        <v>Tshopo</v>
      </c>
      <c r="F559">
        <f>_xlfn.XLOOKUP(CKadeaTelcoLogs_Reseau[[#This Row],[Cell_ID]],'CKadeaTelcoRegistre_Maintenance'!A:A,'CKadeaTelcoRegistre_Maintenance'!C:C,"Non repertorié")</f>
        <v>4.7777349999999998</v>
      </c>
      <c r="G559">
        <f>_xlfn.XLOOKUP(CKadeaTelcoLogs_Reseau[[#This Row],[Cell_ID]],'CKadeaTelcoRegistre_Maintenance'!A:A,'CKadeaTelcoRegistre_Maintenance'!D:D,"Non repertorié")</f>
        <v>16.392204</v>
      </c>
      <c r="H559" t="str">
        <f>_xlfn.XLOOKUP(CKadeaTelcoLogs_Reseau[[#This Row],[Cell_ID]],'CKadeaTelcoRegistre_Maintenance'!A:A,'CKadeaTelcoRegistre_Maintenance'!E:E,"Non repertorié")</f>
        <v>5G</v>
      </c>
      <c r="I559" t="str">
        <f>_xlfn.XLOOKUP(CKadeaTelcoLogs_Reseau[[#This Row],[Cell_ID]],'CKadeaTelcoRegistre_Maintenance'!A:A,'CKadeaTelcoRegistre_Maintenance'!F:F,"Non repertorié")</f>
        <v>ZTE</v>
      </c>
    </row>
    <row r="560" spans="1:9" ht="20.5" customHeight="1" x14ac:dyDescent="0.35">
      <c r="A560" s="1">
        <v>45215.056944444441</v>
      </c>
      <c r="B560" s="5" t="s">
        <v>414</v>
      </c>
      <c r="C560">
        <v>99</v>
      </c>
      <c r="D560" t="s">
        <v>8</v>
      </c>
      <c r="E560" t="str">
        <f>_xlfn.XLOOKUP(CKadeaTelcoLogs_Reseau[[#This Row],[Cell_ID]],'CKadeaTelcoRegistre_Maintenance'!A:A,'CKadeaTelcoRegistre_Maintenance'!B:B,"Non repertorié")</f>
        <v>Kinshasa</v>
      </c>
      <c r="F560">
        <f>_xlfn.XLOOKUP(CKadeaTelcoLogs_Reseau[[#This Row],[Cell_ID]],'CKadeaTelcoRegistre_Maintenance'!A:A,'CKadeaTelcoRegistre_Maintenance'!C:C,"Non repertorié")</f>
        <v>-2.6665070000000002</v>
      </c>
      <c r="G560">
        <f>_xlfn.XLOOKUP(CKadeaTelcoLogs_Reseau[[#This Row],[Cell_ID]],'CKadeaTelcoRegistre_Maintenance'!A:A,'CKadeaTelcoRegistre_Maintenance'!D:D,"Non repertorié")</f>
        <v>18.623692999999999</v>
      </c>
      <c r="H560" t="str">
        <f>_xlfn.XLOOKUP(CKadeaTelcoLogs_Reseau[[#This Row],[Cell_ID]],'CKadeaTelcoRegistre_Maintenance'!A:A,'CKadeaTelcoRegistre_Maintenance'!E:E,"Non repertorié")</f>
        <v>3G</v>
      </c>
      <c r="I560" t="str">
        <f>_xlfn.XLOOKUP(CKadeaTelcoLogs_Reseau[[#This Row],[Cell_ID]],'CKadeaTelcoRegistre_Maintenance'!A:A,'CKadeaTelcoRegistre_Maintenance'!F:F,"Non repertorié")</f>
        <v>ZTE</v>
      </c>
    </row>
    <row r="561" spans="1:9" ht="20.5" customHeight="1" x14ac:dyDescent="0.35">
      <c r="A561" s="1">
        <v>45230.862500000003</v>
      </c>
      <c r="B561" s="5" t="s">
        <v>73</v>
      </c>
      <c r="C561">
        <v>67</v>
      </c>
      <c r="D561" t="s">
        <v>5</v>
      </c>
      <c r="E561" t="str">
        <f>_xlfn.XLOOKUP(CKadeaTelcoLogs_Reseau[[#This Row],[Cell_ID]],'CKadeaTelcoRegistre_Maintenance'!A:A,'CKadeaTelcoRegistre_Maintenance'!B:B,"Non repertorié")</f>
        <v>Tanganyika</v>
      </c>
      <c r="F561">
        <f>_xlfn.XLOOKUP(CKadeaTelcoLogs_Reseau[[#This Row],[Cell_ID]],'CKadeaTelcoRegistre_Maintenance'!A:A,'CKadeaTelcoRegistre_Maintenance'!C:C,"Non repertorié")</f>
        <v>-2.099631</v>
      </c>
      <c r="G561">
        <f>_xlfn.XLOOKUP(CKadeaTelcoLogs_Reseau[[#This Row],[Cell_ID]],'CKadeaTelcoRegistre_Maintenance'!A:A,'CKadeaTelcoRegistre_Maintenance'!D:D,"Non repertorié")</f>
        <v>13.974640000000001</v>
      </c>
      <c r="H561" t="str">
        <f>_xlfn.XLOOKUP(CKadeaTelcoLogs_Reseau[[#This Row],[Cell_ID]],'CKadeaTelcoRegistre_Maintenance'!A:A,'CKadeaTelcoRegistre_Maintenance'!E:E,"Non repertorié")</f>
        <v>3G</v>
      </c>
      <c r="I561" t="str">
        <f>_xlfn.XLOOKUP(CKadeaTelcoLogs_Reseau[[#This Row],[Cell_ID]],'CKadeaTelcoRegistre_Maintenance'!A:A,'CKadeaTelcoRegistre_Maintenance'!F:F,"Non repertorié")</f>
        <v>Nokia</v>
      </c>
    </row>
    <row r="562" spans="1:9" ht="20.5" customHeight="1" x14ac:dyDescent="0.35">
      <c r="A562" s="1">
        <v>45212.680555555555</v>
      </c>
      <c r="B562" s="5" t="s">
        <v>429</v>
      </c>
      <c r="C562">
        <v>63</v>
      </c>
      <c r="D562" t="s">
        <v>5</v>
      </c>
      <c r="E562" t="str">
        <f>_xlfn.XLOOKUP(CKadeaTelcoLogs_Reseau[[#This Row],[Cell_ID]],'CKadeaTelcoRegistre_Maintenance'!A:A,'CKadeaTelcoRegistre_Maintenance'!B:B,"Non repertorié")</f>
        <v>Non repertorié</v>
      </c>
      <c r="F562" t="str">
        <f>_xlfn.XLOOKUP(CKadeaTelcoLogs_Reseau[[#This Row],[Cell_ID]],'CKadeaTelcoRegistre_Maintenance'!A:A,'CKadeaTelcoRegistre_Maintenance'!C:C,"Non repertorié")</f>
        <v>Non repertorié</v>
      </c>
      <c r="G562" t="str">
        <f>_xlfn.XLOOKUP(CKadeaTelcoLogs_Reseau[[#This Row],[Cell_ID]],'CKadeaTelcoRegistre_Maintenance'!A:A,'CKadeaTelcoRegistre_Maintenance'!D:D,"Non repertorié")</f>
        <v>Non repertorié</v>
      </c>
      <c r="H562" t="str">
        <f>_xlfn.XLOOKUP(CKadeaTelcoLogs_Reseau[[#This Row],[Cell_ID]],'CKadeaTelcoRegistre_Maintenance'!A:A,'CKadeaTelcoRegistre_Maintenance'!E:E,"Non repertorié")</f>
        <v>Non repertorié</v>
      </c>
      <c r="I562" t="str">
        <f>_xlfn.XLOOKUP(CKadeaTelcoLogs_Reseau[[#This Row],[Cell_ID]],'CKadeaTelcoRegistre_Maintenance'!A:A,'CKadeaTelcoRegistre_Maintenance'!F:F,"Non repertorié")</f>
        <v>Non repertorié</v>
      </c>
    </row>
    <row r="563" spans="1:9" ht="20.5" customHeight="1" x14ac:dyDescent="0.35">
      <c r="A563" s="1">
        <v>45222.55972222222</v>
      </c>
      <c r="B563" s="5" t="s">
        <v>430</v>
      </c>
      <c r="C563">
        <v>26</v>
      </c>
      <c r="D563" t="s">
        <v>10</v>
      </c>
      <c r="E563" t="str">
        <f>_xlfn.XLOOKUP(CKadeaTelcoLogs_Reseau[[#This Row],[Cell_ID]],'CKadeaTelcoRegistre_Maintenance'!A:A,'CKadeaTelcoRegistre_Maintenance'!B:B,"Non repertorié")</f>
        <v>Non repertorié</v>
      </c>
      <c r="F563" t="str">
        <f>_xlfn.XLOOKUP(CKadeaTelcoLogs_Reseau[[#This Row],[Cell_ID]],'CKadeaTelcoRegistre_Maintenance'!A:A,'CKadeaTelcoRegistre_Maintenance'!C:C,"Non repertorié")</f>
        <v>Non repertorié</v>
      </c>
      <c r="G563" t="str">
        <f>_xlfn.XLOOKUP(CKadeaTelcoLogs_Reseau[[#This Row],[Cell_ID]],'CKadeaTelcoRegistre_Maintenance'!A:A,'CKadeaTelcoRegistre_Maintenance'!D:D,"Non repertorié")</f>
        <v>Non repertorié</v>
      </c>
      <c r="H563" t="str">
        <f>_xlfn.XLOOKUP(CKadeaTelcoLogs_Reseau[[#This Row],[Cell_ID]],'CKadeaTelcoRegistre_Maintenance'!A:A,'CKadeaTelcoRegistre_Maintenance'!E:E,"Non repertorié")</f>
        <v>Non repertorié</v>
      </c>
      <c r="I563" t="str">
        <f>_xlfn.XLOOKUP(CKadeaTelcoLogs_Reseau[[#This Row],[Cell_ID]],'CKadeaTelcoRegistre_Maintenance'!A:A,'CKadeaTelcoRegistre_Maintenance'!F:F,"Non repertorié")</f>
        <v>Non repertorié</v>
      </c>
    </row>
    <row r="564" spans="1:9" ht="20.5" customHeight="1" x14ac:dyDescent="0.35">
      <c r="A564" s="1">
        <v>45204.39166666667</v>
      </c>
      <c r="B564" s="5" t="s">
        <v>154</v>
      </c>
      <c r="C564">
        <v>98</v>
      </c>
      <c r="D564" t="s">
        <v>10</v>
      </c>
      <c r="E564" t="str">
        <f>_xlfn.XLOOKUP(CKadeaTelcoLogs_Reseau[[#This Row],[Cell_ID]],'CKadeaTelcoRegistre_Maintenance'!A:A,'CKadeaTelcoRegistre_Maintenance'!B:B,"Non repertorié")</f>
        <v>Non repertorié</v>
      </c>
      <c r="F564" t="str">
        <f>_xlfn.XLOOKUP(CKadeaTelcoLogs_Reseau[[#This Row],[Cell_ID]],'CKadeaTelcoRegistre_Maintenance'!A:A,'CKadeaTelcoRegistre_Maintenance'!C:C,"Non repertorié")</f>
        <v>Non repertorié</v>
      </c>
      <c r="G564" t="str">
        <f>_xlfn.XLOOKUP(CKadeaTelcoLogs_Reseau[[#This Row],[Cell_ID]],'CKadeaTelcoRegistre_Maintenance'!A:A,'CKadeaTelcoRegistre_Maintenance'!D:D,"Non repertorié")</f>
        <v>Non repertorié</v>
      </c>
      <c r="H564" t="str">
        <f>_xlfn.XLOOKUP(CKadeaTelcoLogs_Reseau[[#This Row],[Cell_ID]],'CKadeaTelcoRegistre_Maintenance'!A:A,'CKadeaTelcoRegistre_Maintenance'!E:E,"Non repertorié")</f>
        <v>Non repertorié</v>
      </c>
      <c r="I564" t="str">
        <f>_xlfn.XLOOKUP(CKadeaTelcoLogs_Reseau[[#This Row],[Cell_ID]],'CKadeaTelcoRegistre_Maintenance'!A:A,'CKadeaTelcoRegistre_Maintenance'!F:F,"Non repertorié")</f>
        <v>Non repertorié</v>
      </c>
    </row>
    <row r="565" spans="1:9" ht="20.5" customHeight="1" x14ac:dyDescent="0.35">
      <c r="A565" s="1">
        <v>45205.729166666664</v>
      </c>
      <c r="B565" s="5" t="s">
        <v>431</v>
      </c>
      <c r="C565">
        <v>106</v>
      </c>
      <c r="D565" t="s">
        <v>10</v>
      </c>
      <c r="E565" t="str">
        <f>_xlfn.XLOOKUP(CKadeaTelcoLogs_Reseau[[#This Row],[Cell_ID]],'CKadeaTelcoRegistre_Maintenance'!A:A,'CKadeaTelcoRegistre_Maintenance'!B:B,"Non repertorié")</f>
        <v>Haut-Katanga</v>
      </c>
      <c r="F565">
        <f>_xlfn.XLOOKUP(CKadeaTelcoLogs_Reseau[[#This Row],[Cell_ID]],'CKadeaTelcoRegistre_Maintenance'!A:A,'CKadeaTelcoRegistre_Maintenance'!C:C,"Non repertorié")</f>
        <v>-4.4958720000000003</v>
      </c>
      <c r="G565">
        <f>_xlfn.XLOOKUP(CKadeaTelcoLogs_Reseau[[#This Row],[Cell_ID]],'CKadeaTelcoRegistre_Maintenance'!A:A,'CKadeaTelcoRegistre_Maintenance'!D:D,"Non repertorié")</f>
        <v>18.514112000000001</v>
      </c>
      <c r="H565" t="str">
        <f>_xlfn.XLOOKUP(CKadeaTelcoLogs_Reseau[[#This Row],[Cell_ID]],'CKadeaTelcoRegistre_Maintenance'!A:A,'CKadeaTelcoRegistre_Maintenance'!E:E,"Non repertorié")</f>
        <v>4G</v>
      </c>
      <c r="I565" t="str">
        <f>_xlfn.XLOOKUP(CKadeaTelcoLogs_Reseau[[#This Row],[Cell_ID]],'CKadeaTelcoRegistre_Maintenance'!A:A,'CKadeaTelcoRegistre_Maintenance'!F:F,"Non repertorié")</f>
        <v>Nokia</v>
      </c>
    </row>
    <row r="566" spans="1:9" ht="20.5" customHeight="1" x14ac:dyDescent="0.35">
      <c r="A566" s="1">
        <v>45207.304861111108</v>
      </c>
      <c r="B566" s="5" t="s">
        <v>9</v>
      </c>
      <c r="C566">
        <v>50</v>
      </c>
      <c r="D566" t="s">
        <v>8</v>
      </c>
      <c r="E566" t="str">
        <f>_xlfn.XLOOKUP(CKadeaTelcoLogs_Reseau[[#This Row],[Cell_ID]],'CKadeaTelcoRegistre_Maintenance'!A:A,'CKadeaTelcoRegistre_Maintenance'!B:B,"Non repertorié")</f>
        <v>Non repertorié</v>
      </c>
      <c r="F566" t="str">
        <f>_xlfn.XLOOKUP(CKadeaTelcoLogs_Reseau[[#This Row],[Cell_ID]],'CKadeaTelcoRegistre_Maintenance'!A:A,'CKadeaTelcoRegistre_Maintenance'!C:C,"Non repertorié")</f>
        <v>Non repertorié</v>
      </c>
      <c r="G566" t="str">
        <f>_xlfn.XLOOKUP(CKadeaTelcoLogs_Reseau[[#This Row],[Cell_ID]],'CKadeaTelcoRegistre_Maintenance'!A:A,'CKadeaTelcoRegistre_Maintenance'!D:D,"Non repertorié")</f>
        <v>Non repertorié</v>
      </c>
      <c r="H566" t="str">
        <f>_xlfn.XLOOKUP(CKadeaTelcoLogs_Reseau[[#This Row],[Cell_ID]],'CKadeaTelcoRegistre_Maintenance'!A:A,'CKadeaTelcoRegistre_Maintenance'!E:E,"Non repertorié")</f>
        <v>Non repertorié</v>
      </c>
      <c r="I566" t="str">
        <f>_xlfn.XLOOKUP(CKadeaTelcoLogs_Reseau[[#This Row],[Cell_ID]],'CKadeaTelcoRegistre_Maintenance'!A:A,'CKadeaTelcoRegistre_Maintenance'!F:F,"Non repertorié")</f>
        <v>Non repertorié</v>
      </c>
    </row>
    <row r="567" spans="1:9" ht="20.5" customHeight="1" x14ac:dyDescent="0.35">
      <c r="A567" s="1">
        <v>45227.92291666667</v>
      </c>
      <c r="B567" s="5" t="s">
        <v>127</v>
      </c>
      <c r="C567">
        <v>26</v>
      </c>
      <c r="D567" t="s">
        <v>10</v>
      </c>
      <c r="E567" t="str">
        <f>_xlfn.XLOOKUP(CKadeaTelcoLogs_Reseau[[#This Row],[Cell_ID]],'CKadeaTelcoRegistre_Maintenance'!A:A,'CKadeaTelcoRegistre_Maintenance'!B:B,"Non repertorié")</f>
        <v>Nord-Kivu</v>
      </c>
      <c r="F567">
        <f>_xlfn.XLOOKUP(CKadeaTelcoLogs_Reseau[[#This Row],[Cell_ID]],'CKadeaTelcoRegistre_Maintenance'!A:A,'CKadeaTelcoRegistre_Maintenance'!C:C,"Non repertorié")</f>
        <v>-10.25074</v>
      </c>
      <c r="G567">
        <f>_xlfn.XLOOKUP(CKadeaTelcoLogs_Reseau[[#This Row],[Cell_ID]],'CKadeaTelcoRegistre_Maintenance'!A:A,'CKadeaTelcoRegistre_Maintenance'!D:D,"Non repertorié")</f>
        <v>26.099086</v>
      </c>
      <c r="H567" t="str">
        <f>_xlfn.XLOOKUP(CKadeaTelcoLogs_Reseau[[#This Row],[Cell_ID]],'CKadeaTelcoRegistre_Maintenance'!A:A,'CKadeaTelcoRegistre_Maintenance'!E:E,"Non repertorié")</f>
        <v>4G</v>
      </c>
      <c r="I567" t="str">
        <f>_xlfn.XLOOKUP(CKadeaTelcoLogs_Reseau[[#This Row],[Cell_ID]],'CKadeaTelcoRegistre_Maintenance'!A:A,'CKadeaTelcoRegistre_Maintenance'!F:F,"Non repertorié")</f>
        <v>Huawei</v>
      </c>
    </row>
    <row r="568" spans="1:9" ht="20.5" customHeight="1" x14ac:dyDescent="0.35">
      <c r="A568" s="1">
        <v>45225.623611111114</v>
      </c>
      <c r="B568" s="5" t="s">
        <v>432</v>
      </c>
      <c r="C568">
        <v>22</v>
      </c>
      <c r="D568" t="s">
        <v>5</v>
      </c>
      <c r="E568" t="str">
        <f>_xlfn.XLOOKUP(CKadeaTelcoLogs_Reseau[[#This Row],[Cell_ID]],'CKadeaTelcoRegistre_Maintenance'!A:A,'CKadeaTelcoRegistre_Maintenance'!B:B,"Non repertorié")</f>
        <v>Mai-Ndombe</v>
      </c>
      <c r="F568">
        <f>_xlfn.XLOOKUP(CKadeaTelcoLogs_Reseau[[#This Row],[Cell_ID]],'CKadeaTelcoRegistre_Maintenance'!A:A,'CKadeaTelcoRegistre_Maintenance'!C:C,"Non repertorié")</f>
        <v>-0.47411900000000001</v>
      </c>
      <c r="G568">
        <f>_xlfn.XLOOKUP(CKadeaTelcoLogs_Reseau[[#This Row],[Cell_ID]],'CKadeaTelcoRegistre_Maintenance'!A:A,'CKadeaTelcoRegistre_Maintenance'!D:D,"Non repertorié")</f>
        <v>27.184329000000002</v>
      </c>
      <c r="H568" t="str">
        <f>_xlfn.XLOOKUP(CKadeaTelcoLogs_Reseau[[#This Row],[Cell_ID]],'CKadeaTelcoRegistre_Maintenance'!A:A,'CKadeaTelcoRegistre_Maintenance'!E:E,"Non repertorié")</f>
        <v>5G</v>
      </c>
      <c r="I568" t="str">
        <f>_xlfn.XLOOKUP(CKadeaTelcoLogs_Reseau[[#This Row],[Cell_ID]],'CKadeaTelcoRegistre_Maintenance'!A:A,'CKadeaTelcoRegistre_Maintenance'!F:F,"Non repertorié")</f>
        <v>ZTE</v>
      </c>
    </row>
    <row r="569" spans="1:9" ht="20.5" customHeight="1" x14ac:dyDescent="0.35">
      <c r="A569" s="1">
        <v>45201.726388888892</v>
      </c>
      <c r="B569" s="5" t="s">
        <v>433</v>
      </c>
      <c r="C569">
        <v>97</v>
      </c>
      <c r="D569" t="s">
        <v>8</v>
      </c>
      <c r="E569" t="str">
        <f>_xlfn.XLOOKUP(CKadeaTelcoLogs_Reseau[[#This Row],[Cell_ID]],'CKadeaTelcoRegistre_Maintenance'!A:A,'CKadeaTelcoRegistre_Maintenance'!B:B,"Non repertorié")</f>
        <v>Kasai-Oriental</v>
      </c>
      <c r="F569">
        <f>_xlfn.XLOOKUP(CKadeaTelcoLogs_Reseau[[#This Row],[Cell_ID]],'CKadeaTelcoRegistre_Maintenance'!A:A,'CKadeaTelcoRegistre_Maintenance'!C:C,"Non repertorié")</f>
        <v>-4.3639070000000002</v>
      </c>
      <c r="G569">
        <f>_xlfn.XLOOKUP(CKadeaTelcoLogs_Reseau[[#This Row],[Cell_ID]],'CKadeaTelcoRegistre_Maintenance'!A:A,'CKadeaTelcoRegistre_Maintenance'!D:D,"Non repertorié")</f>
        <v>16.283307000000001</v>
      </c>
      <c r="H569" t="str">
        <f>_xlfn.XLOOKUP(CKadeaTelcoLogs_Reseau[[#This Row],[Cell_ID]],'CKadeaTelcoRegistre_Maintenance'!A:A,'CKadeaTelcoRegistre_Maintenance'!E:E,"Non repertorié")</f>
        <v>5G</v>
      </c>
      <c r="I569" t="str">
        <f>_xlfn.XLOOKUP(CKadeaTelcoLogs_Reseau[[#This Row],[Cell_ID]],'CKadeaTelcoRegistre_Maintenance'!A:A,'CKadeaTelcoRegistre_Maintenance'!F:F,"Non repertorié")</f>
        <v>Huawei</v>
      </c>
    </row>
    <row r="570" spans="1:9" ht="20.5" customHeight="1" x14ac:dyDescent="0.35">
      <c r="A570" s="1">
        <v>45230.565972222219</v>
      </c>
      <c r="B570" s="5" t="s">
        <v>154</v>
      </c>
      <c r="C570">
        <v>74</v>
      </c>
      <c r="D570" t="s">
        <v>5</v>
      </c>
      <c r="E570" t="str">
        <f>_xlfn.XLOOKUP(CKadeaTelcoLogs_Reseau[[#This Row],[Cell_ID]],'CKadeaTelcoRegistre_Maintenance'!A:A,'CKadeaTelcoRegistre_Maintenance'!B:B,"Non repertorié")</f>
        <v>Non repertorié</v>
      </c>
      <c r="F570" t="str">
        <f>_xlfn.XLOOKUP(CKadeaTelcoLogs_Reseau[[#This Row],[Cell_ID]],'CKadeaTelcoRegistre_Maintenance'!A:A,'CKadeaTelcoRegistre_Maintenance'!C:C,"Non repertorié")</f>
        <v>Non repertorié</v>
      </c>
      <c r="G570" t="str">
        <f>_xlfn.XLOOKUP(CKadeaTelcoLogs_Reseau[[#This Row],[Cell_ID]],'CKadeaTelcoRegistre_Maintenance'!A:A,'CKadeaTelcoRegistre_Maintenance'!D:D,"Non repertorié")</f>
        <v>Non repertorié</v>
      </c>
      <c r="H570" t="str">
        <f>_xlfn.XLOOKUP(CKadeaTelcoLogs_Reseau[[#This Row],[Cell_ID]],'CKadeaTelcoRegistre_Maintenance'!A:A,'CKadeaTelcoRegistre_Maintenance'!E:E,"Non repertorié")</f>
        <v>Non repertorié</v>
      </c>
      <c r="I570" t="str">
        <f>_xlfn.XLOOKUP(CKadeaTelcoLogs_Reseau[[#This Row],[Cell_ID]],'CKadeaTelcoRegistre_Maintenance'!A:A,'CKadeaTelcoRegistre_Maintenance'!F:F,"Non repertorié")</f>
        <v>Non repertorié</v>
      </c>
    </row>
    <row r="571" spans="1:9" ht="20.5" customHeight="1" x14ac:dyDescent="0.35">
      <c r="A571" s="1">
        <v>45216.183333333334</v>
      </c>
      <c r="B571" s="5" t="s">
        <v>303</v>
      </c>
      <c r="C571">
        <v>67</v>
      </c>
      <c r="D571" t="s">
        <v>8</v>
      </c>
      <c r="E571" t="str">
        <f>_xlfn.XLOOKUP(CKadeaTelcoLogs_Reseau[[#This Row],[Cell_ID]],'CKadeaTelcoRegistre_Maintenance'!A:A,'CKadeaTelcoRegistre_Maintenance'!B:B,"Non repertorié")</f>
        <v>Lualaba</v>
      </c>
      <c r="F571">
        <f>_xlfn.XLOOKUP(CKadeaTelcoLogs_Reseau[[#This Row],[Cell_ID]],'CKadeaTelcoRegistre_Maintenance'!A:A,'CKadeaTelcoRegistre_Maintenance'!C:C,"Non repertorié")</f>
        <v>-10.967288</v>
      </c>
      <c r="G571">
        <f>_xlfn.XLOOKUP(CKadeaTelcoLogs_Reseau[[#This Row],[Cell_ID]],'CKadeaTelcoRegistre_Maintenance'!A:A,'CKadeaTelcoRegistre_Maintenance'!D:D,"Non repertorié")</f>
        <v>17.617781000000001</v>
      </c>
      <c r="H571" t="str">
        <f>_xlfn.XLOOKUP(CKadeaTelcoLogs_Reseau[[#This Row],[Cell_ID]],'CKadeaTelcoRegistre_Maintenance'!A:A,'CKadeaTelcoRegistre_Maintenance'!E:E,"Non repertorié")</f>
        <v>4G</v>
      </c>
      <c r="I571" t="str">
        <f>_xlfn.XLOOKUP(CKadeaTelcoLogs_Reseau[[#This Row],[Cell_ID]],'CKadeaTelcoRegistre_Maintenance'!A:A,'CKadeaTelcoRegistre_Maintenance'!F:F,"Non repertorié")</f>
        <v>Ericsson</v>
      </c>
    </row>
    <row r="572" spans="1:9" ht="20.5" customHeight="1" x14ac:dyDescent="0.35">
      <c r="A572" s="1">
        <v>45207.342361111114</v>
      </c>
      <c r="B572" s="5" t="s">
        <v>434</v>
      </c>
      <c r="C572">
        <v>28</v>
      </c>
      <c r="D572" t="s">
        <v>5</v>
      </c>
      <c r="E572" t="str">
        <f>_xlfn.XLOOKUP(CKadeaTelcoLogs_Reseau[[#This Row],[Cell_ID]],'CKadeaTelcoRegistre_Maintenance'!A:A,'CKadeaTelcoRegistre_Maintenance'!B:B,"Non repertorié")</f>
        <v>Bas-Uele</v>
      </c>
      <c r="F572">
        <f>_xlfn.XLOOKUP(CKadeaTelcoLogs_Reseau[[#This Row],[Cell_ID]],'CKadeaTelcoRegistre_Maintenance'!A:A,'CKadeaTelcoRegistre_Maintenance'!C:C,"Non repertorié")</f>
        <v>0.40267799999999998</v>
      </c>
      <c r="G572">
        <f>_xlfn.XLOOKUP(CKadeaTelcoLogs_Reseau[[#This Row],[Cell_ID]],'CKadeaTelcoRegistre_Maintenance'!A:A,'CKadeaTelcoRegistre_Maintenance'!D:D,"Non repertorié")</f>
        <v>16.000858000000001</v>
      </c>
      <c r="H572" t="str">
        <f>_xlfn.XLOOKUP(CKadeaTelcoLogs_Reseau[[#This Row],[Cell_ID]],'CKadeaTelcoRegistre_Maintenance'!A:A,'CKadeaTelcoRegistre_Maintenance'!E:E,"Non repertorié")</f>
        <v>3G</v>
      </c>
      <c r="I572" t="str">
        <f>_xlfn.XLOOKUP(CKadeaTelcoLogs_Reseau[[#This Row],[Cell_ID]],'CKadeaTelcoRegistre_Maintenance'!A:A,'CKadeaTelcoRegistre_Maintenance'!F:F,"Non repertorié")</f>
        <v>Nokia</v>
      </c>
    </row>
    <row r="573" spans="1:9" ht="20.5" customHeight="1" x14ac:dyDescent="0.35">
      <c r="A573" s="1">
        <v>45210.836805555555</v>
      </c>
      <c r="B573" s="5" t="s">
        <v>435</v>
      </c>
      <c r="C573">
        <v>118</v>
      </c>
      <c r="D573" t="s">
        <v>5</v>
      </c>
      <c r="E573" t="str">
        <f>_xlfn.XLOOKUP(CKadeaTelcoLogs_Reseau[[#This Row],[Cell_ID]],'CKadeaTelcoRegistre_Maintenance'!A:A,'CKadeaTelcoRegistre_Maintenance'!B:B,"Non repertorié")</f>
        <v>Mongala</v>
      </c>
      <c r="F573">
        <f>_xlfn.XLOOKUP(CKadeaTelcoLogs_Reseau[[#This Row],[Cell_ID]],'CKadeaTelcoRegistre_Maintenance'!A:A,'CKadeaTelcoRegistre_Maintenance'!C:C,"Non repertorié")</f>
        <v>-11.407966</v>
      </c>
      <c r="G573">
        <f>_xlfn.XLOOKUP(CKadeaTelcoLogs_Reseau[[#This Row],[Cell_ID]],'CKadeaTelcoRegistre_Maintenance'!A:A,'CKadeaTelcoRegistre_Maintenance'!D:D,"Non repertorié")</f>
        <v>28.378274000000001</v>
      </c>
      <c r="H573" t="str">
        <f>_xlfn.XLOOKUP(CKadeaTelcoLogs_Reseau[[#This Row],[Cell_ID]],'CKadeaTelcoRegistre_Maintenance'!A:A,'CKadeaTelcoRegistre_Maintenance'!E:E,"Non repertorié")</f>
        <v>4G</v>
      </c>
      <c r="I573" t="str">
        <f>_xlfn.XLOOKUP(CKadeaTelcoLogs_Reseau[[#This Row],[Cell_ID]],'CKadeaTelcoRegistre_Maintenance'!A:A,'CKadeaTelcoRegistre_Maintenance'!F:F,"Non repertorié")</f>
        <v>ZTE</v>
      </c>
    </row>
    <row r="574" spans="1:9" ht="20.5" customHeight="1" x14ac:dyDescent="0.35">
      <c r="A574" s="1">
        <v>45229.620833333334</v>
      </c>
      <c r="B574" s="5" t="s">
        <v>436</v>
      </c>
      <c r="C574">
        <v>74</v>
      </c>
      <c r="D574" t="s">
        <v>10</v>
      </c>
      <c r="E574" t="str">
        <f>_xlfn.XLOOKUP(CKadeaTelcoLogs_Reseau[[#This Row],[Cell_ID]],'CKadeaTelcoRegistre_Maintenance'!A:A,'CKadeaTelcoRegistre_Maintenance'!B:B,"Non repertorié")</f>
        <v>Haut-Uele</v>
      </c>
      <c r="F574">
        <f>_xlfn.XLOOKUP(CKadeaTelcoLogs_Reseau[[#This Row],[Cell_ID]],'CKadeaTelcoRegistre_Maintenance'!A:A,'CKadeaTelcoRegistre_Maintenance'!C:C,"Non repertorié")</f>
        <v>-12.488033</v>
      </c>
      <c r="G574">
        <f>_xlfn.XLOOKUP(CKadeaTelcoLogs_Reseau[[#This Row],[Cell_ID]],'CKadeaTelcoRegistre_Maintenance'!A:A,'CKadeaTelcoRegistre_Maintenance'!D:D,"Non repertorié")</f>
        <v>16.139648000000001</v>
      </c>
      <c r="H574" t="str">
        <f>_xlfn.XLOOKUP(CKadeaTelcoLogs_Reseau[[#This Row],[Cell_ID]],'CKadeaTelcoRegistre_Maintenance'!A:A,'CKadeaTelcoRegistre_Maintenance'!E:E,"Non repertorié")</f>
        <v>4G</v>
      </c>
      <c r="I574" t="str">
        <f>_xlfn.XLOOKUP(CKadeaTelcoLogs_Reseau[[#This Row],[Cell_ID]],'CKadeaTelcoRegistre_Maintenance'!A:A,'CKadeaTelcoRegistre_Maintenance'!F:F,"Non repertorié")</f>
        <v>Huawei</v>
      </c>
    </row>
    <row r="575" spans="1:9" ht="20.5" customHeight="1" x14ac:dyDescent="0.35">
      <c r="A575" s="1">
        <v>45211.106944444444</v>
      </c>
      <c r="B575" s="5" t="s">
        <v>91</v>
      </c>
      <c r="C575">
        <v>87</v>
      </c>
      <c r="D575" t="s">
        <v>10</v>
      </c>
      <c r="E575" t="str">
        <f>_xlfn.XLOOKUP(CKadeaTelcoLogs_Reseau[[#This Row],[Cell_ID]],'CKadeaTelcoRegistre_Maintenance'!A:A,'CKadeaTelcoRegistre_Maintenance'!B:B,"Non repertorié")</f>
        <v>Sud-Kivu</v>
      </c>
      <c r="F575">
        <f>_xlfn.XLOOKUP(CKadeaTelcoLogs_Reseau[[#This Row],[Cell_ID]],'CKadeaTelcoRegistre_Maintenance'!A:A,'CKadeaTelcoRegistre_Maintenance'!C:C,"Non repertorié")</f>
        <v>-5.2526849999999996</v>
      </c>
      <c r="G575">
        <f>_xlfn.XLOOKUP(CKadeaTelcoLogs_Reseau[[#This Row],[Cell_ID]],'CKadeaTelcoRegistre_Maintenance'!A:A,'CKadeaTelcoRegistre_Maintenance'!D:D,"Non repertorié")</f>
        <v>12.374528</v>
      </c>
      <c r="H575" t="str">
        <f>_xlfn.XLOOKUP(CKadeaTelcoLogs_Reseau[[#This Row],[Cell_ID]],'CKadeaTelcoRegistre_Maintenance'!A:A,'CKadeaTelcoRegistre_Maintenance'!E:E,"Non repertorié")</f>
        <v>3G</v>
      </c>
      <c r="I575" t="str">
        <f>_xlfn.XLOOKUP(CKadeaTelcoLogs_Reseau[[#This Row],[Cell_ID]],'CKadeaTelcoRegistre_Maintenance'!A:A,'CKadeaTelcoRegistre_Maintenance'!F:F,"Non repertorié")</f>
        <v>Nokia</v>
      </c>
    </row>
    <row r="576" spans="1:9" ht="20.5" customHeight="1" x14ac:dyDescent="0.35">
      <c r="A576" s="1">
        <v>45223.252083333333</v>
      </c>
      <c r="B576" s="5" t="s">
        <v>245</v>
      </c>
      <c r="C576">
        <v>12</v>
      </c>
      <c r="D576" t="s">
        <v>8</v>
      </c>
      <c r="E576" t="str">
        <f>_xlfn.XLOOKUP(CKadeaTelcoLogs_Reseau[[#This Row],[Cell_ID]],'CKadeaTelcoRegistre_Maintenance'!A:A,'CKadeaTelcoRegistre_Maintenance'!B:B,"Non repertorié")</f>
        <v>Nord-Kivu</v>
      </c>
      <c r="F576">
        <f>_xlfn.XLOOKUP(CKadeaTelcoLogs_Reseau[[#This Row],[Cell_ID]],'CKadeaTelcoRegistre_Maintenance'!A:A,'CKadeaTelcoRegistre_Maintenance'!C:C,"Non repertorié")</f>
        <v>-10.846306999999999</v>
      </c>
      <c r="G576">
        <f>_xlfn.XLOOKUP(CKadeaTelcoLogs_Reseau[[#This Row],[Cell_ID]],'CKadeaTelcoRegistre_Maintenance'!A:A,'CKadeaTelcoRegistre_Maintenance'!D:D,"Non repertorié")</f>
        <v>19.201827999999999</v>
      </c>
      <c r="H576" t="str">
        <f>_xlfn.XLOOKUP(CKadeaTelcoLogs_Reseau[[#This Row],[Cell_ID]],'CKadeaTelcoRegistre_Maintenance'!A:A,'CKadeaTelcoRegistre_Maintenance'!E:E,"Non repertorié")</f>
        <v>4G</v>
      </c>
      <c r="I576" t="str">
        <f>_xlfn.XLOOKUP(CKadeaTelcoLogs_Reseau[[#This Row],[Cell_ID]],'CKadeaTelcoRegistre_Maintenance'!A:A,'CKadeaTelcoRegistre_Maintenance'!F:F,"Non repertorié")</f>
        <v>Ericsson</v>
      </c>
    </row>
    <row r="577" spans="1:9" ht="20.5" customHeight="1" x14ac:dyDescent="0.35">
      <c r="A577" s="1">
        <v>45208.529861111114</v>
      </c>
      <c r="B577" s="5" t="s">
        <v>437</v>
      </c>
      <c r="C577">
        <v>72</v>
      </c>
      <c r="D577" t="s">
        <v>10</v>
      </c>
      <c r="E577" t="str">
        <f>_xlfn.XLOOKUP(CKadeaTelcoLogs_Reseau[[#This Row],[Cell_ID]],'CKadeaTelcoRegistre_Maintenance'!A:A,'CKadeaTelcoRegistre_Maintenance'!B:B,"Non repertorié")</f>
        <v>Non repertorié</v>
      </c>
      <c r="F577" t="str">
        <f>_xlfn.XLOOKUP(CKadeaTelcoLogs_Reseau[[#This Row],[Cell_ID]],'CKadeaTelcoRegistre_Maintenance'!A:A,'CKadeaTelcoRegistre_Maintenance'!C:C,"Non repertorié")</f>
        <v>Non repertorié</v>
      </c>
      <c r="G577" t="str">
        <f>_xlfn.XLOOKUP(CKadeaTelcoLogs_Reseau[[#This Row],[Cell_ID]],'CKadeaTelcoRegistre_Maintenance'!A:A,'CKadeaTelcoRegistre_Maintenance'!D:D,"Non repertorié")</f>
        <v>Non repertorié</v>
      </c>
      <c r="H577" t="str">
        <f>_xlfn.XLOOKUP(CKadeaTelcoLogs_Reseau[[#This Row],[Cell_ID]],'CKadeaTelcoRegistre_Maintenance'!A:A,'CKadeaTelcoRegistre_Maintenance'!E:E,"Non repertorié")</f>
        <v>Non repertorié</v>
      </c>
      <c r="I577" t="str">
        <f>_xlfn.XLOOKUP(CKadeaTelcoLogs_Reseau[[#This Row],[Cell_ID]],'CKadeaTelcoRegistre_Maintenance'!A:A,'CKadeaTelcoRegistre_Maintenance'!F:F,"Non repertorié")</f>
        <v>Non repertorié</v>
      </c>
    </row>
    <row r="578" spans="1:9" ht="20.5" customHeight="1" x14ac:dyDescent="0.35">
      <c r="A578" s="1">
        <v>45219.793055555558</v>
      </c>
      <c r="B578" s="5" t="s">
        <v>225</v>
      </c>
      <c r="C578">
        <v>9</v>
      </c>
      <c r="D578" t="s">
        <v>8</v>
      </c>
      <c r="E578" t="str">
        <f>_xlfn.XLOOKUP(CKadeaTelcoLogs_Reseau[[#This Row],[Cell_ID]],'CKadeaTelcoRegistre_Maintenance'!A:A,'CKadeaTelcoRegistre_Maintenance'!B:B,"Non repertorié")</f>
        <v>Non repertorié</v>
      </c>
      <c r="F578" t="str">
        <f>_xlfn.XLOOKUP(CKadeaTelcoLogs_Reseau[[#This Row],[Cell_ID]],'CKadeaTelcoRegistre_Maintenance'!A:A,'CKadeaTelcoRegistre_Maintenance'!C:C,"Non repertorié")</f>
        <v>Non repertorié</v>
      </c>
      <c r="G578" t="str">
        <f>_xlfn.XLOOKUP(CKadeaTelcoLogs_Reseau[[#This Row],[Cell_ID]],'CKadeaTelcoRegistre_Maintenance'!A:A,'CKadeaTelcoRegistre_Maintenance'!D:D,"Non repertorié")</f>
        <v>Non repertorié</v>
      </c>
      <c r="H578" t="str">
        <f>_xlfn.XLOOKUP(CKadeaTelcoLogs_Reseau[[#This Row],[Cell_ID]],'CKadeaTelcoRegistre_Maintenance'!A:A,'CKadeaTelcoRegistre_Maintenance'!E:E,"Non repertorié")</f>
        <v>Non repertorié</v>
      </c>
      <c r="I578" t="str">
        <f>_xlfn.XLOOKUP(CKadeaTelcoLogs_Reseau[[#This Row],[Cell_ID]],'CKadeaTelcoRegistre_Maintenance'!A:A,'CKadeaTelcoRegistre_Maintenance'!F:F,"Non repertorié")</f>
        <v>Non repertorié</v>
      </c>
    </row>
    <row r="579" spans="1:9" ht="20.5" customHeight="1" x14ac:dyDescent="0.35">
      <c r="A579" s="1">
        <v>45227.091666666667</v>
      </c>
      <c r="B579" s="5" t="s">
        <v>438</v>
      </c>
      <c r="C579">
        <v>112</v>
      </c>
      <c r="D579" t="s">
        <v>5</v>
      </c>
      <c r="E579" t="str">
        <f>_xlfn.XLOOKUP(CKadeaTelcoLogs_Reseau[[#This Row],[Cell_ID]],'CKadeaTelcoRegistre_Maintenance'!A:A,'CKadeaTelcoRegistre_Maintenance'!B:B,"Non repertorié")</f>
        <v>Kwilu</v>
      </c>
      <c r="F579">
        <f>_xlfn.XLOOKUP(CKadeaTelcoLogs_Reseau[[#This Row],[Cell_ID]],'CKadeaTelcoRegistre_Maintenance'!A:A,'CKadeaTelcoRegistre_Maintenance'!C:C,"Non repertorié")</f>
        <v>-10.161428000000001</v>
      </c>
      <c r="G579">
        <f>_xlfn.XLOOKUP(CKadeaTelcoLogs_Reseau[[#This Row],[Cell_ID]],'CKadeaTelcoRegistre_Maintenance'!A:A,'CKadeaTelcoRegistre_Maintenance'!D:D,"Non repertorié")</f>
        <v>19.362325999999999</v>
      </c>
      <c r="H579" t="str">
        <f>_xlfn.XLOOKUP(CKadeaTelcoLogs_Reseau[[#This Row],[Cell_ID]],'CKadeaTelcoRegistre_Maintenance'!A:A,'CKadeaTelcoRegistre_Maintenance'!E:E,"Non repertorié")</f>
        <v>3G</v>
      </c>
      <c r="I579" t="str">
        <f>_xlfn.XLOOKUP(CKadeaTelcoLogs_Reseau[[#This Row],[Cell_ID]],'CKadeaTelcoRegistre_Maintenance'!A:A,'CKadeaTelcoRegistre_Maintenance'!F:F,"Non repertorié")</f>
        <v>Nokia</v>
      </c>
    </row>
    <row r="580" spans="1:9" ht="20.5" customHeight="1" x14ac:dyDescent="0.35">
      <c r="A580" s="1">
        <v>45225.781944444447</v>
      </c>
      <c r="B580" s="5" t="s">
        <v>439</v>
      </c>
      <c r="C580">
        <v>113</v>
      </c>
      <c r="D580" t="s">
        <v>8</v>
      </c>
      <c r="E580" t="str">
        <f>_xlfn.XLOOKUP(CKadeaTelcoLogs_Reseau[[#This Row],[Cell_ID]],'CKadeaTelcoRegistre_Maintenance'!A:A,'CKadeaTelcoRegistre_Maintenance'!B:B,"Non repertorié")</f>
        <v>Tanganyika</v>
      </c>
      <c r="F580">
        <f>_xlfn.XLOOKUP(CKadeaTelcoLogs_Reseau[[#This Row],[Cell_ID]],'CKadeaTelcoRegistre_Maintenance'!A:A,'CKadeaTelcoRegistre_Maintenance'!C:C,"Non repertorié")</f>
        <v>-7.9425049999999997</v>
      </c>
      <c r="G580">
        <f>_xlfn.XLOOKUP(CKadeaTelcoLogs_Reseau[[#This Row],[Cell_ID]],'CKadeaTelcoRegistre_Maintenance'!A:A,'CKadeaTelcoRegistre_Maintenance'!D:D,"Non repertorié")</f>
        <v>24.111059000000001</v>
      </c>
      <c r="H580" t="str">
        <f>_xlfn.XLOOKUP(CKadeaTelcoLogs_Reseau[[#This Row],[Cell_ID]],'CKadeaTelcoRegistre_Maintenance'!A:A,'CKadeaTelcoRegistre_Maintenance'!E:E,"Non repertorié")</f>
        <v>3G</v>
      </c>
      <c r="I580" t="str">
        <f>_xlfn.XLOOKUP(CKadeaTelcoLogs_Reseau[[#This Row],[Cell_ID]],'CKadeaTelcoRegistre_Maintenance'!A:A,'CKadeaTelcoRegistre_Maintenance'!F:F,"Non repertorié")</f>
        <v>ZTE</v>
      </c>
    </row>
    <row r="581" spans="1:9" ht="20.5" customHeight="1" x14ac:dyDescent="0.35">
      <c r="A581" s="1">
        <v>45221.717361111114</v>
      </c>
      <c r="B581" s="5" t="s">
        <v>35</v>
      </c>
      <c r="C581">
        <v>14</v>
      </c>
      <c r="D581" t="s">
        <v>5</v>
      </c>
      <c r="E581" t="str">
        <f>_xlfn.XLOOKUP(CKadeaTelcoLogs_Reseau[[#This Row],[Cell_ID]],'CKadeaTelcoRegistre_Maintenance'!A:A,'CKadeaTelcoRegistre_Maintenance'!B:B,"Non repertorié")</f>
        <v>Tanganyika</v>
      </c>
      <c r="F581">
        <f>_xlfn.XLOOKUP(CKadeaTelcoLogs_Reseau[[#This Row],[Cell_ID]],'CKadeaTelcoRegistre_Maintenance'!A:A,'CKadeaTelcoRegistre_Maintenance'!C:C,"Non repertorié")</f>
        <v>-2.4662510000000002</v>
      </c>
      <c r="G581">
        <f>_xlfn.XLOOKUP(CKadeaTelcoLogs_Reseau[[#This Row],[Cell_ID]],'CKadeaTelcoRegistre_Maintenance'!A:A,'CKadeaTelcoRegistre_Maintenance'!D:D,"Non repertorié")</f>
        <v>18.007998000000001</v>
      </c>
      <c r="H581" t="str">
        <f>_xlfn.XLOOKUP(CKadeaTelcoLogs_Reseau[[#This Row],[Cell_ID]],'CKadeaTelcoRegistre_Maintenance'!A:A,'CKadeaTelcoRegistre_Maintenance'!E:E,"Non repertorié")</f>
        <v>5G</v>
      </c>
      <c r="I581" t="str">
        <f>_xlfn.XLOOKUP(CKadeaTelcoLogs_Reseau[[#This Row],[Cell_ID]],'CKadeaTelcoRegistre_Maintenance'!A:A,'CKadeaTelcoRegistre_Maintenance'!F:F,"Non repertorié")</f>
        <v>Ericsson</v>
      </c>
    </row>
    <row r="582" spans="1:9" ht="20.5" customHeight="1" x14ac:dyDescent="0.35">
      <c r="A582" s="1">
        <v>45215.288194444445</v>
      </c>
      <c r="B582" s="5" t="s">
        <v>440</v>
      </c>
      <c r="C582">
        <v>109</v>
      </c>
      <c r="D582" t="s">
        <v>5</v>
      </c>
      <c r="E582" t="str">
        <f>_xlfn.XLOOKUP(CKadeaTelcoLogs_Reseau[[#This Row],[Cell_ID]],'CKadeaTelcoRegistre_Maintenance'!A:A,'CKadeaTelcoRegistre_Maintenance'!B:B,"Non repertorié")</f>
        <v>Kongo-Central</v>
      </c>
      <c r="F582">
        <f>_xlfn.XLOOKUP(CKadeaTelcoLogs_Reseau[[#This Row],[Cell_ID]],'CKadeaTelcoRegistre_Maintenance'!A:A,'CKadeaTelcoRegistre_Maintenance'!C:C,"Non repertorié")</f>
        <v>-11.157245</v>
      </c>
      <c r="G582">
        <f>_xlfn.XLOOKUP(CKadeaTelcoLogs_Reseau[[#This Row],[Cell_ID]],'CKadeaTelcoRegistre_Maintenance'!A:A,'CKadeaTelcoRegistre_Maintenance'!D:D,"Non repertorié")</f>
        <v>21.262627999999999</v>
      </c>
      <c r="H582" t="str">
        <f>_xlfn.XLOOKUP(CKadeaTelcoLogs_Reseau[[#This Row],[Cell_ID]],'CKadeaTelcoRegistre_Maintenance'!A:A,'CKadeaTelcoRegistre_Maintenance'!E:E,"Non repertorié")</f>
        <v>5G</v>
      </c>
      <c r="I582" t="str">
        <f>_xlfn.XLOOKUP(CKadeaTelcoLogs_Reseau[[#This Row],[Cell_ID]],'CKadeaTelcoRegistre_Maintenance'!A:A,'CKadeaTelcoRegistre_Maintenance'!F:F,"Non repertorié")</f>
        <v>ZTE</v>
      </c>
    </row>
    <row r="583" spans="1:9" ht="20.5" customHeight="1" x14ac:dyDescent="0.35">
      <c r="A583" s="1">
        <v>45229.429861111108</v>
      </c>
      <c r="B583" s="5" t="s">
        <v>282</v>
      </c>
      <c r="C583">
        <v>90</v>
      </c>
      <c r="D583" t="s">
        <v>5</v>
      </c>
      <c r="E583" t="str">
        <f>_xlfn.XLOOKUP(CKadeaTelcoLogs_Reseau[[#This Row],[Cell_ID]],'CKadeaTelcoRegistre_Maintenance'!A:A,'CKadeaTelcoRegistre_Maintenance'!B:B,"Non repertorié")</f>
        <v>Non repertorié</v>
      </c>
      <c r="F583" t="str">
        <f>_xlfn.XLOOKUP(CKadeaTelcoLogs_Reseau[[#This Row],[Cell_ID]],'CKadeaTelcoRegistre_Maintenance'!A:A,'CKadeaTelcoRegistre_Maintenance'!C:C,"Non repertorié")</f>
        <v>Non repertorié</v>
      </c>
      <c r="G583" t="str">
        <f>_xlfn.XLOOKUP(CKadeaTelcoLogs_Reseau[[#This Row],[Cell_ID]],'CKadeaTelcoRegistre_Maintenance'!A:A,'CKadeaTelcoRegistre_Maintenance'!D:D,"Non repertorié")</f>
        <v>Non repertorié</v>
      </c>
      <c r="H583" t="str">
        <f>_xlfn.XLOOKUP(CKadeaTelcoLogs_Reseau[[#This Row],[Cell_ID]],'CKadeaTelcoRegistre_Maintenance'!A:A,'CKadeaTelcoRegistre_Maintenance'!E:E,"Non repertorié")</f>
        <v>Non repertorié</v>
      </c>
      <c r="I583" t="str">
        <f>_xlfn.XLOOKUP(CKadeaTelcoLogs_Reseau[[#This Row],[Cell_ID]],'CKadeaTelcoRegistre_Maintenance'!A:A,'CKadeaTelcoRegistre_Maintenance'!F:F,"Non repertorié")</f>
        <v>Non repertorié</v>
      </c>
    </row>
    <row r="584" spans="1:9" ht="20.5" customHeight="1" x14ac:dyDescent="0.35">
      <c r="A584" s="1">
        <v>45230.009027777778</v>
      </c>
      <c r="B584" s="5" t="s">
        <v>83</v>
      </c>
      <c r="C584">
        <v>11</v>
      </c>
      <c r="D584" t="s">
        <v>8</v>
      </c>
      <c r="E584" t="str">
        <f>_xlfn.XLOOKUP(CKadeaTelcoLogs_Reseau[[#This Row],[Cell_ID]],'CKadeaTelcoRegistre_Maintenance'!A:A,'CKadeaTelcoRegistre_Maintenance'!B:B,"Non repertorié")</f>
        <v>Nord-Ubangi</v>
      </c>
      <c r="F584">
        <f>_xlfn.XLOOKUP(CKadeaTelcoLogs_Reseau[[#This Row],[Cell_ID]],'CKadeaTelcoRegistre_Maintenance'!A:A,'CKadeaTelcoRegistre_Maintenance'!C:C,"Non repertorié")</f>
        <v>0.94539899999999999</v>
      </c>
      <c r="G584">
        <f>_xlfn.XLOOKUP(CKadeaTelcoLogs_Reseau[[#This Row],[Cell_ID]],'CKadeaTelcoRegistre_Maintenance'!A:A,'CKadeaTelcoRegistre_Maintenance'!D:D,"Non repertorié")</f>
        <v>14.401821999999999</v>
      </c>
      <c r="H584" t="str">
        <f>_xlfn.XLOOKUP(CKadeaTelcoLogs_Reseau[[#This Row],[Cell_ID]],'CKadeaTelcoRegistre_Maintenance'!A:A,'CKadeaTelcoRegistre_Maintenance'!E:E,"Non repertorié")</f>
        <v>5G</v>
      </c>
      <c r="I584" t="str">
        <f>_xlfn.XLOOKUP(CKadeaTelcoLogs_Reseau[[#This Row],[Cell_ID]],'CKadeaTelcoRegistre_Maintenance'!A:A,'CKadeaTelcoRegistre_Maintenance'!F:F,"Non repertorié")</f>
        <v>Nokia</v>
      </c>
    </row>
    <row r="585" spans="1:9" ht="20.5" customHeight="1" x14ac:dyDescent="0.35">
      <c r="A585" s="1">
        <v>45229.282638888886</v>
      </c>
      <c r="B585" s="5" t="s">
        <v>49</v>
      </c>
      <c r="C585">
        <v>102</v>
      </c>
      <c r="D585" t="s">
        <v>8</v>
      </c>
      <c r="E585" t="str">
        <f>_xlfn.XLOOKUP(CKadeaTelcoLogs_Reseau[[#This Row],[Cell_ID]],'CKadeaTelcoRegistre_Maintenance'!A:A,'CKadeaTelcoRegistre_Maintenance'!B:B,"Non repertorié")</f>
        <v>Non repertorié</v>
      </c>
      <c r="F585" t="str">
        <f>_xlfn.XLOOKUP(CKadeaTelcoLogs_Reseau[[#This Row],[Cell_ID]],'CKadeaTelcoRegistre_Maintenance'!A:A,'CKadeaTelcoRegistre_Maintenance'!C:C,"Non repertorié")</f>
        <v>Non repertorié</v>
      </c>
      <c r="G585" t="str">
        <f>_xlfn.XLOOKUP(CKadeaTelcoLogs_Reseau[[#This Row],[Cell_ID]],'CKadeaTelcoRegistre_Maintenance'!A:A,'CKadeaTelcoRegistre_Maintenance'!D:D,"Non repertorié")</f>
        <v>Non repertorié</v>
      </c>
      <c r="H585" t="str">
        <f>_xlfn.XLOOKUP(CKadeaTelcoLogs_Reseau[[#This Row],[Cell_ID]],'CKadeaTelcoRegistre_Maintenance'!A:A,'CKadeaTelcoRegistre_Maintenance'!E:E,"Non repertorié")</f>
        <v>Non repertorié</v>
      </c>
      <c r="I585" t="str">
        <f>_xlfn.XLOOKUP(CKadeaTelcoLogs_Reseau[[#This Row],[Cell_ID]],'CKadeaTelcoRegistre_Maintenance'!A:A,'CKadeaTelcoRegistre_Maintenance'!F:F,"Non repertorié")</f>
        <v>Non repertorié</v>
      </c>
    </row>
    <row r="586" spans="1:9" ht="20.5" customHeight="1" x14ac:dyDescent="0.35">
      <c r="A586" s="1">
        <v>45203.991666666669</v>
      </c>
      <c r="B586" s="5" t="s">
        <v>441</v>
      </c>
      <c r="C586">
        <v>5</v>
      </c>
      <c r="D586" t="s">
        <v>10</v>
      </c>
      <c r="E586" t="str">
        <f>_xlfn.XLOOKUP(CKadeaTelcoLogs_Reseau[[#This Row],[Cell_ID]],'CKadeaTelcoRegistre_Maintenance'!A:A,'CKadeaTelcoRegistre_Maintenance'!B:B,"Non repertorié")</f>
        <v>Non repertorié</v>
      </c>
      <c r="F586" t="str">
        <f>_xlfn.XLOOKUP(CKadeaTelcoLogs_Reseau[[#This Row],[Cell_ID]],'CKadeaTelcoRegistre_Maintenance'!A:A,'CKadeaTelcoRegistre_Maintenance'!C:C,"Non repertorié")</f>
        <v>Non repertorié</v>
      </c>
      <c r="G586" t="str">
        <f>_xlfn.XLOOKUP(CKadeaTelcoLogs_Reseau[[#This Row],[Cell_ID]],'CKadeaTelcoRegistre_Maintenance'!A:A,'CKadeaTelcoRegistre_Maintenance'!D:D,"Non repertorié")</f>
        <v>Non repertorié</v>
      </c>
      <c r="H586" t="str">
        <f>_xlfn.XLOOKUP(CKadeaTelcoLogs_Reseau[[#This Row],[Cell_ID]],'CKadeaTelcoRegistre_Maintenance'!A:A,'CKadeaTelcoRegistre_Maintenance'!E:E,"Non repertorié")</f>
        <v>Non repertorié</v>
      </c>
      <c r="I586" t="str">
        <f>_xlfn.XLOOKUP(CKadeaTelcoLogs_Reseau[[#This Row],[Cell_ID]],'CKadeaTelcoRegistre_Maintenance'!A:A,'CKadeaTelcoRegistre_Maintenance'!F:F,"Non repertorié")</f>
        <v>Non repertorié</v>
      </c>
    </row>
    <row r="587" spans="1:9" ht="20.5" customHeight="1" x14ac:dyDescent="0.35">
      <c r="A587" s="1">
        <v>45215.322222222225</v>
      </c>
      <c r="B587" s="5" t="s">
        <v>442</v>
      </c>
      <c r="C587">
        <v>57</v>
      </c>
      <c r="D587" t="s">
        <v>10</v>
      </c>
      <c r="E587" t="str">
        <f>_xlfn.XLOOKUP(CKadeaTelcoLogs_Reseau[[#This Row],[Cell_ID]],'CKadeaTelcoRegistre_Maintenance'!A:A,'CKadeaTelcoRegistre_Maintenance'!B:B,"Non repertorié")</f>
        <v>Non repertorié</v>
      </c>
      <c r="F587" t="str">
        <f>_xlfn.XLOOKUP(CKadeaTelcoLogs_Reseau[[#This Row],[Cell_ID]],'CKadeaTelcoRegistre_Maintenance'!A:A,'CKadeaTelcoRegistre_Maintenance'!C:C,"Non repertorié")</f>
        <v>Non repertorié</v>
      </c>
      <c r="G587" t="str">
        <f>_xlfn.XLOOKUP(CKadeaTelcoLogs_Reseau[[#This Row],[Cell_ID]],'CKadeaTelcoRegistre_Maintenance'!A:A,'CKadeaTelcoRegistre_Maintenance'!D:D,"Non repertorié")</f>
        <v>Non repertorié</v>
      </c>
      <c r="H587" t="str">
        <f>_xlfn.XLOOKUP(CKadeaTelcoLogs_Reseau[[#This Row],[Cell_ID]],'CKadeaTelcoRegistre_Maintenance'!A:A,'CKadeaTelcoRegistre_Maintenance'!E:E,"Non repertorié")</f>
        <v>Non repertorié</v>
      </c>
      <c r="I587" t="str">
        <f>_xlfn.XLOOKUP(CKadeaTelcoLogs_Reseau[[#This Row],[Cell_ID]],'CKadeaTelcoRegistre_Maintenance'!A:A,'CKadeaTelcoRegistre_Maintenance'!F:F,"Non repertorié")</f>
        <v>Non repertorié</v>
      </c>
    </row>
    <row r="588" spans="1:9" ht="20.5" customHeight="1" x14ac:dyDescent="0.35">
      <c r="A588" s="1">
        <v>45219.925694444442</v>
      </c>
      <c r="B588" s="5" t="s">
        <v>443</v>
      </c>
      <c r="C588">
        <v>22</v>
      </c>
      <c r="D588" t="s">
        <v>5</v>
      </c>
      <c r="E588" t="str">
        <f>_xlfn.XLOOKUP(CKadeaTelcoLogs_Reseau[[#This Row],[Cell_ID]],'CKadeaTelcoRegistre_Maintenance'!A:A,'CKadeaTelcoRegistre_Maintenance'!B:B,"Non repertorié")</f>
        <v>Non repertorié</v>
      </c>
      <c r="F588" t="str">
        <f>_xlfn.XLOOKUP(CKadeaTelcoLogs_Reseau[[#This Row],[Cell_ID]],'CKadeaTelcoRegistre_Maintenance'!A:A,'CKadeaTelcoRegistre_Maintenance'!C:C,"Non repertorié")</f>
        <v>Non repertorié</v>
      </c>
      <c r="G588" t="str">
        <f>_xlfn.XLOOKUP(CKadeaTelcoLogs_Reseau[[#This Row],[Cell_ID]],'CKadeaTelcoRegistre_Maintenance'!A:A,'CKadeaTelcoRegistre_Maintenance'!D:D,"Non repertorié")</f>
        <v>Non repertorié</v>
      </c>
      <c r="H588" t="str">
        <f>_xlfn.XLOOKUP(CKadeaTelcoLogs_Reseau[[#This Row],[Cell_ID]],'CKadeaTelcoRegistre_Maintenance'!A:A,'CKadeaTelcoRegistre_Maintenance'!E:E,"Non repertorié")</f>
        <v>Non repertorié</v>
      </c>
      <c r="I588" t="str">
        <f>_xlfn.XLOOKUP(CKadeaTelcoLogs_Reseau[[#This Row],[Cell_ID]],'CKadeaTelcoRegistre_Maintenance'!A:A,'CKadeaTelcoRegistre_Maintenance'!F:F,"Non repertorié")</f>
        <v>Non repertorié</v>
      </c>
    </row>
    <row r="589" spans="1:9" ht="20.5" customHeight="1" x14ac:dyDescent="0.35">
      <c r="A589" s="1">
        <v>45212.315972222219</v>
      </c>
      <c r="B589" s="5" t="s">
        <v>172</v>
      </c>
      <c r="C589">
        <v>112</v>
      </c>
      <c r="D589" t="s">
        <v>5</v>
      </c>
      <c r="E589" t="str">
        <f>_xlfn.XLOOKUP(CKadeaTelcoLogs_Reseau[[#This Row],[Cell_ID]],'CKadeaTelcoRegistre_Maintenance'!A:A,'CKadeaTelcoRegistre_Maintenance'!B:B,"Non repertorié")</f>
        <v>Non repertorié</v>
      </c>
      <c r="F589" t="str">
        <f>_xlfn.XLOOKUP(CKadeaTelcoLogs_Reseau[[#This Row],[Cell_ID]],'CKadeaTelcoRegistre_Maintenance'!A:A,'CKadeaTelcoRegistre_Maintenance'!C:C,"Non repertorié")</f>
        <v>Non repertorié</v>
      </c>
      <c r="G589" t="str">
        <f>_xlfn.XLOOKUP(CKadeaTelcoLogs_Reseau[[#This Row],[Cell_ID]],'CKadeaTelcoRegistre_Maintenance'!A:A,'CKadeaTelcoRegistre_Maintenance'!D:D,"Non repertorié")</f>
        <v>Non repertorié</v>
      </c>
      <c r="H589" t="str">
        <f>_xlfn.XLOOKUP(CKadeaTelcoLogs_Reseau[[#This Row],[Cell_ID]],'CKadeaTelcoRegistre_Maintenance'!A:A,'CKadeaTelcoRegistre_Maintenance'!E:E,"Non repertorié")</f>
        <v>Non repertorié</v>
      </c>
      <c r="I589" t="str">
        <f>_xlfn.XLOOKUP(CKadeaTelcoLogs_Reseau[[#This Row],[Cell_ID]],'CKadeaTelcoRegistre_Maintenance'!A:A,'CKadeaTelcoRegistre_Maintenance'!F:F,"Non repertorié")</f>
        <v>Non repertorié</v>
      </c>
    </row>
    <row r="590" spans="1:9" ht="20.5" customHeight="1" x14ac:dyDescent="0.35">
      <c r="A590" s="1">
        <v>45210.39166666667</v>
      </c>
      <c r="B590" s="5" t="s">
        <v>103</v>
      </c>
      <c r="C590">
        <v>85</v>
      </c>
      <c r="D590" t="s">
        <v>8</v>
      </c>
      <c r="E590" t="str">
        <f>_xlfn.XLOOKUP(CKadeaTelcoLogs_Reseau[[#This Row],[Cell_ID]],'CKadeaTelcoRegistre_Maintenance'!A:A,'CKadeaTelcoRegistre_Maintenance'!B:B,"Non repertorié")</f>
        <v>Nord-Kivu</v>
      </c>
      <c r="F590">
        <f>_xlfn.XLOOKUP(CKadeaTelcoLogs_Reseau[[#This Row],[Cell_ID]],'CKadeaTelcoRegistre_Maintenance'!A:A,'CKadeaTelcoRegistre_Maintenance'!C:C,"Non repertorié")</f>
        <v>1.017161</v>
      </c>
      <c r="G590">
        <f>_xlfn.XLOOKUP(CKadeaTelcoLogs_Reseau[[#This Row],[Cell_ID]],'CKadeaTelcoRegistre_Maintenance'!A:A,'CKadeaTelcoRegistre_Maintenance'!D:D,"Non repertorié")</f>
        <v>16.519689</v>
      </c>
      <c r="H590" t="str">
        <f>_xlfn.XLOOKUP(CKadeaTelcoLogs_Reseau[[#This Row],[Cell_ID]],'CKadeaTelcoRegistre_Maintenance'!A:A,'CKadeaTelcoRegistre_Maintenance'!E:E,"Non repertorié")</f>
        <v>3G</v>
      </c>
      <c r="I590" t="str">
        <f>_xlfn.XLOOKUP(CKadeaTelcoLogs_Reseau[[#This Row],[Cell_ID]],'CKadeaTelcoRegistre_Maintenance'!A:A,'CKadeaTelcoRegistre_Maintenance'!F:F,"Non repertorié")</f>
        <v>Nokia</v>
      </c>
    </row>
    <row r="591" spans="1:9" ht="20.5" customHeight="1" x14ac:dyDescent="0.35">
      <c r="A591" s="1">
        <v>45214.736805555556</v>
      </c>
      <c r="B591" s="5" t="s">
        <v>444</v>
      </c>
      <c r="C591">
        <v>34</v>
      </c>
      <c r="D591" t="s">
        <v>10</v>
      </c>
      <c r="E591" t="str">
        <f>_xlfn.XLOOKUP(CKadeaTelcoLogs_Reseau[[#This Row],[Cell_ID]],'CKadeaTelcoRegistre_Maintenance'!A:A,'CKadeaTelcoRegistre_Maintenance'!B:B,"Non repertorié")</f>
        <v>Kwilu</v>
      </c>
      <c r="F591">
        <f>_xlfn.XLOOKUP(CKadeaTelcoLogs_Reseau[[#This Row],[Cell_ID]],'CKadeaTelcoRegistre_Maintenance'!A:A,'CKadeaTelcoRegistre_Maintenance'!C:C,"Non repertorié")</f>
        <v>5.3608999999999997E-2</v>
      </c>
      <c r="G591">
        <f>_xlfn.XLOOKUP(CKadeaTelcoLogs_Reseau[[#This Row],[Cell_ID]],'CKadeaTelcoRegistre_Maintenance'!A:A,'CKadeaTelcoRegistre_Maintenance'!D:D,"Non repertorié")</f>
        <v>28.346852999999999</v>
      </c>
      <c r="H591" t="str">
        <f>_xlfn.XLOOKUP(CKadeaTelcoLogs_Reseau[[#This Row],[Cell_ID]],'CKadeaTelcoRegistre_Maintenance'!A:A,'CKadeaTelcoRegistre_Maintenance'!E:E,"Non repertorié")</f>
        <v>3G</v>
      </c>
      <c r="I591" t="str">
        <f>_xlfn.XLOOKUP(CKadeaTelcoLogs_Reseau[[#This Row],[Cell_ID]],'CKadeaTelcoRegistre_Maintenance'!A:A,'CKadeaTelcoRegistre_Maintenance'!F:F,"Non repertorié")</f>
        <v>ZTE</v>
      </c>
    </row>
    <row r="592" spans="1:9" ht="20.5" customHeight="1" x14ac:dyDescent="0.35">
      <c r="A592" s="1">
        <v>45211.386111111111</v>
      </c>
      <c r="B592" s="5" t="s">
        <v>195</v>
      </c>
      <c r="C592">
        <v>13</v>
      </c>
      <c r="D592" t="s">
        <v>8</v>
      </c>
      <c r="E592" t="str">
        <f>_xlfn.XLOOKUP(CKadeaTelcoLogs_Reseau[[#This Row],[Cell_ID]],'CKadeaTelcoRegistre_Maintenance'!A:A,'CKadeaTelcoRegistre_Maintenance'!B:B,"Non repertorié")</f>
        <v>Non repertorié</v>
      </c>
      <c r="F592" t="str">
        <f>_xlfn.XLOOKUP(CKadeaTelcoLogs_Reseau[[#This Row],[Cell_ID]],'CKadeaTelcoRegistre_Maintenance'!A:A,'CKadeaTelcoRegistre_Maintenance'!C:C,"Non repertorié")</f>
        <v>Non repertorié</v>
      </c>
      <c r="G592" t="str">
        <f>_xlfn.XLOOKUP(CKadeaTelcoLogs_Reseau[[#This Row],[Cell_ID]],'CKadeaTelcoRegistre_Maintenance'!A:A,'CKadeaTelcoRegistre_Maintenance'!D:D,"Non repertorié")</f>
        <v>Non repertorié</v>
      </c>
      <c r="H592" t="str">
        <f>_xlfn.XLOOKUP(CKadeaTelcoLogs_Reseau[[#This Row],[Cell_ID]],'CKadeaTelcoRegistre_Maintenance'!A:A,'CKadeaTelcoRegistre_Maintenance'!E:E,"Non repertorié")</f>
        <v>Non repertorié</v>
      </c>
      <c r="I592" t="str">
        <f>_xlfn.XLOOKUP(CKadeaTelcoLogs_Reseau[[#This Row],[Cell_ID]],'CKadeaTelcoRegistre_Maintenance'!A:A,'CKadeaTelcoRegistre_Maintenance'!F:F,"Non repertorié")</f>
        <v>Non repertorié</v>
      </c>
    </row>
    <row r="593" spans="1:9" ht="20.5" customHeight="1" x14ac:dyDescent="0.35">
      <c r="A593" s="1">
        <v>45211.705555555556</v>
      </c>
      <c r="B593" s="5" t="s">
        <v>445</v>
      </c>
      <c r="C593">
        <v>95</v>
      </c>
      <c r="D593" t="s">
        <v>8</v>
      </c>
      <c r="E593" t="str">
        <f>_xlfn.XLOOKUP(CKadeaTelcoLogs_Reseau[[#This Row],[Cell_ID]],'CKadeaTelcoRegistre_Maintenance'!A:A,'CKadeaTelcoRegistre_Maintenance'!B:B,"Non repertorié")</f>
        <v>Non repertorié</v>
      </c>
      <c r="F593" t="str">
        <f>_xlfn.XLOOKUP(CKadeaTelcoLogs_Reseau[[#This Row],[Cell_ID]],'CKadeaTelcoRegistre_Maintenance'!A:A,'CKadeaTelcoRegistre_Maintenance'!C:C,"Non repertorié")</f>
        <v>Non repertorié</v>
      </c>
      <c r="G593" t="str">
        <f>_xlfn.XLOOKUP(CKadeaTelcoLogs_Reseau[[#This Row],[Cell_ID]],'CKadeaTelcoRegistre_Maintenance'!A:A,'CKadeaTelcoRegistre_Maintenance'!D:D,"Non repertorié")</f>
        <v>Non repertorié</v>
      </c>
      <c r="H593" t="str">
        <f>_xlfn.XLOOKUP(CKadeaTelcoLogs_Reseau[[#This Row],[Cell_ID]],'CKadeaTelcoRegistre_Maintenance'!A:A,'CKadeaTelcoRegistre_Maintenance'!E:E,"Non repertorié")</f>
        <v>Non repertorié</v>
      </c>
      <c r="I593" t="str">
        <f>_xlfn.XLOOKUP(CKadeaTelcoLogs_Reseau[[#This Row],[Cell_ID]],'CKadeaTelcoRegistre_Maintenance'!A:A,'CKadeaTelcoRegistre_Maintenance'!F:F,"Non repertorié")</f>
        <v>Non repertorié</v>
      </c>
    </row>
    <row r="594" spans="1:9" ht="20.5" customHeight="1" x14ac:dyDescent="0.35">
      <c r="A594" s="1">
        <v>45215.587500000001</v>
      </c>
      <c r="B594" s="5" t="s">
        <v>446</v>
      </c>
      <c r="C594">
        <v>24</v>
      </c>
      <c r="D594" t="s">
        <v>8</v>
      </c>
      <c r="E594" t="str">
        <f>_xlfn.XLOOKUP(CKadeaTelcoLogs_Reseau[[#This Row],[Cell_ID]],'CKadeaTelcoRegistre_Maintenance'!A:A,'CKadeaTelcoRegistre_Maintenance'!B:B,"Non repertorié")</f>
        <v>Maniema</v>
      </c>
      <c r="F594">
        <f>_xlfn.XLOOKUP(CKadeaTelcoLogs_Reseau[[#This Row],[Cell_ID]],'CKadeaTelcoRegistre_Maintenance'!A:A,'CKadeaTelcoRegistre_Maintenance'!C:C,"Non repertorié")</f>
        <v>2.5458379999999998</v>
      </c>
      <c r="G594">
        <f>_xlfn.XLOOKUP(CKadeaTelcoLogs_Reseau[[#This Row],[Cell_ID]],'CKadeaTelcoRegistre_Maintenance'!A:A,'CKadeaTelcoRegistre_Maintenance'!D:D,"Non repertorié")</f>
        <v>13.308655</v>
      </c>
      <c r="H594" t="str">
        <f>_xlfn.XLOOKUP(CKadeaTelcoLogs_Reseau[[#This Row],[Cell_ID]],'CKadeaTelcoRegistre_Maintenance'!A:A,'CKadeaTelcoRegistre_Maintenance'!E:E,"Non repertorié")</f>
        <v>5G</v>
      </c>
      <c r="I594" t="str">
        <f>_xlfn.XLOOKUP(CKadeaTelcoLogs_Reseau[[#This Row],[Cell_ID]],'CKadeaTelcoRegistre_Maintenance'!A:A,'CKadeaTelcoRegistre_Maintenance'!F:F,"Non repertorié")</f>
        <v>ZTE</v>
      </c>
    </row>
    <row r="595" spans="1:9" ht="20.5" customHeight="1" x14ac:dyDescent="0.35">
      <c r="A595" s="1">
        <v>45225.979166666664</v>
      </c>
      <c r="B595" s="5" t="s">
        <v>283</v>
      </c>
      <c r="C595">
        <v>6</v>
      </c>
      <c r="D595" t="s">
        <v>5</v>
      </c>
      <c r="E595" t="str">
        <f>_xlfn.XLOOKUP(CKadeaTelcoLogs_Reseau[[#This Row],[Cell_ID]],'CKadeaTelcoRegistre_Maintenance'!A:A,'CKadeaTelcoRegistre_Maintenance'!B:B,"Non repertorié")</f>
        <v>Tshuapa</v>
      </c>
      <c r="F595">
        <f>_xlfn.XLOOKUP(CKadeaTelcoLogs_Reseau[[#This Row],[Cell_ID]],'CKadeaTelcoRegistre_Maintenance'!A:A,'CKadeaTelcoRegistre_Maintenance'!C:C,"Non repertorié")</f>
        <v>-10.577049000000001</v>
      </c>
      <c r="G595">
        <f>_xlfn.XLOOKUP(CKadeaTelcoLogs_Reseau[[#This Row],[Cell_ID]],'CKadeaTelcoRegistre_Maintenance'!A:A,'CKadeaTelcoRegistre_Maintenance'!D:D,"Non repertorié")</f>
        <v>23.721854</v>
      </c>
      <c r="H595" t="str">
        <f>_xlfn.XLOOKUP(CKadeaTelcoLogs_Reseau[[#This Row],[Cell_ID]],'CKadeaTelcoRegistre_Maintenance'!A:A,'CKadeaTelcoRegistre_Maintenance'!E:E,"Non repertorié")</f>
        <v>4G</v>
      </c>
      <c r="I595" t="str">
        <f>_xlfn.XLOOKUP(CKadeaTelcoLogs_Reseau[[#This Row],[Cell_ID]],'CKadeaTelcoRegistre_Maintenance'!A:A,'CKadeaTelcoRegistre_Maintenance'!F:F,"Non repertorié")</f>
        <v>ZTE</v>
      </c>
    </row>
    <row r="596" spans="1:9" ht="20.5" customHeight="1" x14ac:dyDescent="0.35">
      <c r="A596" s="1">
        <v>45224.456944444442</v>
      </c>
      <c r="B596" s="5" t="s">
        <v>29</v>
      </c>
      <c r="C596">
        <v>32</v>
      </c>
      <c r="D596" t="s">
        <v>5</v>
      </c>
      <c r="E596" t="str">
        <f>_xlfn.XLOOKUP(CKadeaTelcoLogs_Reseau[[#This Row],[Cell_ID]],'CKadeaTelcoRegistre_Maintenance'!A:A,'CKadeaTelcoRegistre_Maintenance'!B:B,"Non repertorié")</f>
        <v>Non repertorié</v>
      </c>
      <c r="F596" t="str">
        <f>_xlfn.XLOOKUP(CKadeaTelcoLogs_Reseau[[#This Row],[Cell_ID]],'CKadeaTelcoRegistre_Maintenance'!A:A,'CKadeaTelcoRegistre_Maintenance'!C:C,"Non repertorié")</f>
        <v>Non repertorié</v>
      </c>
      <c r="G596" t="str">
        <f>_xlfn.XLOOKUP(CKadeaTelcoLogs_Reseau[[#This Row],[Cell_ID]],'CKadeaTelcoRegistre_Maintenance'!A:A,'CKadeaTelcoRegistre_Maintenance'!D:D,"Non repertorié")</f>
        <v>Non repertorié</v>
      </c>
      <c r="H596" t="str">
        <f>_xlfn.XLOOKUP(CKadeaTelcoLogs_Reseau[[#This Row],[Cell_ID]],'CKadeaTelcoRegistre_Maintenance'!A:A,'CKadeaTelcoRegistre_Maintenance'!E:E,"Non repertorié")</f>
        <v>Non repertorié</v>
      </c>
      <c r="I596" t="str">
        <f>_xlfn.XLOOKUP(CKadeaTelcoLogs_Reseau[[#This Row],[Cell_ID]],'CKadeaTelcoRegistre_Maintenance'!A:A,'CKadeaTelcoRegistre_Maintenance'!F:F,"Non repertorié")</f>
        <v>Non repertorié</v>
      </c>
    </row>
    <row r="597" spans="1:9" ht="20.5" customHeight="1" x14ac:dyDescent="0.35">
      <c r="A597" s="1">
        <v>45206.472222222219</v>
      </c>
      <c r="B597" s="5" t="s">
        <v>447</v>
      </c>
      <c r="C597">
        <v>69</v>
      </c>
      <c r="D597" t="s">
        <v>10</v>
      </c>
      <c r="E597" t="str">
        <f>_xlfn.XLOOKUP(CKadeaTelcoLogs_Reseau[[#This Row],[Cell_ID]],'CKadeaTelcoRegistre_Maintenance'!A:A,'CKadeaTelcoRegistre_Maintenance'!B:B,"Non repertorié")</f>
        <v>Non repertorié</v>
      </c>
      <c r="F597" t="str">
        <f>_xlfn.XLOOKUP(CKadeaTelcoLogs_Reseau[[#This Row],[Cell_ID]],'CKadeaTelcoRegistre_Maintenance'!A:A,'CKadeaTelcoRegistre_Maintenance'!C:C,"Non repertorié")</f>
        <v>Non repertorié</v>
      </c>
      <c r="G597" t="str">
        <f>_xlfn.XLOOKUP(CKadeaTelcoLogs_Reseau[[#This Row],[Cell_ID]],'CKadeaTelcoRegistre_Maintenance'!A:A,'CKadeaTelcoRegistre_Maintenance'!D:D,"Non repertorié")</f>
        <v>Non repertorié</v>
      </c>
      <c r="H597" t="str">
        <f>_xlfn.XLOOKUP(CKadeaTelcoLogs_Reseau[[#This Row],[Cell_ID]],'CKadeaTelcoRegistre_Maintenance'!A:A,'CKadeaTelcoRegistre_Maintenance'!E:E,"Non repertorié")</f>
        <v>Non repertorié</v>
      </c>
      <c r="I597" t="str">
        <f>_xlfn.XLOOKUP(CKadeaTelcoLogs_Reseau[[#This Row],[Cell_ID]],'CKadeaTelcoRegistre_Maintenance'!A:A,'CKadeaTelcoRegistre_Maintenance'!F:F,"Non repertorié")</f>
        <v>Non repertorié</v>
      </c>
    </row>
    <row r="598" spans="1:9" ht="20.5" customHeight="1" x14ac:dyDescent="0.35">
      <c r="A598" s="1">
        <v>45213.066666666666</v>
      </c>
      <c r="B598" s="5" t="s">
        <v>336</v>
      </c>
      <c r="C598">
        <v>63</v>
      </c>
      <c r="D598" t="s">
        <v>5</v>
      </c>
      <c r="E598" t="str">
        <f>_xlfn.XLOOKUP(CKadeaTelcoLogs_Reseau[[#This Row],[Cell_ID]],'CKadeaTelcoRegistre_Maintenance'!A:A,'CKadeaTelcoRegistre_Maintenance'!B:B,"Non repertorié")</f>
        <v>Sud-Ubangi</v>
      </c>
      <c r="F598">
        <f>_xlfn.XLOOKUP(CKadeaTelcoLogs_Reseau[[#This Row],[Cell_ID]],'CKadeaTelcoRegistre_Maintenance'!A:A,'CKadeaTelcoRegistre_Maintenance'!C:C,"Non repertorié")</f>
        <v>-11.387295999999999</v>
      </c>
      <c r="G598">
        <f>_xlfn.XLOOKUP(CKadeaTelcoLogs_Reseau[[#This Row],[Cell_ID]],'CKadeaTelcoRegistre_Maintenance'!A:A,'CKadeaTelcoRegistre_Maintenance'!D:D,"Non repertorié")</f>
        <v>19.384257999999999</v>
      </c>
      <c r="H598" t="str">
        <f>_xlfn.XLOOKUP(CKadeaTelcoLogs_Reseau[[#This Row],[Cell_ID]],'CKadeaTelcoRegistre_Maintenance'!A:A,'CKadeaTelcoRegistre_Maintenance'!E:E,"Non repertorié")</f>
        <v>3G</v>
      </c>
      <c r="I598" t="str">
        <f>_xlfn.XLOOKUP(CKadeaTelcoLogs_Reseau[[#This Row],[Cell_ID]],'CKadeaTelcoRegistre_Maintenance'!A:A,'CKadeaTelcoRegistre_Maintenance'!F:F,"Non repertorié")</f>
        <v>Huawei</v>
      </c>
    </row>
    <row r="599" spans="1:9" ht="20.5" customHeight="1" x14ac:dyDescent="0.35">
      <c r="A599" s="1">
        <v>45227.324305555558</v>
      </c>
      <c r="B599" s="5" t="s">
        <v>448</v>
      </c>
      <c r="C599">
        <v>52</v>
      </c>
      <c r="D599" t="s">
        <v>5</v>
      </c>
      <c r="E599" t="str">
        <f>_xlfn.XLOOKUP(CKadeaTelcoLogs_Reseau[[#This Row],[Cell_ID]],'CKadeaTelcoRegistre_Maintenance'!A:A,'CKadeaTelcoRegistre_Maintenance'!B:B,"Non repertorié")</f>
        <v>Non repertorié</v>
      </c>
      <c r="F599" t="str">
        <f>_xlfn.XLOOKUP(CKadeaTelcoLogs_Reseau[[#This Row],[Cell_ID]],'CKadeaTelcoRegistre_Maintenance'!A:A,'CKadeaTelcoRegistre_Maintenance'!C:C,"Non repertorié")</f>
        <v>Non repertorié</v>
      </c>
      <c r="G599" t="str">
        <f>_xlfn.XLOOKUP(CKadeaTelcoLogs_Reseau[[#This Row],[Cell_ID]],'CKadeaTelcoRegistre_Maintenance'!A:A,'CKadeaTelcoRegistre_Maintenance'!D:D,"Non repertorié")</f>
        <v>Non repertorié</v>
      </c>
      <c r="H599" t="str">
        <f>_xlfn.XLOOKUP(CKadeaTelcoLogs_Reseau[[#This Row],[Cell_ID]],'CKadeaTelcoRegistre_Maintenance'!A:A,'CKadeaTelcoRegistre_Maintenance'!E:E,"Non repertorié")</f>
        <v>Non repertorié</v>
      </c>
      <c r="I599" t="str">
        <f>_xlfn.XLOOKUP(CKadeaTelcoLogs_Reseau[[#This Row],[Cell_ID]],'CKadeaTelcoRegistre_Maintenance'!A:A,'CKadeaTelcoRegistre_Maintenance'!F:F,"Non repertorié")</f>
        <v>Non repertorié</v>
      </c>
    </row>
    <row r="600" spans="1:9" ht="20.5" customHeight="1" x14ac:dyDescent="0.35">
      <c r="A600" s="1">
        <v>45204.011111111111</v>
      </c>
      <c r="B600" s="5" t="s">
        <v>449</v>
      </c>
      <c r="C600">
        <v>12</v>
      </c>
      <c r="D600" t="s">
        <v>8</v>
      </c>
      <c r="E600" t="str">
        <f>_xlfn.XLOOKUP(CKadeaTelcoLogs_Reseau[[#This Row],[Cell_ID]],'CKadeaTelcoRegistre_Maintenance'!A:A,'CKadeaTelcoRegistre_Maintenance'!B:B,"Non repertorié")</f>
        <v>Maniema</v>
      </c>
      <c r="F600">
        <f>_xlfn.XLOOKUP(CKadeaTelcoLogs_Reseau[[#This Row],[Cell_ID]],'CKadeaTelcoRegistre_Maintenance'!A:A,'CKadeaTelcoRegistre_Maintenance'!C:C,"Non repertorié")</f>
        <v>-1.6488929999999999</v>
      </c>
      <c r="G600">
        <f>_xlfn.XLOOKUP(CKadeaTelcoLogs_Reseau[[#This Row],[Cell_ID]],'CKadeaTelcoRegistre_Maintenance'!A:A,'CKadeaTelcoRegistre_Maintenance'!D:D,"Non repertorié")</f>
        <v>27.284617000000001</v>
      </c>
      <c r="H600" t="str">
        <f>_xlfn.XLOOKUP(CKadeaTelcoLogs_Reseau[[#This Row],[Cell_ID]],'CKadeaTelcoRegistre_Maintenance'!A:A,'CKadeaTelcoRegistre_Maintenance'!E:E,"Non repertorié")</f>
        <v>5G</v>
      </c>
      <c r="I600" t="str">
        <f>_xlfn.XLOOKUP(CKadeaTelcoLogs_Reseau[[#This Row],[Cell_ID]],'CKadeaTelcoRegistre_Maintenance'!A:A,'CKadeaTelcoRegistre_Maintenance'!F:F,"Non repertorié")</f>
        <v>Nokia</v>
      </c>
    </row>
    <row r="601" spans="1:9" ht="20.5" customHeight="1" x14ac:dyDescent="0.35">
      <c r="A601" s="1">
        <v>45217.775694444441</v>
      </c>
      <c r="B601" s="5" t="s">
        <v>160</v>
      </c>
      <c r="C601">
        <v>84</v>
      </c>
      <c r="D601" t="s">
        <v>5</v>
      </c>
      <c r="E601" t="str">
        <f>_xlfn.XLOOKUP(CKadeaTelcoLogs_Reseau[[#This Row],[Cell_ID]],'CKadeaTelcoRegistre_Maintenance'!A:A,'CKadeaTelcoRegistre_Maintenance'!B:B,"Non repertorié")</f>
        <v>Maniema</v>
      </c>
      <c r="F601">
        <f>_xlfn.XLOOKUP(CKadeaTelcoLogs_Reseau[[#This Row],[Cell_ID]],'CKadeaTelcoRegistre_Maintenance'!A:A,'CKadeaTelcoRegistre_Maintenance'!C:C,"Non repertorié")</f>
        <v>-2.3743210000000001</v>
      </c>
      <c r="G601">
        <f>_xlfn.XLOOKUP(CKadeaTelcoLogs_Reseau[[#This Row],[Cell_ID]],'CKadeaTelcoRegistre_Maintenance'!A:A,'CKadeaTelcoRegistre_Maintenance'!D:D,"Non repertorié")</f>
        <v>22.399491000000001</v>
      </c>
      <c r="H601" t="str">
        <f>_xlfn.XLOOKUP(CKadeaTelcoLogs_Reseau[[#This Row],[Cell_ID]],'CKadeaTelcoRegistre_Maintenance'!A:A,'CKadeaTelcoRegistre_Maintenance'!E:E,"Non repertorié")</f>
        <v>5G</v>
      </c>
      <c r="I601" t="str">
        <f>_xlfn.XLOOKUP(CKadeaTelcoLogs_Reseau[[#This Row],[Cell_ID]],'CKadeaTelcoRegistre_Maintenance'!A:A,'CKadeaTelcoRegistre_Maintenance'!F:F,"Non repertorié")</f>
        <v>Ericsson</v>
      </c>
    </row>
    <row r="602" spans="1:9" ht="20.5" customHeight="1" x14ac:dyDescent="0.35">
      <c r="A602" s="1">
        <v>45223.554166666669</v>
      </c>
      <c r="B602" s="5" t="s">
        <v>450</v>
      </c>
      <c r="C602">
        <v>86</v>
      </c>
      <c r="D602" t="s">
        <v>8</v>
      </c>
      <c r="E602" t="str">
        <f>_xlfn.XLOOKUP(CKadeaTelcoLogs_Reseau[[#This Row],[Cell_ID]],'CKadeaTelcoRegistre_Maintenance'!A:A,'CKadeaTelcoRegistre_Maintenance'!B:B,"Non repertorié")</f>
        <v>Sud-Ubangi</v>
      </c>
      <c r="F602">
        <f>_xlfn.XLOOKUP(CKadeaTelcoLogs_Reseau[[#This Row],[Cell_ID]],'CKadeaTelcoRegistre_Maintenance'!A:A,'CKadeaTelcoRegistre_Maintenance'!C:C,"Non repertorié")</f>
        <v>-12.050063</v>
      </c>
      <c r="G602">
        <f>_xlfn.XLOOKUP(CKadeaTelcoLogs_Reseau[[#This Row],[Cell_ID]],'CKadeaTelcoRegistre_Maintenance'!A:A,'CKadeaTelcoRegistre_Maintenance'!D:D,"Non repertorié")</f>
        <v>26.636987999999999</v>
      </c>
      <c r="H602" t="str">
        <f>_xlfn.XLOOKUP(CKadeaTelcoLogs_Reseau[[#This Row],[Cell_ID]],'CKadeaTelcoRegistre_Maintenance'!A:A,'CKadeaTelcoRegistre_Maintenance'!E:E,"Non repertorié")</f>
        <v>3G</v>
      </c>
      <c r="I602" t="str">
        <f>_xlfn.XLOOKUP(CKadeaTelcoLogs_Reseau[[#This Row],[Cell_ID]],'CKadeaTelcoRegistre_Maintenance'!A:A,'CKadeaTelcoRegistre_Maintenance'!F:F,"Non repertorié")</f>
        <v>Nokia</v>
      </c>
    </row>
    <row r="603" spans="1:9" ht="20.5" customHeight="1" x14ac:dyDescent="0.35">
      <c r="A603" s="1">
        <v>45204.26458333333</v>
      </c>
      <c r="B603" s="5" t="s">
        <v>381</v>
      </c>
      <c r="C603">
        <v>90</v>
      </c>
      <c r="D603" t="s">
        <v>10</v>
      </c>
      <c r="E603" t="str">
        <f>_xlfn.XLOOKUP(CKadeaTelcoLogs_Reseau[[#This Row],[Cell_ID]],'CKadeaTelcoRegistre_Maintenance'!A:A,'CKadeaTelcoRegistre_Maintenance'!B:B,"Non repertorié")</f>
        <v>Lualaba</v>
      </c>
      <c r="F603">
        <f>_xlfn.XLOOKUP(CKadeaTelcoLogs_Reseau[[#This Row],[Cell_ID]],'CKadeaTelcoRegistre_Maintenance'!A:A,'CKadeaTelcoRegistre_Maintenance'!C:C,"Non repertorié")</f>
        <v>2.0392079999999999</v>
      </c>
      <c r="G603">
        <f>_xlfn.XLOOKUP(CKadeaTelcoLogs_Reseau[[#This Row],[Cell_ID]],'CKadeaTelcoRegistre_Maintenance'!A:A,'CKadeaTelcoRegistre_Maintenance'!D:D,"Non repertorié")</f>
        <v>19.090841999999999</v>
      </c>
      <c r="H603" t="str">
        <f>_xlfn.XLOOKUP(CKadeaTelcoLogs_Reseau[[#This Row],[Cell_ID]],'CKadeaTelcoRegistre_Maintenance'!A:A,'CKadeaTelcoRegistre_Maintenance'!E:E,"Non repertorié")</f>
        <v>4G</v>
      </c>
      <c r="I603" t="str">
        <f>_xlfn.XLOOKUP(CKadeaTelcoLogs_Reseau[[#This Row],[Cell_ID]],'CKadeaTelcoRegistre_Maintenance'!A:A,'CKadeaTelcoRegistre_Maintenance'!F:F,"Non repertorié")</f>
        <v>Nokia</v>
      </c>
    </row>
    <row r="604" spans="1:9" ht="20.5" customHeight="1" x14ac:dyDescent="0.35">
      <c r="A604" s="1">
        <v>45207.525000000001</v>
      </c>
      <c r="B604" s="5" t="s">
        <v>451</v>
      </c>
      <c r="C604">
        <v>83</v>
      </c>
      <c r="D604" t="s">
        <v>5</v>
      </c>
      <c r="E604" t="str">
        <f>_xlfn.XLOOKUP(CKadeaTelcoLogs_Reseau[[#This Row],[Cell_ID]],'CKadeaTelcoRegistre_Maintenance'!A:A,'CKadeaTelcoRegistre_Maintenance'!B:B,"Non repertorié")</f>
        <v>Non repertorié</v>
      </c>
      <c r="F604" t="str">
        <f>_xlfn.XLOOKUP(CKadeaTelcoLogs_Reseau[[#This Row],[Cell_ID]],'CKadeaTelcoRegistre_Maintenance'!A:A,'CKadeaTelcoRegistre_Maintenance'!C:C,"Non repertorié")</f>
        <v>Non repertorié</v>
      </c>
      <c r="G604" t="str">
        <f>_xlfn.XLOOKUP(CKadeaTelcoLogs_Reseau[[#This Row],[Cell_ID]],'CKadeaTelcoRegistre_Maintenance'!A:A,'CKadeaTelcoRegistre_Maintenance'!D:D,"Non repertorié")</f>
        <v>Non repertorié</v>
      </c>
      <c r="H604" t="str">
        <f>_xlfn.XLOOKUP(CKadeaTelcoLogs_Reseau[[#This Row],[Cell_ID]],'CKadeaTelcoRegistre_Maintenance'!A:A,'CKadeaTelcoRegistre_Maintenance'!E:E,"Non repertorié")</f>
        <v>Non repertorié</v>
      </c>
      <c r="I604" t="str">
        <f>_xlfn.XLOOKUP(CKadeaTelcoLogs_Reseau[[#This Row],[Cell_ID]],'CKadeaTelcoRegistre_Maintenance'!A:A,'CKadeaTelcoRegistre_Maintenance'!F:F,"Non repertorié")</f>
        <v>Non repertorié</v>
      </c>
    </row>
    <row r="605" spans="1:9" ht="20.5" customHeight="1" x14ac:dyDescent="0.35">
      <c r="A605" s="1">
        <v>45226.313194444447</v>
      </c>
      <c r="B605" s="5" t="s">
        <v>452</v>
      </c>
      <c r="C605">
        <v>66</v>
      </c>
      <c r="D605" t="s">
        <v>10</v>
      </c>
      <c r="E605" t="str">
        <f>_xlfn.XLOOKUP(CKadeaTelcoLogs_Reseau[[#This Row],[Cell_ID]],'CKadeaTelcoRegistre_Maintenance'!A:A,'CKadeaTelcoRegistre_Maintenance'!B:B,"Non repertorié")</f>
        <v>Equateur</v>
      </c>
      <c r="F605">
        <f>_xlfn.XLOOKUP(CKadeaTelcoLogs_Reseau[[#This Row],[Cell_ID]],'CKadeaTelcoRegistre_Maintenance'!A:A,'CKadeaTelcoRegistre_Maintenance'!C:C,"Non repertorié")</f>
        <v>-12.839263000000001</v>
      </c>
      <c r="G605">
        <f>_xlfn.XLOOKUP(CKadeaTelcoLogs_Reseau[[#This Row],[Cell_ID]],'CKadeaTelcoRegistre_Maintenance'!A:A,'CKadeaTelcoRegistre_Maintenance'!D:D,"Non repertorié")</f>
        <v>12.355677</v>
      </c>
      <c r="H605" t="str">
        <f>_xlfn.XLOOKUP(CKadeaTelcoLogs_Reseau[[#This Row],[Cell_ID]],'CKadeaTelcoRegistre_Maintenance'!A:A,'CKadeaTelcoRegistre_Maintenance'!E:E,"Non repertorié")</f>
        <v>3G</v>
      </c>
      <c r="I605" t="str">
        <f>_xlfn.XLOOKUP(CKadeaTelcoLogs_Reseau[[#This Row],[Cell_ID]],'CKadeaTelcoRegistre_Maintenance'!A:A,'CKadeaTelcoRegistre_Maintenance'!F:F,"Non repertorié")</f>
        <v>Huawei</v>
      </c>
    </row>
    <row r="606" spans="1:9" ht="20.5" customHeight="1" x14ac:dyDescent="0.35">
      <c r="A606" s="1">
        <v>45217.863194444442</v>
      </c>
      <c r="B606" s="5" t="s">
        <v>453</v>
      </c>
      <c r="C606">
        <v>89</v>
      </c>
      <c r="D606" t="s">
        <v>5</v>
      </c>
      <c r="E606" t="str">
        <f>_xlfn.XLOOKUP(CKadeaTelcoLogs_Reseau[[#This Row],[Cell_ID]],'CKadeaTelcoRegistre_Maintenance'!A:A,'CKadeaTelcoRegistre_Maintenance'!B:B,"Non repertorié")</f>
        <v>Non repertorié</v>
      </c>
      <c r="F606" t="str">
        <f>_xlfn.XLOOKUP(CKadeaTelcoLogs_Reseau[[#This Row],[Cell_ID]],'CKadeaTelcoRegistre_Maintenance'!A:A,'CKadeaTelcoRegistre_Maintenance'!C:C,"Non repertorié")</f>
        <v>Non repertorié</v>
      </c>
      <c r="G606" t="str">
        <f>_xlfn.XLOOKUP(CKadeaTelcoLogs_Reseau[[#This Row],[Cell_ID]],'CKadeaTelcoRegistre_Maintenance'!A:A,'CKadeaTelcoRegistre_Maintenance'!D:D,"Non repertorié")</f>
        <v>Non repertorié</v>
      </c>
      <c r="H606" t="str">
        <f>_xlfn.XLOOKUP(CKadeaTelcoLogs_Reseau[[#This Row],[Cell_ID]],'CKadeaTelcoRegistre_Maintenance'!A:A,'CKadeaTelcoRegistre_Maintenance'!E:E,"Non repertorié")</f>
        <v>Non repertorié</v>
      </c>
      <c r="I606" t="str">
        <f>_xlfn.XLOOKUP(CKadeaTelcoLogs_Reseau[[#This Row],[Cell_ID]],'CKadeaTelcoRegistre_Maintenance'!A:A,'CKadeaTelcoRegistre_Maintenance'!F:F,"Non repertorié")</f>
        <v>Non repertorié</v>
      </c>
    </row>
    <row r="607" spans="1:9" ht="20.5" customHeight="1" x14ac:dyDescent="0.35">
      <c r="A607" s="1">
        <v>45210.366666666669</v>
      </c>
      <c r="B607" s="5" t="s">
        <v>454</v>
      </c>
      <c r="C607">
        <v>67</v>
      </c>
      <c r="D607" t="s">
        <v>8</v>
      </c>
      <c r="E607" t="str">
        <f>_xlfn.XLOOKUP(CKadeaTelcoLogs_Reseau[[#This Row],[Cell_ID]],'CKadeaTelcoRegistre_Maintenance'!A:A,'CKadeaTelcoRegistre_Maintenance'!B:B,"Non repertorié")</f>
        <v>Lualaba</v>
      </c>
      <c r="F607">
        <f>_xlfn.XLOOKUP(CKadeaTelcoLogs_Reseau[[#This Row],[Cell_ID]],'CKadeaTelcoRegistre_Maintenance'!A:A,'CKadeaTelcoRegistre_Maintenance'!C:C,"Non repertorié")</f>
        <v>-8.0301989999999996</v>
      </c>
      <c r="G607">
        <f>_xlfn.XLOOKUP(CKadeaTelcoLogs_Reseau[[#This Row],[Cell_ID]],'CKadeaTelcoRegistre_Maintenance'!A:A,'CKadeaTelcoRegistre_Maintenance'!D:D,"Non repertorié")</f>
        <v>24.122495000000001</v>
      </c>
      <c r="H607" t="str">
        <f>_xlfn.XLOOKUP(CKadeaTelcoLogs_Reseau[[#This Row],[Cell_ID]],'CKadeaTelcoRegistre_Maintenance'!A:A,'CKadeaTelcoRegistre_Maintenance'!E:E,"Non repertorié")</f>
        <v>5G</v>
      </c>
      <c r="I607" t="str">
        <f>_xlfn.XLOOKUP(CKadeaTelcoLogs_Reseau[[#This Row],[Cell_ID]],'CKadeaTelcoRegistre_Maintenance'!A:A,'CKadeaTelcoRegistre_Maintenance'!F:F,"Non repertorié")</f>
        <v>ZTE</v>
      </c>
    </row>
    <row r="608" spans="1:9" ht="20.5" customHeight="1" x14ac:dyDescent="0.35">
      <c r="A608" s="1">
        <v>45226.656944444447</v>
      </c>
      <c r="B608" s="5" t="s">
        <v>251</v>
      </c>
      <c r="C608">
        <v>7</v>
      </c>
      <c r="D608" t="s">
        <v>5</v>
      </c>
      <c r="E608" t="str">
        <f>_xlfn.XLOOKUP(CKadeaTelcoLogs_Reseau[[#This Row],[Cell_ID]],'CKadeaTelcoRegistre_Maintenance'!A:A,'CKadeaTelcoRegistre_Maintenance'!B:B,"Non repertorié")</f>
        <v>Non repertorié</v>
      </c>
      <c r="F608" t="str">
        <f>_xlfn.XLOOKUP(CKadeaTelcoLogs_Reseau[[#This Row],[Cell_ID]],'CKadeaTelcoRegistre_Maintenance'!A:A,'CKadeaTelcoRegistre_Maintenance'!C:C,"Non repertorié")</f>
        <v>Non repertorié</v>
      </c>
      <c r="G608" t="str">
        <f>_xlfn.XLOOKUP(CKadeaTelcoLogs_Reseau[[#This Row],[Cell_ID]],'CKadeaTelcoRegistre_Maintenance'!A:A,'CKadeaTelcoRegistre_Maintenance'!D:D,"Non repertorié")</f>
        <v>Non repertorié</v>
      </c>
      <c r="H608" t="str">
        <f>_xlfn.XLOOKUP(CKadeaTelcoLogs_Reseau[[#This Row],[Cell_ID]],'CKadeaTelcoRegistre_Maintenance'!A:A,'CKadeaTelcoRegistre_Maintenance'!E:E,"Non repertorié")</f>
        <v>Non repertorié</v>
      </c>
      <c r="I608" t="str">
        <f>_xlfn.XLOOKUP(CKadeaTelcoLogs_Reseau[[#This Row],[Cell_ID]],'CKadeaTelcoRegistre_Maintenance'!A:A,'CKadeaTelcoRegistre_Maintenance'!F:F,"Non repertorié")</f>
        <v>Non repertorié</v>
      </c>
    </row>
    <row r="609" spans="1:9" ht="20.5" customHeight="1" x14ac:dyDescent="0.35">
      <c r="A609" s="1">
        <v>45224.963888888888</v>
      </c>
      <c r="B609" s="5" t="s">
        <v>455</v>
      </c>
      <c r="C609">
        <v>83</v>
      </c>
      <c r="D609" t="s">
        <v>8</v>
      </c>
      <c r="E609" t="str">
        <f>_xlfn.XLOOKUP(CKadeaTelcoLogs_Reseau[[#This Row],[Cell_ID]],'CKadeaTelcoRegistre_Maintenance'!A:A,'CKadeaTelcoRegistre_Maintenance'!B:B,"Non repertorié")</f>
        <v>Non repertorié</v>
      </c>
      <c r="F609" t="str">
        <f>_xlfn.XLOOKUP(CKadeaTelcoLogs_Reseau[[#This Row],[Cell_ID]],'CKadeaTelcoRegistre_Maintenance'!A:A,'CKadeaTelcoRegistre_Maintenance'!C:C,"Non repertorié")</f>
        <v>Non repertorié</v>
      </c>
      <c r="G609" t="str">
        <f>_xlfn.XLOOKUP(CKadeaTelcoLogs_Reseau[[#This Row],[Cell_ID]],'CKadeaTelcoRegistre_Maintenance'!A:A,'CKadeaTelcoRegistre_Maintenance'!D:D,"Non repertorié")</f>
        <v>Non repertorié</v>
      </c>
      <c r="H609" t="str">
        <f>_xlfn.XLOOKUP(CKadeaTelcoLogs_Reseau[[#This Row],[Cell_ID]],'CKadeaTelcoRegistre_Maintenance'!A:A,'CKadeaTelcoRegistre_Maintenance'!E:E,"Non repertorié")</f>
        <v>Non repertorié</v>
      </c>
      <c r="I609" t="str">
        <f>_xlfn.XLOOKUP(CKadeaTelcoLogs_Reseau[[#This Row],[Cell_ID]],'CKadeaTelcoRegistre_Maintenance'!A:A,'CKadeaTelcoRegistre_Maintenance'!F:F,"Non repertorié")</f>
        <v>Non repertorié</v>
      </c>
    </row>
    <row r="610" spans="1:9" ht="20.5" customHeight="1" x14ac:dyDescent="0.35">
      <c r="A610" s="1">
        <v>45225.948611111111</v>
      </c>
      <c r="B610" s="5" t="s">
        <v>456</v>
      </c>
      <c r="C610">
        <v>30</v>
      </c>
      <c r="D610" t="s">
        <v>5</v>
      </c>
      <c r="E610" t="str">
        <f>_xlfn.XLOOKUP(CKadeaTelcoLogs_Reseau[[#This Row],[Cell_ID]],'CKadeaTelcoRegistre_Maintenance'!A:A,'CKadeaTelcoRegistre_Maintenance'!B:B,"Non repertorié")</f>
        <v>Kwango</v>
      </c>
      <c r="F610">
        <f>_xlfn.XLOOKUP(CKadeaTelcoLogs_Reseau[[#This Row],[Cell_ID]],'CKadeaTelcoRegistre_Maintenance'!A:A,'CKadeaTelcoRegistre_Maintenance'!C:C,"Non repertorié")</f>
        <v>-10.653247</v>
      </c>
      <c r="G610">
        <f>_xlfn.XLOOKUP(CKadeaTelcoLogs_Reseau[[#This Row],[Cell_ID]],'CKadeaTelcoRegistre_Maintenance'!A:A,'CKadeaTelcoRegistre_Maintenance'!D:D,"Non repertorié")</f>
        <v>14.685601</v>
      </c>
      <c r="H610" t="str">
        <f>_xlfn.XLOOKUP(CKadeaTelcoLogs_Reseau[[#This Row],[Cell_ID]],'CKadeaTelcoRegistre_Maintenance'!A:A,'CKadeaTelcoRegistre_Maintenance'!E:E,"Non repertorié")</f>
        <v>4G</v>
      </c>
      <c r="I610" t="str">
        <f>_xlfn.XLOOKUP(CKadeaTelcoLogs_Reseau[[#This Row],[Cell_ID]],'CKadeaTelcoRegistre_Maintenance'!A:A,'CKadeaTelcoRegistre_Maintenance'!F:F,"Non repertorié")</f>
        <v>Ericsson</v>
      </c>
    </row>
    <row r="611" spans="1:9" ht="20.5" customHeight="1" x14ac:dyDescent="0.35">
      <c r="A611" s="1">
        <v>45202.699305555558</v>
      </c>
      <c r="B611" s="5" t="s">
        <v>457</v>
      </c>
      <c r="C611">
        <v>63</v>
      </c>
      <c r="D611" t="s">
        <v>8</v>
      </c>
      <c r="E611" t="str">
        <f>_xlfn.XLOOKUP(CKadeaTelcoLogs_Reseau[[#This Row],[Cell_ID]],'CKadeaTelcoRegistre_Maintenance'!A:A,'CKadeaTelcoRegistre_Maintenance'!B:B,"Non repertorié")</f>
        <v>Tshopo</v>
      </c>
      <c r="F611">
        <f>_xlfn.XLOOKUP(CKadeaTelcoLogs_Reseau[[#This Row],[Cell_ID]],'CKadeaTelcoRegistre_Maintenance'!A:A,'CKadeaTelcoRegistre_Maintenance'!C:C,"Non repertorié")</f>
        <v>1.400674</v>
      </c>
      <c r="G611">
        <f>_xlfn.XLOOKUP(CKadeaTelcoLogs_Reseau[[#This Row],[Cell_ID]],'CKadeaTelcoRegistre_Maintenance'!A:A,'CKadeaTelcoRegistre_Maintenance'!D:D,"Non repertorié")</f>
        <v>13.503126999999999</v>
      </c>
      <c r="H611" t="str">
        <f>_xlfn.XLOOKUP(CKadeaTelcoLogs_Reseau[[#This Row],[Cell_ID]],'CKadeaTelcoRegistre_Maintenance'!A:A,'CKadeaTelcoRegistre_Maintenance'!E:E,"Non repertorié")</f>
        <v>5G</v>
      </c>
      <c r="I611" t="str">
        <f>_xlfn.XLOOKUP(CKadeaTelcoLogs_Reseau[[#This Row],[Cell_ID]],'CKadeaTelcoRegistre_Maintenance'!A:A,'CKadeaTelcoRegistre_Maintenance'!F:F,"Non repertorié")</f>
        <v>ZTE</v>
      </c>
    </row>
    <row r="612" spans="1:9" ht="20.5" customHeight="1" x14ac:dyDescent="0.35">
      <c r="A612" s="1">
        <v>45211.04583333333</v>
      </c>
      <c r="B612" s="5" t="s">
        <v>306</v>
      </c>
      <c r="C612">
        <v>18</v>
      </c>
      <c r="D612" t="s">
        <v>10</v>
      </c>
      <c r="E612" t="str">
        <f>_xlfn.XLOOKUP(CKadeaTelcoLogs_Reseau[[#This Row],[Cell_ID]],'CKadeaTelcoRegistre_Maintenance'!A:A,'CKadeaTelcoRegistre_Maintenance'!B:B,"Non repertorié")</f>
        <v>Mongala</v>
      </c>
      <c r="F612">
        <f>_xlfn.XLOOKUP(CKadeaTelcoLogs_Reseau[[#This Row],[Cell_ID]],'CKadeaTelcoRegistre_Maintenance'!A:A,'CKadeaTelcoRegistre_Maintenance'!C:C,"Non repertorié")</f>
        <v>-5.3762689999999997</v>
      </c>
      <c r="G612">
        <f>_xlfn.XLOOKUP(CKadeaTelcoLogs_Reseau[[#This Row],[Cell_ID]],'CKadeaTelcoRegistre_Maintenance'!A:A,'CKadeaTelcoRegistre_Maintenance'!D:D,"Non repertorié")</f>
        <v>28.189575999999999</v>
      </c>
      <c r="H612" t="str">
        <f>_xlfn.XLOOKUP(CKadeaTelcoLogs_Reseau[[#This Row],[Cell_ID]],'CKadeaTelcoRegistre_Maintenance'!A:A,'CKadeaTelcoRegistre_Maintenance'!E:E,"Non repertorié")</f>
        <v>5G</v>
      </c>
      <c r="I612" t="str">
        <f>_xlfn.XLOOKUP(CKadeaTelcoLogs_Reseau[[#This Row],[Cell_ID]],'CKadeaTelcoRegistre_Maintenance'!A:A,'CKadeaTelcoRegistre_Maintenance'!F:F,"Non repertorié")</f>
        <v>Huawei</v>
      </c>
    </row>
    <row r="613" spans="1:9" ht="20.5" customHeight="1" x14ac:dyDescent="0.35">
      <c r="A613" s="1">
        <v>45213.328472222223</v>
      </c>
      <c r="B613" s="5" t="s">
        <v>458</v>
      </c>
      <c r="C613">
        <v>22</v>
      </c>
      <c r="D613" t="s">
        <v>10</v>
      </c>
      <c r="E613" t="str">
        <f>_xlfn.XLOOKUP(CKadeaTelcoLogs_Reseau[[#This Row],[Cell_ID]],'CKadeaTelcoRegistre_Maintenance'!A:A,'CKadeaTelcoRegistre_Maintenance'!B:B,"Non repertorié")</f>
        <v>Non repertorié</v>
      </c>
      <c r="F613" t="str">
        <f>_xlfn.XLOOKUP(CKadeaTelcoLogs_Reseau[[#This Row],[Cell_ID]],'CKadeaTelcoRegistre_Maintenance'!A:A,'CKadeaTelcoRegistre_Maintenance'!C:C,"Non repertorié")</f>
        <v>Non repertorié</v>
      </c>
      <c r="G613" t="str">
        <f>_xlfn.XLOOKUP(CKadeaTelcoLogs_Reseau[[#This Row],[Cell_ID]],'CKadeaTelcoRegistre_Maintenance'!A:A,'CKadeaTelcoRegistre_Maintenance'!D:D,"Non repertorié")</f>
        <v>Non repertorié</v>
      </c>
      <c r="H613" t="str">
        <f>_xlfn.XLOOKUP(CKadeaTelcoLogs_Reseau[[#This Row],[Cell_ID]],'CKadeaTelcoRegistre_Maintenance'!A:A,'CKadeaTelcoRegistre_Maintenance'!E:E,"Non repertorié")</f>
        <v>Non repertorié</v>
      </c>
      <c r="I613" t="str">
        <f>_xlfn.XLOOKUP(CKadeaTelcoLogs_Reseau[[#This Row],[Cell_ID]],'CKadeaTelcoRegistre_Maintenance'!A:A,'CKadeaTelcoRegistre_Maintenance'!F:F,"Non repertorié")</f>
        <v>Non repertorié</v>
      </c>
    </row>
    <row r="614" spans="1:9" ht="20.5" customHeight="1" x14ac:dyDescent="0.35">
      <c r="A614" s="1">
        <v>45202.443055555559</v>
      </c>
      <c r="B614" s="5" t="s">
        <v>374</v>
      </c>
      <c r="C614">
        <v>43</v>
      </c>
      <c r="D614" t="s">
        <v>5</v>
      </c>
      <c r="E614" t="str">
        <f>_xlfn.XLOOKUP(CKadeaTelcoLogs_Reseau[[#This Row],[Cell_ID]],'CKadeaTelcoRegistre_Maintenance'!A:A,'CKadeaTelcoRegistre_Maintenance'!B:B,"Non repertorié")</f>
        <v>Non repertorié</v>
      </c>
      <c r="F614" t="str">
        <f>_xlfn.XLOOKUP(CKadeaTelcoLogs_Reseau[[#This Row],[Cell_ID]],'CKadeaTelcoRegistre_Maintenance'!A:A,'CKadeaTelcoRegistre_Maintenance'!C:C,"Non repertorié")</f>
        <v>Non repertorié</v>
      </c>
      <c r="G614" t="str">
        <f>_xlfn.XLOOKUP(CKadeaTelcoLogs_Reseau[[#This Row],[Cell_ID]],'CKadeaTelcoRegistre_Maintenance'!A:A,'CKadeaTelcoRegistre_Maintenance'!D:D,"Non repertorié")</f>
        <v>Non repertorié</v>
      </c>
      <c r="H614" t="str">
        <f>_xlfn.XLOOKUP(CKadeaTelcoLogs_Reseau[[#This Row],[Cell_ID]],'CKadeaTelcoRegistre_Maintenance'!A:A,'CKadeaTelcoRegistre_Maintenance'!E:E,"Non repertorié")</f>
        <v>Non repertorié</v>
      </c>
      <c r="I614" t="str">
        <f>_xlfn.XLOOKUP(CKadeaTelcoLogs_Reseau[[#This Row],[Cell_ID]],'CKadeaTelcoRegistre_Maintenance'!A:A,'CKadeaTelcoRegistre_Maintenance'!F:F,"Non repertorié")</f>
        <v>Non repertorié</v>
      </c>
    </row>
    <row r="615" spans="1:9" ht="20.5" customHeight="1" x14ac:dyDescent="0.35">
      <c r="A615" s="1">
        <v>45224.818055555559</v>
      </c>
      <c r="B615" s="5" t="s">
        <v>222</v>
      </c>
      <c r="C615">
        <v>5</v>
      </c>
      <c r="D615" t="s">
        <v>10</v>
      </c>
      <c r="E615" t="str">
        <f>_xlfn.XLOOKUP(CKadeaTelcoLogs_Reseau[[#This Row],[Cell_ID]],'CKadeaTelcoRegistre_Maintenance'!A:A,'CKadeaTelcoRegistre_Maintenance'!B:B,"Non repertorié")</f>
        <v>Non repertorié</v>
      </c>
      <c r="F615" t="str">
        <f>_xlfn.XLOOKUP(CKadeaTelcoLogs_Reseau[[#This Row],[Cell_ID]],'CKadeaTelcoRegistre_Maintenance'!A:A,'CKadeaTelcoRegistre_Maintenance'!C:C,"Non repertorié")</f>
        <v>Non repertorié</v>
      </c>
      <c r="G615" t="str">
        <f>_xlfn.XLOOKUP(CKadeaTelcoLogs_Reseau[[#This Row],[Cell_ID]],'CKadeaTelcoRegistre_Maintenance'!A:A,'CKadeaTelcoRegistre_Maintenance'!D:D,"Non repertorié")</f>
        <v>Non repertorié</v>
      </c>
      <c r="H615" t="str">
        <f>_xlfn.XLOOKUP(CKadeaTelcoLogs_Reseau[[#This Row],[Cell_ID]],'CKadeaTelcoRegistre_Maintenance'!A:A,'CKadeaTelcoRegistre_Maintenance'!E:E,"Non repertorié")</f>
        <v>Non repertorié</v>
      </c>
      <c r="I615" t="str">
        <f>_xlfn.XLOOKUP(CKadeaTelcoLogs_Reseau[[#This Row],[Cell_ID]],'CKadeaTelcoRegistre_Maintenance'!A:A,'CKadeaTelcoRegistre_Maintenance'!F:F,"Non repertorié")</f>
        <v>Non repertorié</v>
      </c>
    </row>
    <row r="616" spans="1:9" ht="20.5" customHeight="1" x14ac:dyDescent="0.35">
      <c r="A616" s="1">
        <v>45212.417361111111</v>
      </c>
      <c r="B616" s="5" t="s">
        <v>459</v>
      </c>
      <c r="C616">
        <v>55</v>
      </c>
      <c r="D616" t="s">
        <v>8</v>
      </c>
      <c r="E616" t="str">
        <f>_xlfn.XLOOKUP(CKadeaTelcoLogs_Reseau[[#This Row],[Cell_ID]],'CKadeaTelcoRegistre_Maintenance'!A:A,'CKadeaTelcoRegistre_Maintenance'!B:B,"Non repertorié")</f>
        <v>Maniema</v>
      </c>
      <c r="F616">
        <f>_xlfn.XLOOKUP(CKadeaTelcoLogs_Reseau[[#This Row],[Cell_ID]],'CKadeaTelcoRegistre_Maintenance'!A:A,'CKadeaTelcoRegistre_Maintenance'!C:C,"Non repertorié")</f>
        <v>1.938083</v>
      </c>
      <c r="G616">
        <f>_xlfn.XLOOKUP(CKadeaTelcoLogs_Reseau[[#This Row],[Cell_ID]],'CKadeaTelcoRegistre_Maintenance'!A:A,'CKadeaTelcoRegistre_Maintenance'!D:D,"Non repertorié")</f>
        <v>28.25281</v>
      </c>
      <c r="H616" t="str">
        <f>_xlfn.XLOOKUP(CKadeaTelcoLogs_Reseau[[#This Row],[Cell_ID]],'CKadeaTelcoRegistre_Maintenance'!A:A,'CKadeaTelcoRegistre_Maintenance'!E:E,"Non repertorié")</f>
        <v>4G</v>
      </c>
      <c r="I616" t="str">
        <f>_xlfn.XLOOKUP(CKadeaTelcoLogs_Reseau[[#This Row],[Cell_ID]],'CKadeaTelcoRegistre_Maintenance'!A:A,'CKadeaTelcoRegistre_Maintenance'!F:F,"Non repertorié")</f>
        <v>Nokia</v>
      </c>
    </row>
    <row r="617" spans="1:9" ht="20.5" customHeight="1" x14ac:dyDescent="0.35">
      <c r="A617" s="1">
        <v>45220.368055555555</v>
      </c>
      <c r="B617" s="5" t="s">
        <v>460</v>
      </c>
      <c r="C617">
        <v>47</v>
      </c>
      <c r="D617" t="s">
        <v>10</v>
      </c>
      <c r="E617" t="str">
        <f>_xlfn.XLOOKUP(CKadeaTelcoLogs_Reseau[[#This Row],[Cell_ID]],'CKadeaTelcoRegistre_Maintenance'!A:A,'CKadeaTelcoRegistre_Maintenance'!B:B,"Non repertorié")</f>
        <v>Non repertorié</v>
      </c>
      <c r="F617" t="str">
        <f>_xlfn.XLOOKUP(CKadeaTelcoLogs_Reseau[[#This Row],[Cell_ID]],'CKadeaTelcoRegistre_Maintenance'!A:A,'CKadeaTelcoRegistre_Maintenance'!C:C,"Non repertorié")</f>
        <v>Non repertorié</v>
      </c>
      <c r="G617" t="str">
        <f>_xlfn.XLOOKUP(CKadeaTelcoLogs_Reseau[[#This Row],[Cell_ID]],'CKadeaTelcoRegistre_Maintenance'!A:A,'CKadeaTelcoRegistre_Maintenance'!D:D,"Non repertorié")</f>
        <v>Non repertorié</v>
      </c>
      <c r="H617" t="str">
        <f>_xlfn.XLOOKUP(CKadeaTelcoLogs_Reseau[[#This Row],[Cell_ID]],'CKadeaTelcoRegistre_Maintenance'!A:A,'CKadeaTelcoRegistre_Maintenance'!E:E,"Non repertorié")</f>
        <v>Non repertorié</v>
      </c>
      <c r="I617" t="str">
        <f>_xlfn.XLOOKUP(CKadeaTelcoLogs_Reseau[[#This Row],[Cell_ID]],'CKadeaTelcoRegistre_Maintenance'!A:A,'CKadeaTelcoRegistre_Maintenance'!F:F,"Non repertorié")</f>
        <v>Non repertorié</v>
      </c>
    </row>
    <row r="618" spans="1:9" ht="20.5" customHeight="1" x14ac:dyDescent="0.35">
      <c r="A618" s="1">
        <v>45214.634722222225</v>
      </c>
      <c r="B618" s="5" t="s">
        <v>461</v>
      </c>
      <c r="C618">
        <v>112</v>
      </c>
      <c r="D618" t="s">
        <v>8</v>
      </c>
      <c r="E618" t="str">
        <f>_xlfn.XLOOKUP(CKadeaTelcoLogs_Reseau[[#This Row],[Cell_ID]],'CKadeaTelcoRegistre_Maintenance'!A:A,'CKadeaTelcoRegistre_Maintenance'!B:B,"Non repertorié")</f>
        <v>Equateur</v>
      </c>
      <c r="F618">
        <f>_xlfn.XLOOKUP(CKadeaTelcoLogs_Reseau[[#This Row],[Cell_ID]],'CKadeaTelcoRegistre_Maintenance'!A:A,'CKadeaTelcoRegistre_Maintenance'!C:C,"Non repertorié")</f>
        <v>-6.1490739999999997</v>
      </c>
      <c r="G618">
        <f>_xlfn.XLOOKUP(CKadeaTelcoLogs_Reseau[[#This Row],[Cell_ID]],'CKadeaTelcoRegistre_Maintenance'!A:A,'CKadeaTelcoRegistre_Maintenance'!D:D,"Non repertorié")</f>
        <v>23.304411000000002</v>
      </c>
      <c r="H618" t="str">
        <f>_xlfn.XLOOKUP(CKadeaTelcoLogs_Reseau[[#This Row],[Cell_ID]],'CKadeaTelcoRegistre_Maintenance'!A:A,'CKadeaTelcoRegistre_Maintenance'!E:E,"Non repertorié")</f>
        <v>5G</v>
      </c>
      <c r="I618" t="str">
        <f>_xlfn.XLOOKUP(CKadeaTelcoLogs_Reseau[[#This Row],[Cell_ID]],'CKadeaTelcoRegistre_Maintenance'!A:A,'CKadeaTelcoRegistre_Maintenance'!F:F,"Non repertorié")</f>
        <v>ZTE</v>
      </c>
    </row>
    <row r="619" spans="1:9" ht="20.5" customHeight="1" x14ac:dyDescent="0.35">
      <c r="A619" s="1">
        <v>45211.724999999999</v>
      </c>
      <c r="B619" s="5" t="s">
        <v>307</v>
      </c>
      <c r="C619">
        <v>84</v>
      </c>
      <c r="D619" t="s">
        <v>10</v>
      </c>
      <c r="E619" t="str">
        <f>_xlfn.XLOOKUP(CKadeaTelcoLogs_Reseau[[#This Row],[Cell_ID]],'CKadeaTelcoRegistre_Maintenance'!A:A,'CKadeaTelcoRegistre_Maintenance'!B:B,"Non repertorié")</f>
        <v>Sankuru</v>
      </c>
      <c r="F619">
        <f>_xlfn.XLOOKUP(CKadeaTelcoLogs_Reseau[[#This Row],[Cell_ID]],'CKadeaTelcoRegistre_Maintenance'!A:A,'CKadeaTelcoRegistre_Maintenance'!C:C,"Non repertorié")</f>
        <v>-1.4110389999999999</v>
      </c>
      <c r="G619">
        <f>_xlfn.XLOOKUP(CKadeaTelcoLogs_Reseau[[#This Row],[Cell_ID]],'CKadeaTelcoRegistre_Maintenance'!A:A,'CKadeaTelcoRegistre_Maintenance'!D:D,"Non repertorié")</f>
        <v>21.261644</v>
      </c>
      <c r="H619" t="str">
        <f>_xlfn.XLOOKUP(CKadeaTelcoLogs_Reseau[[#This Row],[Cell_ID]],'CKadeaTelcoRegistre_Maintenance'!A:A,'CKadeaTelcoRegistre_Maintenance'!E:E,"Non repertorié")</f>
        <v>4G</v>
      </c>
      <c r="I619" t="str">
        <f>_xlfn.XLOOKUP(CKadeaTelcoLogs_Reseau[[#This Row],[Cell_ID]],'CKadeaTelcoRegistre_Maintenance'!A:A,'CKadeaTelcoRegistre_Maintenance'!F:F,"Non repertorié")</f>
        <v>ZTE</v>
      </c>
    </row>
    <row r="620" spans="1:9" ht="20.5" customHeight="1" x14ac:dyDescent="0.35">
      <c r="A620" s="1">
        <v>45213.238194444442</v>
      </c>
      <c r="B620" s="5" t="s">
        <v>462</v>
      </c>
      <c r="C620">
        <v>53</v>
      </c>
      <c r="D620" t="s">
        <v>8</v>
      </c>
      <c r="E620" t="str">
        <f>_xlfn.XLOOKUP(CKadeaTelcoLogs_Reseau[[#This Row],[Cell_ID]],'CKadeaTelcoRegistre_Maintenance'!A:A,'CKadeaTelcoRegistre_Maintenance'!B:B,"Non repertorié")</f>
        <v>Nord-Ubangi</v>
      </c>
      <c r="F620">
        <f>_xlfn.XLOOKUP(CKadeaTelcoLogs_Reseau[[#This Row],[Cell_ID]],'CKadeaTelcoRegistre_Maintenance'!A:A,'CKadeaTelcoRegistre_Maintenance'!C:C,"Non repertorié")</f>
        <v>-8.4985189999999999</v>
      </c>
      <c r="G620">
        <f>_xlfn.XLOOKUP(CKadeaTelcoLogs_Reseau[[#This Row],[Cell_ID]],'CKadeaTelcoRegistre_Maintenance'!A:A,'CKadeaTelcoRegistre_Maintenance'!D:D,"Non repertorié")</f>
        <v>12.929456999999999</v>
      </c>
      <c r="H620" t="str">
        <f>_xlfn.XLOOKUP(CKadeaTelcoLogs_Reseau[[#This Row],[Cell_ID]],'CKadeaTelcoRegistre_Maintenance'!A:A,'CKadeaTelcoRegistre_Maintenance'!E:E,"Non repertorié")</f>
        <v>4G</v>
      </c>
      <c r="I620" t="str">
        <f>_xlfn.XLOOKUP(CKadeaTelcoLogs_Reseau[[#This Row],[Cell_ID]],'CKadeaTelcoRegistre_Maintenance'!A:A,'CKadeaTelcoRegistre_Maintenance'!F:F,"Non repertorié")</f>
        <v>Ericsson</v>
      </c>
    </row>
    <row r="621" spans="1:9" ht="20.5" customHeight="1" x14ac:dyDescent="0.35">
      <c r="A621" s="1">
        <v>45218.89166666667</v>
      </c>
      <c r="B621" s="5" t="s">
        <v>84</v>
      </c>
      <c r="C621">
        <v>107</v>
      </c>
      <c r="D621" t="s">
        <v>8</v>
      </c>
      <c r="E621" t="str">
        <f>_xlfn.XLOOKUP(CKadeaTelcoLogs_Reseau[[#This Row],[Cell_ID]],'CKadeaTelcoRegistre_Maintenance'!A:A,'CKadeaTelcoRegistre_Maintenance'!B:B,"Non repertorié")</f>
        <v>Non repertorié</v>
      </c>
      <c r="F621" t="str">
        <f>_xlfn.XLOOKUP(CKadeaTelcoLogs_Reseau[[#This Row],[Cell_ID]],'CKadeaTelcoRegistre_Maintenance'!A:A,'CKadeaTelcoRegistre_Maintenance'!C:C,"Non repertorié")</f>
        <v>Non repertorié</v>
      </c>
      <c r="G621" t="str">
        <f>_xlfn.XLOOKUP(CKadeaTelcoLogs_Reseau[[#This Row],[Cell_ID]],'CKadeaTelcoRegistre_Maintenance'!A:A,'CKadeaTelcoRegistre_Maintenance'!D:D,"Non repertorié")</f>
        <v>Non repertorié</v>
      </c>
      <c r="H621" t="str">
        <f>_xlfn.XLOOKUP(CKadeaTelcoLogs_Reseau[[#This Row],[Cell_ID]],'CKadeaTelcoRegistre_Maintenance'!A:A,'CKadeaTelcoRegistre_Maintenance'!E:E,"Non repertorié")</f>
        <v>Non repertorié</v>
      </c>
      <c r="I621" t="str">
        <f>_xlfn.XLOOKUP(CKadeaTelcoLogs_Reseau[[#This Row],[Cell_ID]],'CKadeaTelcoRegistre_Maintenance'!A:A,'CKadeaTelcoRegistre_Maintenance'!F:F,"Non repertorié")</f>
        <v>Non repertorié</v>
      </c>
    </row>
    <row r="622" spans="1:9" ht="20.5" customHeight="1" x14ac:dyDescent="0.35">
      <c r="A622" s="1">
        <v>45202.804166666669</v>
      </c>
      <c r="B622" s="5" t="s">
        <v>463</v>
      </c>
      <c r="C622">
        <v>115</v>
      </c>
      <c r="D622" t="s">
        <v>8</v>
      </c>
      <c r="E622" t="str">
        <f>_xlfn.XLOOKUP(CKadeaTelcoLogs_Reseau[[#This Row],[Cell_ID]],'CKadeaTelcoRegistre_Maintenance'!A:A,'CKadeaTelcoRegistre_Maintenance'!B:B,"Non repertorié")</f>
        <v>Haut-Uele</v>
      </c>
      <c r="F622">
        <f>_xlfn.XLOOKUP(CKadeaTelcoLogs_Reseau[[#This Row],[Cell_ID]],'CKadeaTelcoRegistre_Maintenance'!A:A,'CKadeaTelcoRegistre_Maintenance'!C:C,"Non repertorié")</f>
        <v>1.2391989999999999</v>
      </c>
      <c r="G622">
        <f>_xlfn.XLOOKUP(CKadeaTelcoLogs_Reseau[[#This Row],[Cell_ID]],'CKadeaTelcoRegistre_Maintenance'!A:A,'CKadeaTelcoRegistre_Maintenance'!D:D,"Non repertorié")</f>
        <v>15.386718999999999</v>
      </c>
      <c r="H622" t="str">
        <f>_xlfn.XLOOKUP(CKadeaTelcoLogs_Reseau[[#This Row],[Cell_ID]],'CKadeaTelcoRegistre_Maintenance'!A:A,'CKadeaTelcoRegistre_Maintenance'!E:E,"Non repertorié")</f>
        <v>5G</v>
      </c>
      <c r="I622" t="str">
        <f>_xlfn.XLOOKUP(CKadeaTelcoLogs_Reseau[[#This Row],[Cell_ID]],'CKadeaTelcoRegistre_Maintenance'!A:A,'CKadeaTelcoRegistre_Maintenance'!F:F,"Non repertorié")</f>
        <v>ZTE</v>
      </c>
    </row>
    <row r="623" spans="1:9" ht="20.5" customHeight="1" x14ac:dyDescent="0.35">
      <c r="A623" s="1">
        <v>45225.322916666664</v>
      </c>
      <c r="B623" s="5" t="s">
        <v>464</v>
      </c>
      <c r="C623">
        <v>47</v>
      </c>
      <c r="D623" t="s">
        <v>10</v>
      </c>
      <c r="E623" t="str">
        <f>_xlfn.XLOOKUP(CKadeaTelcoLogs_Reseau[[#This Row],[Cell_ID]],'CKadeaTelcoRegistre_Maintenance'!A:A,'CKadeaTelcoRegistre_Maintenance'!B:B,"Non repertorié")</f>
        <v>Non repertorié</v>
      </c>
      <c r="F623" t="str">
        <f>_xlfn.XLOOKUP(CKadeaTelcoLogs_Reseau[[#This Row],[Cell_ID]],'CKadeaTelcoRegistre_Maintenance'!A:A,'CKadeaTelcoRegistre_Maintenance'!C:C,"Non repertorié")</f>
        <v>Non repertorié</v>
      </c>
      <c r="G623" t="str">
        <f>_xlfn.XLOOKUP(CKadeaTelcoLogs_Reseau[[#This Row],[Cell_ID]],'CKadeaTelcoRegistre_Maintenance'!A:A,'CKadeaTelcoRegistre_Maintenance'!D:D,"Non repertorié")</f>
        <v>Non repertorié</v>
      </c>
      <c r="H623" t="str">
        <f>_xlfn.XLOOKUP(CKadeaTelcoLogs_Reseau[[#This Row],[Cell_ID]],'CKadeaTelcoRegistre_Maintenance'!A:A,'CKadeaTelcoRegistre_Maintenance'!E:E,"Non repertorié")</f>
        <v>Non repertorié</v>
      </c>
      <c r="I623" t="str">
        <f>_xlfn.XLOOKUP(CKadeaTelcoLogs_Reseau[[#This Row],[Cell_ID]],'CKadeaTelcoRegistre_Maintenance'!A:A,'CKadeaTelcoRegistre_Maintenance'!F:F,"Non repertorié")</f>
        <v>Non repertorié</v>
      </c>
    </row>
    <row r="624" spans="1:9" ht="20.5" customHeight="1" x14ac:dyDescent="0.35">
      <c r="A624" s="1">
        <v>45202.095138888886</v>
      </c>
      <c r="B624" s="5" t="s">
        <v>465</v>
      </c>
      <c r="C624">
        <v>61</v>
      </c>
      <c r="D624" t="s">
        <v>8</v>
      </c>
      <c r="E624" t="str">
        <f>_xlfn.XLOOKUP(CKadeaTelcoLogs_Reseau[[#This Row],[Cell_ID]],'CKadeaTelcoRegistre_Maintenance'!A:A,'CKadeaTelcoRegistre_Maintenance'!B:B,"Non repertorié")</f>
        <v>Non repertorié</v>
      </c>
      <c r="F624" t="str">
        <f>_xlfn.XLOOKUP(CKadeaTelcoLogs_Reseau[[#This Row],[Cell_ID]],'CKadeaTelcoRegistre_Maintenance'!A:A,'CKadeaTelcoRegistre_Maintenance'!C:C,"Non repertorié")</f>
        <v>Non repertorié</v>
      </c>
      <c r="G624" t="str">
        <f>_xlfn.XLOOKUP(CKadeaTelcoLogs_Reseau[[#This Row],[Cell_ID]],'CKadeaTelcoRegistre_Maintenance'!A:A,'CKadeaTelcoRegistre_Maintenance'!D:D,"Non repertorié")</f>
        <v>Non repertorié</v>
      </c>
      <c r="H624" t="str">
        <f>_xlfn.XLOOKUP(CKadeaTelcoLogs_Reseau[[#This Row],[Cell_ID]],'CKadeaTelcoRegistre_Maintenance'!A:A,'CKadeaTelcoRegistre_Maintenance'!E:E,"Non repertorié")</f>
        <v>Non repertorié</v>
      </c>
      <c r="I624" t="str">
        <f>_xlfn.XLOOKUP(CKadeaTelcoLogs_Reseau[[#This Row],[Cell_ID]],'CKadeaTelcoRegistre_Maintenance'!A:A,'CKadeaTelcoRegistre_Maintenance'!F:F,"Non repertorié")</f>
        <v>Non repertorié</v>
      </c>
    </row>
    <row r="625" spans="1:9" ht="20.5" customHeight="1" x14ac:dyDescent="0.35">
      <c r="A625" s="1">
        <v>45204.53125</v>
      </c>
      <c r="B625" s="5" t="s">
        <v>170</v>
      </c>
      <c r="C625">
        <v>47</v>
      </c>
      <c r="D625" t="s">
        <v>5</v>
      </c>
      <c r="E625" t="str">
        <f>_xlfn.XLOOKUP(CKadeaTelcoLogs_Reseau[[#This Row],[Cell_ID]],'CKadeaTelcoRegistre_Maintenance'!A:A,'CKadeaTelcoRegistre_Maintenance'!B:B,"Non repertorié")</f>
        <v>Nord-Kivu</v>
      </c>
      <c r="F625">
        <f>_xlfn.XLOOKUP(CKadeaTelcoLogs_Reseau[[#This Row],[Cell_ID]],'CKadeaTelcoRegistre_Maintenance'!A:A,'CKadeaTelcoRegistre_Maintenance'!C:C,"Non repertorié")</f>
        <v>-12.336202</v>
      </c>
      <c r="G625">
        <f>_xlfn.XLOOKUP(CKadeaTelcoLogs_Reseau[[#This Row],[Cell_ID]],'CKadeaTelcoRegistre_Maintenance'!A:A,'CKadeaTelcoRegistre_Maintenance'!D:D,"Non repertorié")</f>
        <v>13.693683999999999</v>
      </c>
      <c r="H625" t="str">
        <f>_xlfn.XLOOKUP(CKadeaTelcoLogs_Reseau[[#This Row],[Cell_ID]],'CKadeaTelcoRegistre_Maintenance'!A:A,'CKadeaTelcoRegistre_Maintenance'!E:E,"Non repertorié")</f>
        <v>5G</v>
      </c>
      <c r="I625" t="str">
        <f>_xlfn.XLOOKUP(CKadeaTelcoLogs_Reseau[[#This Row],[Cell_ID]],'CKadeaTelcoRegistre_Maintenance'!A:A,'CKadeaTelcoRegistre_Maintenance'!F:F,"Non repertorié")</f>
        <v>Huawei</v>
      </c>
    </row>
    <row r="626" spans="1:9" ht="20.5" customHeight="1" x14ac:dyDescent="0.35">
      <c r="A626" s="1">
        <v>45225.839583333334</v>
      </c>
      <c r="B626" s="5" t="s">
        <v>466</v>
      </c>
      <c r="C626">
        <v>60</v>
      </c>
      <c r="D626" t="s">
        <v>10</v>
      </c>
      <c r="E626" t="str">
        <f>_xlfn.XLOOKUP(CKadeaTelcoLogs_Reseau[[#This Row],[Cell_ID]],'CKadeaTelcoRegistre_Maintenance'!A:A,'CKadeaTelcoRegistre_Maintenance'!B:B,"Non repertorié")</f>
        <v>Non repertorié</v>
      </c>
      <c r="F626" t="str">
        <f>_xlfn.XLOOKUP(CKadeaTelcoLogs_Reseau[[#This Row],[Cell_ID]],'CKadeaTelcoRegistre_Maintenance'!A:A,'CKadeaTelcoRegistre_Maintenance'!C:C,"Non repertorié")</f>
        <v>Non repertorié</v>
      </c>
      <c r="G626" t="str">
        <f>_xlfn.XLOOKUP(CKadeaTelcoLogs_Reseau[[#This Row],[Cell_ID]],'CKadeaTelcoRegistre_Maintenance'!A:A,'CKadeaTelcoRegistre_Maintenance'!D:D,"Non repertorié")</f>
        <v>Non repertorié</v>
      </c>
      <c r="H626" t="str">
        <f>_xlfn.XLOOKUP(CKadeaTelcoLogs_Reseau[[#This Row],[Cell_ID]],'CKadeaTelcoRegistre_Maintenance'!A:A,'CKadeaTelcoRegistre_Maintenance'!E:E,"Non repertorié")</f>
        <v>Non repertorié</v>
      </c>
      <c r="I626" t="str">
        <f>_xlfn.XLOOKUP(CKadeaTelcoLogs_Reseau[[#This Row],[Cell_ID]],'CKadeaTelcoRegistre_Maintenance'!A:A,'CKadeaTelcoRegistre_Maintenance'!F:F,"Non repertorié")</f>
        <v>Non repertorié</v>
      </c>
    </row>
    <row r="627" spans="1:9" ht="20.5" customHeight="1" x14ac:dyDescent="0.35">
      <c r="A627" s="1">
        <v>45223.513888888891</v>
      </c>
      <c r="B627" s="5" t="s">
        <v>342</v>
      </c>
      <c r="C627">
        <v>109</v>
      </c>
      <c r="D627" t="s">
        <v>8</v>
      </c>
      <c r="E627" t="str">
        <f>_xlfn.XLOOKUP(CKadeaTelcoLogs_Reseau[[#This Row],[Cell_ID]],'CKadeaTelcoRegistre_Maintenance'!A:A,'CKadeaTelcoRegistre_Maintenance'!B:B,"Non repertorié")</f>
        <v>Non repertorié</v>
      </c>
      <c r="F627" t="str">
        <f>_xlfn.XLOOKUP(CKadeaTelcoLogs_Reseau[[#This Row],[Cell_ID]],'CKadeaTelcoRegistre_Maintenance'!A:A,'CKadeaTelcoRegistre_Maintenance'!C:C,"Non repertorié")</f>
        <v>Non repertorié</v>
      </c>
      <c r="G627" t="str">
        <f>_xlfn.XLOOKUP(CKadeaTelcoLogs_Reseau[[#This Row],[Cell_ID]],'CKadeaTelcoRegistre_Maintenance'!A:A,'CKadeaTelcoRegistre_Maintenance'!D:D,"Non repertorié")</f>
        <v>Non repertorié</v>
      </c>
      <c r="H627" t="str">
        <f>_xlfn.XLOOKUP(CKadeaTelcoLogs_Reseau[[#This Row],[Cell_ID]],'CKadeaTelcoRegistre_Maintenance'!A:A,'CKadeaTelcoRegistre_Maintenance'!E:E,"Non repertorié")</f>
        <v>Non repertorié</v>
      </c>
      <c r="I627" t="str">
        <f>_xlfn.XLOOKUP(CKadeaTelcoLogs_Reseau[[#This Row],[Cell_ID]],'CKadeaTelcoRegistre_Maintenance'!A:A,'CKadeaTelcoRegistre_Maintenance'!F:F,"Non repertorié")</f>
        <v>Non repertorié</v>
      </c>
    </row>
    <row r="628" spans="1:9" ht="20.5" customHeight="1" x14ac:dyDescent="0.35">
      <c r="A628" s="1">
        <v>45211.128472222219</v>
      </c>
      <c r="B628" s="5" t="s">
        <v>467</v>
      </c>
      <c r="C628">
        <v>110</v>
      </c>
      <c r="D628" t="s">
        <v>8</v>
      </c>
      <c r="E628" t="str">
        <f>_xlfn.XLOOKUP(CKadeaTelcoLogs_Reseau[[#This Row],[Cell_ID]],'CKadeaTelcoRegistre_Maintenance'!A:A,'CKadeaTelcoRegistre_Maintenance'!B:B,"Non repertorié")</f>
        <v>Sud-Kivu</v>
      </c>
      <c r="F628">
        <f>_xlfn.XLOOKUP(CKadeaTelcoLogs_Reseau[[#This Row],[Cell_ID]],'CKadeaTelcoRegistre_Maintenance'!A:A,'CKadeaTelcoRegistre_Maintenance'!C:C,"Non repertorié")</f>
        <v>2.453036</v>
      </c>
      <c r="G628">
        <f>_xlfn.XLOOKUP(CKadeaTelcoLogs_Reseau[[#This Row],[Cell_ID]],'CKadeaTelcoRegistre_Maintenance'!A:A,'CKadeaTelcoRegistre_Maintenance'!D:D,"Non repertorié")</f>
        <v>20.555484</v>
      </c>
      <c r="H628" t="str">
        <f>_xlfn.XLOOKUP(CKadeaTelcoLogs_Reseau[[#This Row],[Cell_ID]],'CKadeaTelcoRegistre_Maintenance'!A:A,'CKadeaTelcoRegistre_Maintenance'!E:E,"Non repertorié")</f>
        <v>5G</v>
      </c>
      <c r="I628" t="str">
        <f>_xlfn.XLOOKUP(CKadeaTelcoLogs_Reseau[[#This Row],[Cell_ID]],'CKadeaTelcoRegistre_Maintenance'!A:A,'CKadeaTelcoRegistre_Maintenance'!F:F,"Non repertorié")</f>
        <v>Ericsson</v>
      </c>
    </row>
    <row r="629" spans="1:9" ht="20.5" customHeight="1" x14ac:dyDescent="0.35">
      <c r="A629" s="1">
        <v>45200.394444444442</v>
      </c>
      <c r="B629" s="5" t="s">
        <v>299</v>
      </c>
      <c r="C629">
        <v>115</v>
      </c>
      <c r="D629" t="s">
        <v>8</v>
      </c>
      <c r="E629" t="str">
        <f>_xlfn.XLOOKUP(CKadeaTelcoLogs_Reseau[[#This Row],[Cell_ID]],'CKadeaTelcoRegistre_Maintenance'!A:A,'CKadeaTelcoRegistre_Maintenance'!B:B,"Non repertorié")</f>
        <v>Non repertorié</v>
      </c>
      <c r="F629" t="str">
        <f>_xlfn.XLOOKUP(CKadeaTelcoLogs_Reseau[[#This Row],[Cell_ID]],'CKadeaTelcoRegistre_Maintenance'!A:A,'CKadeaTelcoRegistre_Maintenance'!C:C,"Non repertorié")</f>
        <v>Non repertorié</v>
      </c>
      <c r="G629" t="str">
        <f>_xlfn.XLOOKUP(CKadeaTelcoLogs_Reseau[[#This Row],[Cell_ID]],'CKadeaTelcoRegistre_Maintenance'!A:A,'CKadeaTelcoRegistre_Maintenance'!D:D,"Non repertorié")</f>
        <v>Non repertorié</v>
      </c>
      <c r="H629" t="str">
        <f>_xlfn.XLOOKUP(CKadeaTelcoLogs_Reseau[[#This Row],[Cell_ID]],'CKadeaTelcoRegistre_Maintenance'!A:A,'CKadeaTelcoRegistre_Maintenance'!E:E,"Non repertorié")</f>
        <v>Non repertorié</v>
      </c>
      <c r="I629" t="str">
        <f>_xlfn.XLOOKUP(CKadeaTelcoLogs_Reseau[[#This Row],[Cell_ID]],'CKadeaTelcoRegistre_Maintenance'!A:A,'CKadeaTelcoRegistre_Maintenance'!F:F,"Non repertorié")</f>
        <v>Non repertorié</v>
      </c>
    </row>
    <row r="630" spans="1:9" ht="20.5" customHeight="1" x14ac:dyDescent="0.35">
      <c r="A630" s="1">
        <v>45211.337500000001</v>
      </c>
      <c r="B630" s="5" t="s">
        <v>468</v>
      </c>
      <c r="C630">
        <v>88</v>
      </c>
      <c r="D630" t="s">
        <v>8</v>
      </c>
      <c r="E630" t="str">
        <f>_xlfn.XLOOKUP(CKadeaTelcoLogs_Reseau[[#This Row],[Cell_ID]],'CKadeaTelcoRegistre_Maintenance'!A:A,'CKadeaTelcoRegistre_Maintenance'!B:B,"Non repertorié")</f>
        <v>Ituri</v>
      </c>
      <c r="F630">
        <f>_xlfn.XLOOKUP(CKadeaTelcoLogs_Reseau[[#This Row],[Cell_ID]],'CKadeaTelcoRegistre_Maintenance'!A:A,'CKadeaTelcoRegistre_Maintenance'!C:C,"Non repertorié")</f>
        <v>-12.364127999999999</v>
      </c>
      <c r="G630">
        <f>_xlfn.XLOOKUP(CKadeaTelcoLogs_Reseau[[#This Row],[Cell_ID]],'CKadeaTelcoRegistre_Maintenance'!A:A,'CKadeaTelcoRegistre_Maintenance'!D:D,"Non repertorié")</f>
        <v>19.576150999999999</v>
      </c>
      <c r="H630" t="str">
        <f>_xlfn.XLOOKUP(CKadeaTelcoLogs_Reseau[[#This Row],[Cell_ID]],'CKadeaTelcoRegistre_Maintenance'!A:A,'CKadeaTelcoRegistre_Maintenance'!E:E,"Non repertorié")</f>
        <v>3G</v>
      </c>
      <c r="I630" t="str">
        <f>_xlfn.XLOOKUP(CKadeaTelcoLogs_Reseau[[#This Row],[Cell_ID]],'CKadeaTelcoRegistre_Maintenance'!A:A,'CKadeaTelcoRegistre_Maintenance'!F:F,"Non repertorié")</f>
        <v>Nokia</v>
      </c>
    </row>
    <row r="631" spans="1:9" ht="20.5" customHeight="1" x14ac:dyDescent="0.35">
      <c r="A631" s="1">
        <v>45204.09097222222</v>
      </c>
      <c r="B631" s="5" t="s">
        <v>469</v>
      </c>
      <c r="C631">
        <v>81</v>
      </c>
      <c r="D631" t="s">
        <v>5</v>
      </c>
      <c r="E631" t="str">
        <f>_xlfn.XLOOKUP(CKadeaTelcoLogs_Reseau[[#This Row],[Cell_ID]],'CKadeaTelcoRegistre_Maintenance'!A:A,'CKadeaTelcoRegistre_Maintenance'!B:B,"Non repertorié")</f>
        <v>Non repertorié</v>
      </c>
      <c r="F631" t="str">
        <f>_xlfn.XLOOKUP(CKadeaTelcoLogs_Reseau[[#This Row],[Cell_ID]],'CKadeaTelcoRegistre_Maintenance'!A:A,'CKadeaTelcoRegistre_Maintenance'!C:C,"Non repertorié")</f>
        <v>Non repertorié</v>
      </c>
      <c r="G631" t="str">
        <f>_xlfn.XLOOKUP(CKadeaTelcoLogs_Reseau[[#This Row],[Cell_ID]],'CKadeaTelcoRegistre_Maintenance'!A:A,'CKadeaTelcoRegistre_Maintenance'!D:D,"Non repertorié")</f>
        <v>Non repertorié</v>
      </c>
      <c r="H631" t="str">
        <f>_xlfn.XLOOKUP(CKadeaTelcoLogs_Reseau[[#This Row],[Cell_ID]],'CKadeaTelcoRegistre_Maintenance'!A:A,'CKadeaTelcoRegistre_Maintenance'!E:E,"Non repertorié")</f>
        <v>Non repertorié</v>
      </c>
      <c r="I631" t="str">
        <f>_xlfn.XLOOKUP(CKadeaTelcoLogs_Reseau[[#This Row],[Cell_ID]],'CKadeaTelcoRegistre_Maintenance'!A:A,'CKadeaTelcoRegistre_Maintenance'!F:F,"Non repertorié")</f>
        <v>Non repertorié</v>
      </c>
    </row>
    <row r="632" spans="1:9" ht="20.5" customHeight="1" x14ac:dyDescent="0.35">
      <c r="A632" s="1">
        <v>45213.607638888891</v>
      </c>
      <c r="B632" s="5" t="s">
        <v>470</v>
      </c>
      <c r="C632">
        <v>22</v>
      </c>
      <c r="D632" t="s">
        <v>5</v>
      </c>
      <c r="E632" t="str">
        <f>_xlfn.XLOOKUP(CKadeaTelcoLogs_Reseau[[#This Row],[Cell_ID]],'CKadeaTelcoRegistre_Maintenance'!A:A,'CKadeaTelcoRegistre_Maintenance'!B:B,"Non repertorié")</f>
        <v>Non repertorié</v>
      </c>
      <c r="F632" t="str">
        <f>_xlfn.XLOOKUP(CKadeaTelcoLogs_Reseau[[#This Row],[Cell_ID]],'CKadeaTelcoRegistre_Maintenance'!A:A,'CKadeaTelcoRegistre_Maintenance'!C:C,"Non repertorié")</f>
        <v>Non repertorié</v>
      </c>
      <c r="G632" t="str">
        <f>_xlfn.XLOOKUP(CKadeaTelcoLogs_Reseau[[#This Row],[Cell_ID]],'CKadeaTelcoRegistre_Maintenance'!A:A,'CKadeaTelcoRegistre_Maintenance'!D:D,"Non repertorié")</f>
        <v>Non repertorié</v>
      </c>
      <c r="H632" t="str">
        <f>_xlfn.XLOOKUP(CKadeaTelcoLogs_Reseau[[#This Row],[Cell_ID]],'CKadeaTelcoRegistre_Maintenance'!A:A,'CKadeaTelcoRegistre_Maintenance'!E:E,"Non repertorié")</f>
        <v>Non repertorié</v>
      </c>
      <c r="I632" t="str">
        <f>_xlfn.XLOOKUP(CKadeaTelcoLogs_Reseau[[#This Row],[Cell_ID]],'CKadeaTelcoRegistre_Maintenance'!A:A,'CKadeaTelcoRegistre_Maintenance'!F:F,"Non repertorié")</f>
        <v>Non repertorié</v>
      </c>
    </row>
    <row r="633" spans="1:9" ht="20.5" customHeight="1" x14ac:dyDescent="0.35">
      <c r="A633" s="1">
        <v>45217.68472222222</v>
      </c>
      <c r="B633" s="5" t="s">
        <v>200</v>
      </c>
      <c r="C633">
        <v>43</v>
      </c>
      <c r="D633" t="s">
        <v>5</v>
      </c>
      <c r="E633" t="str">
        <f>_xlfn.XLOOKUP(CKadeaTelcoLogs_Reseau[[#This Row],[Cell_ID]],'CKadeaTelcoRegistre_Maintenance'!A:A,'CKadeaTelcoRegistre_Maintenance'!B:B,"Non repertorié")</f>
        <v>Non repertorié</v>
      </c>
      <c r="F633" t="str">
        <f>_xlfn.XLOOKUP(CKadeaTelcoLogs_Reseau[[#This Row],[Cell_ID]],'CKadeaTelcoRegistre_Maintenance'!A:A,'CKadeaTelcoRegistre_Maintenance'!C:C,"Non repertorié")</f>
        <v>Non repertorié</v>
      </c>
      <c r="G633" t="str">
        <f>_xlfn.XLOOKUP(CKadeaTelcoLogs_Reseau[[#This Row],[Cell_ID]],'CKadeaTelcoRegistre_Maintenance'!A:A,'CKadeaTelcoRegistre_Maintenance'!D:D,"Non repertorié")</f>
        <v>Non repertorié</v>
      </c>
      <c r="H633" t="str">
        <f>_xlfn.XLOOKUP(CKadeaTelcoLogs_Reseau[[#This Row],[Cell_ID]],'CKadeaTelcoRegistre_Maintenance'!A:A,'CKadeaTelcoRegistre_Maintenance'!E:E,"Non repertorié")</f>
        <v>Non repertorié</v>
      </c>
      <c r="I633" t="str">
        <f>_xlfn.XLOOKUP(CKadeaTelcoLogs_Reseau[[#This Row],[Cell_ID]],'CKadeaTelcoRegistre_Maintenance'!A:A,'CKadeaTelcoRegistre_Maintenance'!F:F,"Non repertorié")</f>
        <v>Non repertorié</v>
      </c>
    </row>
    <row r="634" spans="1:9" ht="20.5" customHeight="1" x14ac:dyDescent="0.35">
      <c r="A634" s="1">
        <v>45203.003472222219</v>
      </c>
      <c r="B634" s="5" t="s">
        <v>471</v>
      </c>
      <c r="C634">
        <v>46</v>
      </c>
      <c r="D634" t="s">
        <v>8</v>
      </c>
      <c r="E634" t="str">
        <f>_xlfn.XLOOKUP(CKadeaTelcoLogs_Reseau[[#This Row],[Cell_ID]],'CKadeaTelcoRegistre_Maintenance'!A:A,'CKadeaTelcoRegistre_Maintenance'!B:B,"Non repertorié")</f>
        <v>Non repertorié</v>
      </c>
      <c r="F634" t="str">
        <f>_xlfn.XLOOKUP(CKadeaTelcoLogs_Reseau[[#This Row],[Cell_ID]],'CKadeaTelcoRegistre_Maintenance'!A:A,'CKadeaTelcoRegistre_Maintenance'!C:C,"Non repertorié")</f>
        <v>Non repertorié</v>
      </c>
      <c r="G634" t="str">
        <f>_xlfn.XLOOKUP(CKadeaTelcoLogs_Reseau[[#This Row],[Cell_ID]],'CKadeaTelcoRegistre_Maintenance'!A:A,'CKadeaTelcoRegistre_Maintenance'!D:D,"Non repertorié")</f>
        <v>Non repertorié</v>
      </c>
      <c r="H634" t="str">
        <f>_xlfn.XLOOKUP(CKadeaTelcoLogs_Reseau[[#This Row],[Cell_ID]],'CKadeaTelcoRegistre_Maintenance'!A:A,'CKadeaTelcoRegistre_Maintenance'!E:E,"Non repertorié")</f>
        <v>Non repertorié</v>
      </c>
      <c r="I634" t="str">
        <f>_xlfn.XLOOKUP(CKadeaTelcoLogs_Reseau[[#This Row],[Cell_ID]],'CKadeaTelcoRegistre_Maintenance'!A:A,'CKadeaTelcoRegistre_Maintenance'!F:F,"Non repertorié")</f>
        <v>Non repertorié</v>
      </c>
    </row>
    <row r="635" spans="1:9" ht="20.5" customHeight="1" x14ac:dyDescent="0.35">
      <c r="A635" s="1">
        <v>45211.711805555555</v>
      </c>
      <c r="B635" s="5" t="s">
        <v>472</v>
      </c>
      <c r="C635">
        <v>82</v>
      </c>
      <c r="D635" t="s">
        <v>8</v>
      </c>
      <c r="E635" t="str">
        <f>_xlfn.XLOOKUP(CKadeaTelcoLogs_Reseau[[#This Row],[Cell_ID]],'CKadeaTelcoRegistre_Maintenance'!A:A,'CKadeaTelcoRegistre_Maintenance'!B:B,"Non repertorié")</f>
        <v>Non repertorié</v>
      </c>
      <c r="F635" t="str">
        <f>_xlfn.XLOOKUP(CKadeaTelcoLogs_Reseau[[#This Row],[Cell_ID]],'CKadeaTelcoRegistre_Maintenance'!A:A,'CKadeaTelcoRegistre_Maintenance'!C:C,"Non repertorié")</f>
        <v>Non repertorié</v>
      </c>
      <c r="G635" t="str">
        <f>_xlfn.XLOOKUP(CKadeaTelcoLogs_Reseau[[#This Row],[Cell_ID]],'CKadeaTelcoRegistre_Maintenance'!A:A,'CKadeaTelcoRegistre_Maintenance'!D:D,"Non repertorié")</f>
        <v>Non repertorié</v>
      </c>
      <c r="H635" t="str">
        <f>_xlfn.XLOOKUP(CKadeaTelcoLogs_Reseau[[#This Row],[Cell_ID]],'CKadeaTelcoRegistre_Maintenance'!A:A,'CKadeaTelcoRegistre_Maintenance'!E:E,"Non repertorié")</f>
        <v>Non repertorié</v>
      </c>
      <c r="I635" t="str">
        <f>_xlfn.XLOOKUP(CKadeaTelcoLogs_Reseau[[#This Row],[Cell_ID]],'CKadeaTelcoRegistre_Maintenance'!A:A,'CKadeaTelcoRegistre_Maintenance'!F:F,"Non repertorié")</f>
        <v>Non repertorié</v>
      </c>
    </row>
    <row r="636" spans="1:9" ht="20.5" customHeight="1" x14ac:dyDescent="0.35">
      <c r="A636" s="1">
        <v>45219.826388888891</v>
      </c>
      <c r="B636" s="5" t="s">
        <v>45</v>
      </c>
      <c r="C636">
        <v>93</v>
      </c>
      <c r="D636" t="s">
        <v>10</v>
      </c>
      <c r="E636" t="str">
        <f>_xlfn.XLOOKUP(CKadeaTelcoLogs_Reseau[[#This Row],[Cell_ID]],'CKadeaTelcoRegistre_Maintenance'!A:A,'CKadeaTelcoRegistre_Maintenance'!B:B,"Non repertorié")</f>
        <v>Sud-Kivu</v>
      </c>
      <c r="F636">
        <f>_xlfn.XLOOKUP(CKadeaTelcoLogs_Reseau[[#This Row],[Cell_ID]],'CKadeaTelcoRegistre_Maintenance'!A:A,'CKadeaTelcoRegistre_Maintenance'!C:C,"Non repertorié")</f>
        <v>4.2493650000000001</v>
      </c>
      <c r="G636">
        <f>_xlfn.XLOOKUP(CKadeaTelcoLogs_Reseau[[#This Row],[Cell_ID]],'CKadeaTelcoRegistre_Maintenance'!A:A,'CKadeaTelcoRegistre_Maintenance'!D:D,"Non repertorié")</f>
        <v>28.355039999999999</v>
      </c>
      <c r="H636" t="str">
        <f>_xlfn.XLOOKUP(CKadeaTelcoLogs_Reseau[[#This Row],[Cell_ID]],'CKadeaTelcoRegistre_Maintenance'!A:A,'CKadeaTelcoRegistre_Maintenance'!E:E,"Non repertorié")</f>
        <v>3G</v>
      </c>
      <c r="I636" t="str">
        <f>_xlfn.XLOOKUP(CKadeaTelcoLogs_Reseau[[#This Row],[Cell_ID]],'CKadeaTelcoRegistre_Maintenance'!A:A,'CKadeaTelcoRegistre_Maintenance'!F:F,"Non repertorié")</f>
        <v>ZTE</v>
      </c>
    </row>
    <row r="637" spans="1:9" ht="20.5" customHeight="1" x14ac:dyDescent="0.35">
      <c r="A637" s="1">
        <v>45210.5</v>
      </c>
      <c r="B637" s="5" t="s">
        <v>473</v>
      </c>
      <c r="C637">
        <v>30</v>
      </c>
      <c r="D637" t="s">
        <v>5</v>
      </c>
      <c r="E637" t="str">
        <f>_xlfn.XLOOKUP(CKadeaTelcoLogs_Reseau[[#This Row],[Cell_ID]],'CKadeaTelcoRegistre_Maintenance'!A:A,'CKadeaTelcoRegistre_Maintenance'!B:B,"Non repertorié")</f>
        <v>Non repertorié</v>
      </c>
      <c r="F637" t="str">
        <f>_xlfn.XLOOKUP(CKadeaTelcoLogs_Reseau[[#This Row],[Cell_ID]],'CKadeaTelcoRegistre_Maintenance'!A:A,'CKadeaTelcoRegistre_Maintenance'!C:C,"Non repertorié")</f>
        <v>Non repertorié</v>
      </c>
      <c r="G637" t="str">
        <f>_xlfn.XLOOKUP(CKadeaTelcoLogs_Reseau[[#This Row],[Cell_ID]],'CKadeaTelcoRegistre_Maintenance'!A:A,'CKadeaTelcoRegistre_Maintenance'!D:D,"Non repertorié")</f>
        <v>Non repertorié</v>
      </c>
      <c r="H637" t="str">
        <f>_xlfn.XLOOKUP(CKadeaTelcoLogs_Reseau[[#This Row],[Cell_ID]],'CKadeaTelcoRegistre_Maintenance'!A:A,'CKadeaTelcoRegistre_Maintenance'!E:E,"Non repertorié")</f>
        <v>Non repertorié</v>
      </c>
      <c r="I637" t="str">
        <f>_xlfn.XLOOKUP(CKadeaTelcoLogs_Reseau[[#This Row],[Cell_ID]],'CKadeaTelcoRegistre_Maintenance'!A:A,'CKadeaTelcoRegistre_Maintenance'!F:F,"Non repertorié")</f>
        <v>Non repertorié</v>
      </c>
    </row>
    <row r="638" spans="1:9" ht="20.5" customHeight="1" x14ac:dyDescent="0.35">
      <c r="A638" s="1">
        <v>45209.558333333334</v>
      </c>
      <c r="B638" s="5" t="s">
        <v>474</v>
      </c>
      <c r="C638">
        <v>66</v>
      </c>
      <c r="D638" t="s">
        <v>8</v>
      </c>
      <c r="E638" t="str">
        <f>_xlfn.XLOOKUP(CKadeaTelcoLogs_Reseau[[#This Row],[Cell_ID]],'CKadeaTelcoRegistre_Maintenance'!A:A,'CKadeaTelcoRegistre_Maintenance'!B:B,"Non repertorié")</f>
        <v>Ituri</v>
      </c>
      <c r="F638">
        <f>_xlfn.XLOOKUP(CKadeaTelcoLogs_Reseau[[#This Row],[Cell_ID]],'CKadeaTelcoRegistre_Maintenance'!A:A,'CKadeaTelcoRegistre_Maintenance'!C:C,"Non repertorié")</f>
        <v>-12.595355</v>
      </c>
      <c r="G638">
        <f>_xlfn.XLOOKUP(CKadeaTelcoLogs_Reseau[[#This Row],[Cell_ID]],'CKadeaTelcoRegistre_Maintenance'!A:A,'CKadeaTelcoRegistre_Maintenance'!D:D,"Non repertorié")</f>
        <v>17.897442000000002</v>
      </c>
      <c r="H638" t="str">
        <f>_xlfn.XLOOKUP(CKadeaTelcoLogs_Reseau[[#This Row],[Cell_ID]],'CKadeaTelcoRegistre_Maintenance'!A:A,'CKadeaTelcoRegistre_Maintenance'!E:E,"Non repertorié")</f>
        <v>4G</v>
      </c>
      <c r="I638" t="str">
        <f>_xlfn.XLOOKUP(CKadeaTelcoLogs_Reseau[[#This Row],[Cell_ID]],'CKadeaTelcoRegistre_Maintenance'!A:A,'CKadeaTelcoRegistre_Maintenance'!F:F,"Non repertorié")</f>
        <v>Huawei</v>
      </c>
    </row>
    <row r="639" spans="1:9" ht="20.5" customHeight="1" x14ac:dyDescent="0.35">
      <c r="A639" s="1">
        <v>45224.115277777775</v>
      </c>
      <c r="B639" s="5" t="s">
        <v>475</v>
      </c>
      <c r="C639">
        <v>45</v>
      </c>
      <c r="D639" t="s">
        <v>8</v>
      </c>
      <c r="E639" t="str">
        <f>_xlfn.XLOOKUP(CKadeaTelcoLogs_Reseau[[#This Row],[Cell_ID]],'CKadeaTelcoRegistre_Maintenance'!A:A,'CKadeaTelcoRegistre_Maintenance'!B:B,"Non repertorié")</f>
        <v>Tshopo</v>
      </c>
      <c r="F639">
        <f>_xlfn.XLOOKUP(CKadeaTelcoLogs_Reseau[[#This Row],[Cell_ID]],'CKadeaTelcoRegistre_Maintenance'!A:A,'CKadeaTelcoRegistre_Maintenance'!C:C,"Non repertorié")</f>
        <v>-11.265995</v>
      </c>
      <c r="G639">
        <f>_xlfn.XLOOKUP(CKadeaTelcoLogs_Reseau[[#This Row],[Cell_ID]],'CKadeaTelcoRegistre_Maintenance'!A:A,'CKadeaTelcoRegistre_Maintenance'!D:D,"Non repertorié")</f>
        <v>28.935514999999999</v>
      </c>
      <c r="H639" t="str">
        <f>_xlfn.XLOOKUP(CKadeaTelcoLogs_Reseau[[#This Row],[Cell_ID]],'CKadeaTelcoRegistre_Maintenance'!A:A,'CKadeaTelcoRegistre_Maintenance'!E:E,"Non repertorié")</f>
        <v>4G</v>
      </c>
      <c r="I639" t="str">
        <f>_xlfn.XLOOKUP(CKadeaTelcoLogs_Reseau[[#This Row],[Cell_ID]],'CKadeaTelcoRegistre_Maintenance'!A:A,'CKadeaTelcoRegistre_Maintenance'!F:F,"Non repertorié")</f>
        <v>Ericsson</v>
      </c>
    </row>
    <row r="640" spans="1:9" ht="20.5" customHeight="1" x14ac:dyDescent="0.35">
      <c r="A640" s="1">
        <v>45228.747916666667</v>
      </c>
      <c r="B640" s="5" t="s">
        <v>454</v>
      </c>
      <c r="C640">
        <v>27</v>
      </c>
      <c r="D640" t="s">
        <v>5</v>
      </c>
      <c r="E640" t="str">
        <f>_xlfn.XLOOKUP(CKadeaTelcoLogs_Reseau[[#This Row],[Cell_ID]],'CKadeaTelcoRegistre_Maintenance'!A:A,'CKadeaTelcoRegistre_Maintenance'!B:B,"Non repertorié")</f>
        <v>Lualaba</v>
      </c>
      <c r="F640">
        <f>_xlfn.XLOOKUP(CKadeaTelcoLogs_Reseau[[#This Row],[Cell_ID]],'CKadeaTelcoRegistre_Maintenance'!A:A,'CKadeaTelcoRegistre_Maintenance'!C:C,"Non repertorié")</f>
        <v>-8.0301989999999996</v>
      </c>
      <c r="G640">
        <f>_xlfn.XLOOKUP(CKadeaTelcoLogs_Reseau[[#This Row],[Cell_ID]],'CKadeaTelcoRegistre_Maintenance'!A:A,'CKadeaTelcoRegistre_Maintenance'!D:D,"Non repertorié")</f>
        <v>24.122495000000001</v>
      </c>
      <c r="H640" t="str">
        <f>_xlfn.XLOOKUP(CKadeaTelcoLogs_Reseau[[#This Row],[Cell_ID]],'CKadeaTelcoRegistre_Maintenance'!A:A,'CKadeaTelcoRegistre_Maintenance'!E:E,"Non repertorié")</f>
        <v>5G</v>
      </c>
      <c r="I640" t="str">
        <f>_xlfn.XLOOKUP(CKadeaTelcoLogs_Reseau[[#This Row],[Cell_ID]],'CKadeaTelcoRegistre_Maintenance'!A:A,'CKadeaTelcoRegistre_Maintenance'!F:F,"Non repertorié")</f>
        <v>ZTE</v>
      </c>
    </row>
    <row r="641" spans="1:9" ht="20.5" customHeight="1" x14ac:dyDescent="0.35">
      <c r="A641" s="1">
        <v>45207.772916666669</v>
      </c>
      <c r="B641" s="5" t="s">
        <v>445</v>
      </c>
      <c r="C641">
        <v>55</v>
      </c>
      <c r="D641" t="s">
        <v>8</v>
      </c>
      <c r="E641" t="str">
        <f>_xlfn.XLOOKUP(CKadeaTelcoLogs_Reseau[[#This Row],[Cell_ID]],'CKadeaTelcoRegistre_Maintenance'!A:A,'CKadeaTelcoRegistre_Maintenance'!B:B,"Non repertorié")</f>
        <v>Non repertorié</v>
      </c>
      <c r="F641" t="str">
        <f>_xlfn.XLOOKUP(CKadeaTelcoLogs_Reseau[[#This Row],[Cell_ID]],'CKadeaTelcoRegistre_Maintenance'!A:A,'CKadeaTelcoRegistre_Maintenance'!C:C,"Non repertorié")</f>
        <v>Non repertorié</v>
      </c>
      <c r="G641" t="str">
        <f>_xlfn.XLOOKUP(CKadeaTelcoLogs_Reseau[[#This Row],[Cell_ID]],'CKadeaTelcoRegistre_Maintenance'!A:A,'CKadeaTelcoRegistre_Maintenance'!D:D,"Non repertorié")</f>
        <v>Non repertorié</v>
      </c>
      <c r="H641" t="str">
        <f>_xlfn.XLOOKUP(CKadeaTelcoLogs_Reseau[[#This Row],[Cell_ID]],'CKadeaTelcoRegistre_Maintenance'!A:A,'CKadeaTelcoRegistre_Maintenance'!E:E,"Non repertorié")</f>
        <v>Non repertorié</v>
      </c>
      <c r="I641" t="str">
        <f>_xlfn.XLOOKUP(CKadeaTelcoLogs_Reseau[[#This Row],[Cell_ID]],'CKadeaTelcoRegistre_Maintenance'!A:A,'CKadeaTelcoRegistre_Maintenance'!F:F,"Non repertorié")</f>
        <v>Non repertorié</v>
      </c>
    </row>
    <row r="642" spans="1:9" ht="20.5" customHeight="1" x14ac:dyDescent="0.35">
      <c r="A642" s="1">
        <v>45205.89166666667</v>
      </c>
      <c r="B642" s="5" t="s">
        <v>445</v>
      </c>
      <c r="C642">
        <v>45</v>
      </c>
      <c r="D642" t="s">
        <v>8</v>
      </c>
      <c r="E642" t="str">
        <f>_xlfn.XLOOKUP(CKadeaTelcoLogs_Reseau[[#This Row],[Cell_ID]],'CKadeaTelcoRegistre_Maintenance'!A:A,'CKadeaTelcoRegistre_Maintenance'!B:B,"Non repertorié")</f>
        <v>Non repertorié</v>
      </c>
      <c r="F642" t="str">
        <f>_xlfn.XLOOKUP(CKadeaTelcoLogs_Reseau[[#This Row],[Cell_ID]],'CKadeaTelcoRegistre_Maintenance'!A:A,'CKadeaTelcoRegistre_Maintenance'!C:C,"Non repertorié")</f>
        <v>Non repertorié</v>
      </c>
      <c r="G642" t="str">
        <f>_xlfn.XLOOKUP(CKadeaTelcoLogs_Reseau[[#This Row],[Cell_ID]],'CKadeaTelcoRegistre_Maintenance'!A:A,'CKadeaTelcoRegistre_Maintenance'!D:D,"Non repertorié")</f>
        <v>Non repertorié</v>
      </c>
      <c r="H642" t="str">
        <f>_xlfn.XLOOKUP(CKadeaTelcoLogs_Reseau[[#This Row],[Cell_ID]],'CKadeaTelcoRegistre_Maintenance'!A:A,'CKadeaTelcoRegistre_Maintenance'!E:E,"Non repertorié")</f>
        <v>Non repertorié</v>
      </c>
      <c r="I642" t="str">
        <f>_xlfn.XLOOKUP(CKadeaTelcoLogs_Reseau[[#This Row],[Cell_ID]],'CKadeaTelcoRegistre_Maintenance'!A:A,'CKadeaTelcoRegistre_Maintenance'!F:F,"Non repertorié")</f>
        <v>Non repertorié</v>
      </c>
    </row>
    <row r="643" spans="1:9" ht="20.5" customHeight="1" x14ac:dyDescent="0.35">
      <c r="A643" s="1">
        <v>45205.178472222222</v>
      </c>
      <c r="B643" s="5" t="s">
        <v>476</v>
      </c>
      <c r="C643">
        <v>42</v>
      </c>
      <c r="D643" t="s">
        <v>8</v>
      </c>
      <c r="E643" t="str">
        <f>_xlfn.XLOOKUP(CKadeaTelcoLogs_Reseau[[#This Row],[Cell_ID]],'CKadeaTelcoRegistre_Maintenance'!A:A,'CKadeaTelcoRegistre_Maintenance'!B:B,"Non repertorié")</f>
        <v>Sud-Ubangi</v>
      </c>
      <c r="F643">
        <f>_xlfn.XLOOKUP(CKadeaTelcoLogs_Reseau[[#This Row],[Cell_ID]],'CKadeaTelcoRegistre_Maintenance'!A:A,'CKadeaTelcoRegistre_Maintenance'!C:C,"Non repertorié")</f>
        <v>3.611561</v>
      </c>
      <c r="G643">
        <f>_xlfn.XLOOKUP(CKadeaTelcoLogs_Reseau[[#This Row],[Cell_ID]],'CKadeaTelcoRegistre_Maintenance'!A:A,'CKadeaTelcoRegistre_Maintenance'!D:D,"Non repertorié")</f>
        <v>17.725974999999998</v>
      </c>
      <c r="H643" t="str">
        <f>_xlfn.XLOOKUP(CKadeaTelcoLogs_Reseau[[#This Row],[Cell_ID]],'CKadeaTelcoRegistre_Maintenance'!A:A,'CKadeaTelcoRegistre_Maintenance'!E:E,"Non repertorié")</f>
        <v>3G</v>
      </c>
      <c r="I643" t="str">
        <f>_xlfn.XLOOKUP(CKadeaTelcoLogs_Reseau[[#This Row],[Cell_ID]],'CKadeaTelcoRegistre_Maintenance'!A:A,'CKadeaTelcoRegistre_Maintenance'!F:F,"Non repertorié")</f>
        <v>ZTE</v>
      </c>
    </row>
    <row r="644" spans="1:9" ht="20.5" customHeight="1" x14ac:dyDescent="0.35">
      <c r="A644" s="1">
        <v>45209.354861111111</v>
      </c>
      <c r="B644" s="5" t="s">
        <v>411</v>
      </c>
      <c r="C644">
        <v>99</v>
      </c>
      <c r="D644" t="s">
        <v>8</v>
      </c>
      <c r="E644" t="str">
        <f>_xlfn.XLOOKUP(CKadeaTelcoLogs_Reseau[[#This Row],[Cell_ID]],'CKadeaTelcoRegistre_Maintenance'!A:A,'CKadeaTelcoRegistre_Maintenance'!B:B,"Non repertorié")</f>
        <v>Kinshasa</v>
      </c>
      <c r="F644">
        <f>_xlfn.XLOOKUP(CKadeaTelcoLogs_Reseau[[#This Row],[Cell_ID]],'CKadeaTelcoRegistre_Maintenance'!A:A,'CKadeaTelcoRegistre_Maintenance'!C:C,"Non repertorié")</f>
        <v>1.3006180000000001</v>
      </c>
      <c r="G644">
        <f>_xlfn.XLOOKUP(CKadeaTelcoLogs_Reseau[[#This Row],[Cell_ID]],'CKadeaTelcoRegistre_Maintenance'!A:A,'CKadeaTelcoRegistre_Maintenance'!D:D,"Non repertorié")</f>
        <v>29.060970999999999</v>
      </c>
      <c r="H644" t="str">
        <f>_xlfn.XLOOKUP(CKadeaTelcoLogs_Reseau[[#This Row],[Cell_ID]],'CKadeaTelcoRegistre_Maintenance'!A:A,'CKadeaTelcoRegistre_Maintenance'!E:E,"Non repertorié")</f>
        <v>3G</v>
      </c>
      <c r="I644" t="str">
        <f>_xlfn.XLOOKUP(CKadeaTelcoLogs_Reseau[[#This Row],[Cell_ID]],'CKadeaTelcoRegistre_Maintenance'!A:A,'CKadeaTelcoRegistre_Maintenance'!F:F,"Non repertorié")</f>
        <v>ZTE</v>
      </c>
    </row>
    <row r="645" spans="1:9" ht="20.5" customHeight="1" x14ac:dyDescent="0.35">
      <c r="A645" s="1">
        <v>45204.090277777781</v>
      </c>
      <c r="B645" s="5" t="s">
        <v>477</v>
      </c>
      <c r="C645">
        <v>93</v>
      </c>
      <c r="D645" t="s">
        <v>10</v>
      </c>
      <c r="E645" t="str">
        <f>_xlfn.XLOOKUP(CKadeaTelcoLogs_Reseau[[#This Row],[Cell_ID]],'CKadeaTelcoRegistre_Maintenance'!A:A,'CKadeaTelcoRegistre_Maintenance'!B:B,"Non repertorié")</f>
        <v>Non repertorié</v>
      </c>
      <c r="F645" t="str">
        <f>_xlfn.XLOOKUP(CKadeaTelcoLogs_Reseau[[#This Row],[Cell_ID]],'CKadeaTelcoRegistre_Maintenance'!A:A,'CKadeaTelcoRegistre_Maintenance'!C:C,"Non repertorié")</f>
        <v>Non repertorié</v>
      </c>
      <c r="G645" t="str">
        <f>_xlfn.XLOOKUP(CKadeaTelcoLogs_Reseau[[#This Row],[Cell_ID]],'CKadeaTelcoRegistre_Maintenance'!A:A,'CKadeaTelcoRegistre_Maintenance'!D:D,"Non repertorié")</f>
        <v>Non repertorié</v>
      </c>
      <c r="H645" t="str">
        <f>_xlfn.XLOOKUP(CKadeaTelcoLogs_Reseau[[#This Row],[Cell_ID]],'CKadeaTelcoRegistre_Maintenance'!A:A,'CKadeaTelcoRegistre_Maintenance'!E:E,"Non repertorié")</f>
        <v>Non repertorié</v>
      </c>
      <c r="I645" t="str">
        <f>_xlfn.XLOOKUP(CKadeaTelcoLogs_Reseau[[#This Row],[Cell_ID]],'CKadeaTelcoRegistre_Maintenance'!A:A,'CKadeaTelcoRegistre_Maintenance'!F:F,"Non repertorié")</f>
        <v>Non repertorié</v>
      </c>
    </row>
    <row r="646" spans="1:9" ht="20.5" customHeight="1" x14ac:dyDescent="0.35">
      <c r="A646" s="1">
        <v>45213.351388888892</v>
      </c>
      <c r="B646" s="5" t="s">
        <v>478</v>
      </c>
      <c r="C646">
        <v>86</v>
      </c>
      <c r="D646" t="s">
        <v>10</v>
      </c>
      <c r="E646" t="str">
        <f>_xlfn.XLOOKUP(CKadeaTelcoLogs_Reseau[[#This Row],[Cell_ID]],'CKadeaTelcoRegistre_Maintenance'!A:A,'CKadeaTelcoRegistre_Maintenance'!B:B,"Non repertorié")</f>
        <v>Maniema</v>
      </c>
      <c r="F646">
        <f>_xlfn.XLOOKUP(CKadeaTelcoLogs_Reseau[[#This Row],[Cell_ID]],'CKadeaTelcoRegistre_Maintenance'!A:A,'CKadeaTelcoRegistre_Maintenance'!C:C,"Non repertorié")</f>
        <v>4.8228650000000002</v>
      </c>
      <c r="G646">
        <f>_xlfn.XLOOKUP(CKadeaTelcoLogs_Reseau[[#This Row],[Cell_ID]],'CKadeaTelcoRegistre_Maintenance'!A:A,'CKadeaTelcoRegistre_Maintenance'!D:D,"Non repertorié")</f>
        <v>30.555627000000001</v>
      </c>
      <c r="H646" t="str">
        <f>_xlfn.XLOOKUP(CKadeaTelcoLogs_Reseau[[#This Row],[Cell_ID]],'CKadeaTelcoRegistre_Maintenance'!A:A,'CKadeaTelcoRegistre_Maintenance'!E:E,"Non repertorié")</f>
        <v>4G</v>
      </c>
      <c r="I646" t="str">
        <f>_xlfn.XLOOKUP(CKadeaTelcoLogs_Reseau[[#This Row],[Cell_ID]],'CKadeaTelcoRegistre_Maintenance'!A:A,'CKadeaTelcoRegistre_Maintenance'!F:F,"Non repertorié")</f>
        <v>Huawei</v>
      </c>
    </row>
    <row r="647" spans="1:9" ht="20.5" customHeight="1" x14ac:dyDescent="0.35">
      <c r="A647" s="1">
        <v>45209.659722222219</v>
      </c>
      <c r="B647" s="5" t="s">
        <v>257</v>
      </c>
      <c r="C647">
        <v>67</v>
      </c>
      <c r="D647" t="s">
        <v>10</v>
      </c>
      <c r="E647" t="str">
        <f>_xlfn.XLOOKUP(CKadeaTelcoLogs_Reseau[[#This Row],[Cell_ID]],'CKadeaTelcoRegistre_Maintenance'!A:A,'CKadeaTelcoRegistre_Maintenance'!B:B,"Non repertorié")</f>
        <v>Nord-Ubangi</v>
      </c>
      <c r="F647">
        <f>_xlfn.XLOOKUP(CKadeaTelcoLogs_Reseau[[#This Row],[Cell_ID]],'CKadeaTelcoRegistre_Maintenance'!A:A,'CKadeaTelcoRegistre_Maintenance'!C:C,"Non repertorié")</f>
        <v>-7.7839049999999999</v>
      </c>
      <c r="G647">
        <f>_xlfn.XLOOKUP(CKadeaTelcoLogs_Reseau[[#This Row],[Cell_ID]],'CKadeaTelcoRegistre_Maintenance'!A:A,'CKadeaTelcoRegistre_Maintenance'!D:D,"Non repertorié")</f>
        <v>14.114281999999999</v>
      </c>
      <c r="H647" t="str">
        <f>_xlfn.XLOOKUP(CKadeaTelcoLogs_Reseau[[#This Row],[Cell_ID]],'CKadeaTelcoRegistre_Maintenance'!A:A,'CKadeaTelcoRegistre_Maintenance'!E:E,"Non repertorié")</f>
        <v>3G</v>
      </c>
      <c r="I647" t="str">
        <f>_xlfn.XLOOKUP(CKadeaTelcoLogs_Reseau[[#This Row],[Cell_ID]],'CKadeaTelcoRegistre_Maintenance'!A:A,'CKadeaTelcoRegistre_Maintenance'!F:F,"Non repertorié")</f>
        <v>ZTE</v>
      </c>
    </row>
    <row r="648" spans="1:9" ht="20.5" customHeight="1" x14ac:dyDescent="0.35">
      <c r="A648" s="1">
        <v>45202.469444444447</v>
      </c>
      <c r="B648" s="5" t="s">
        <v>479</v>
      </c>
      <c r="C648">
        <v>78</v>
      </c>
      <c r="D648" t="s">
        <v>5</v>
      </c>
      <c r="E648" t="str">
        <f>_xlfn.XLOOKUP(CKadeaTelcoLogs_Reseau[[#This Row],[Cell_ID]],'CKadeaTelcoRegistre_Maintenance'!A:A,'CKadeaTelcoRegistre_Maintenance'!B:B,"Non repertorié")</f>
        <v>Non repertorié</v>
      </c>
      <c r="F648" t="str">
        <f>_xlfn.XLOOKUP(CKadeaTelcoLogs_Reseau[[#This Row],[Cell_ID]],'CKadeaTelcoRegistre_Maintenance'!A:A,'CKadeaTelcoRegistre_Maintenance'!C:C,"Non repertorié")</f>
        <v>Non repertorié</v>
      </c>
      <c r="G648" t="str">
        <f>_xlfn.XLOOKUP(CKadeaTelcoLogs_Reseau[[#This Row],[Cell_ID]],'CKadeaTelcoRegistre_Maintenance'!A:A,'CKadeaTelcoRegistre_Maintenance'!D:D,"Non repertorié")</f>
        <v>Non repertorié</v>
      </c>
      <c r="H648" t="str">
        <f>_xlfn.XLOOKUP(CKadeaTelcoLogs_Reseau[[#This Row],[Cell_ID]],'CKadeaTelcoRegistre_Maintenance'!A:A,'CKadeaTelcoRegistre_Maintenance'!E:E,"Non repertorié")</f>
        <v>Non repertorié</v>
      </c>
      <c r="I648" t="str">
        <f>_xlfn.XLOOKUP(CKadeaTelcoLogs_Reseau[[#This Row],[Cell_ID]],'CKadeaTelcoRegistre_Maintenance'!A:A,'CKadeaTelcoRegistre_Maintenance'!F:F,"Non repertorié")</f>
        <v>Non repertorié</v>
      </c>
    </row>
    <row r="649" spans="1:9" ht="20.5" customHeight="1" x14ac:dyDescent="0.35">
      <c r="A649" s="1">
        <v>45230.323611111111</v>
      </c>
      <c r="B649" s="5" t="s">
        <v>143</v>
      </c>
      <c r="C649">
        <v>105</v>
      </c>
      <c r="D649" t="s">
        <v>5</v>
      </c>
      <c r="E649" t="str">
        <f>_xlfn.XLOOKUP(CKadeaTelcoLogs_Reseau[[#This Row],[Cell_ID]],'CKadeaTelcoRegistre_Maintenance'!A:A,'CKadeaTelcoRegistre_Maintenance'!B:B,"Non repertorié")</f>
        <v>Haut-Uele</v>
      </c>
      <c r="F649">
        <f>_xlfn.XLOOKUP(CKadeaTelcoLogs_Reseau[[#This Row],[Cell_ID]],'CKadeaTelcoRegistre_Maintenance'!A:A,'CKadeaTelcoRegistre_Maintenance'!C:C,"Non repertorié")</f>
        <v>-4.4351269999999996</v>
      </c>
      <c r="G649">
        <f>_xlfn.XLOOKUP(CKadeaTelcoLogs_Reseau[[#This Row],[Cell_ID]],'CKadeaTelcoRegistre_Maintenance'!A:A,'CKadeaTelcoRegistre_Maintenance'!D:D,"Non repertorié")</f>
        <v>24.825467</v>
      </c>
      <c r="H649" t="str">
        <f>_xlfn.XLOOKUP(CKadeaTelcoLogs_Reseau[[#This Row],[Cell_ID]],'CKadeaTelcoRegistre_Maintenance'!A:A,'CKadeaTelcoRegistre_Maintenance'!E:E,"Non repertorié")</f>
        <v>4G</v>
      </c>
      <c r="I649" t="str">
        <f>_xlfn.XLOOKUP(CKadeaTelcoLogs_Reseau[[#This Row],[Cell_ID]],'CKadeaTelcoRegistre_Maintenance'!A:A,'CKadeaTelcoRegistre_Maintenance'!F:F,"Non repertorié")</f>
        <v>Huawei</v>
      </c>
    </row>
    <row r="650" spans="1:9" ht="20.5" customHeight="1" x14ac:dyDescent="0.35">
      <c r="A650" s="1">
        <v>45220.651388888888</v>
      </c>
      <c r="B650" s="5" t="s">
        <v>172</v>
      </c>
      <c r="C650">
        <v>36</v>
      </c>
      <c r="D650" t="s">
        <v>5</v>
      </c>
      <c r="E650" t="str">
        <f>_xlfn.XLOOKUP(CKadeaTelcoLogs_Reseau[[#This Row],[Cell_ID]],'CKadeaTelcoRegistre_Maintenance'!A:A,'CKadeaTelcoRegistre_Maintenance'!B:B,"Non repertorié")</f>
        <v>Non repertorié</v>
      </c>
      <c r="F650" t="str">
        <f>_xlfn.XLOOKUP(CKadeaTelcoLogs_Reseau[[#This Row],[Cell_ID]],'CKadeaTelcoRegistre_Maintenance'!A:A,'CKadeaTelcoRegistre_Maintenance'!C:C,"Non repertorié")</f>
        <v>Non repertorié</v>
      </c>
      <c r="G650" t="str">
        <f>_xlfn.XLOOKUP(CKadeaTelcoLogs_Reseau[[#This Row],[Cell_ID]],'CKadeaTelcoRegistre_Maintenance'!A:A,'CKadeaTelcoRegistre_Maintenance'!D:D,"Non repertorié")</f>
        <v>Non repertorié</v>
      </c>
      <c r="H650" t="str">
        <f>_xlfn.XLOOKUP(CKadeaTelcoLogs_Reseau[[#This Row],[Cell_ID]],'CKadeaTelcoRegistre_Maintenance'!A:A,'CKadeaTelcoRegistre_Maintenance'!E:E,"Non repertorié")</f>
        <v>Non repertorié</v>
      </c>
      <c r="I650" t="str">
        <f>_xlfn.XLOOKUP(CKadeaTelcoLogs_Reseau[[#This Row],[Cell_ID]],'CKadeaTelcoRegistre_Maintenance'!A:A,'CKadeaTelcoRegistre_Maintenance'!F:F,"Non repertorié")</f>
        <v>Non repertorié</v>
      </c>
    </row>
    <row r="651" spans="1:9" ht="20.5" customHeight="1" x14ac:dyDescent="0.35">
      <c r="A651" s="1">
        <v>45207.599305555559</v>
      </c>
      <c r="B651" s="5" t="s">
        <v>127</v>
      </c>
      <c r="C651">
        <v>59</v>
      </c>
      <c r="D651" t="s">
        <v>5</v>
      </c>
      <c r="E651" t="str">
        <f>_xlfn.XLOOKUP(CKadeaTelcoLogs_Reseau[[#This Row],[Cell_ID]],'CKadeaTelcoRegistre_Maintenance'!A:A,'CKadeaTelcoRegistre_Maintenance'!B:B,"Non repertorié")</f>
        <v>Nord-Kivu</v>
      </c>
      <c r="F651">
        <f>_xlfn.XLOOKUP(CKadeaTelcoLogs_Reseau[[#This Row],[Cell_ID]],'CKadeaTelcoRegistre_Maintenance'!A:A,'CKadeaTelcoRegistre_Maintenance'!C:C,"Non repertorié")</f>
        <v>-10.25074</v>
      </c>
      <c r="G651">
        <f>_xlfn.XLOOKUP(CKadeaTelcoLogs_Reseau[[#This Row],[Cell_ID]],'CKadeaTelcoRegistre_Maintenance'!A:A,'CKadeaTelcoRegistre_Maintenance'!D:D,"Non repertorié")</f>
        <v>26.099086</v>
      </c>
      <c r="H651" t="str">
        <f>_xlfn.XLOOKUP(CKadeaTelcoLogs_Reseau[[#This Row],[Cell_ID]],'CKadeaTelcoRegistre_Maintenance'!A:A,'CKadeaTelcoRegistre_Maintenance'!E:E,"Non repertorié")</f>
        <v>4G</v>
      </c>
      <c r="I651" t="str">
        <f>_xlfn.XLOOKUP(CKadeaTelcoLogs_Reseau[[#This Row],[Cell_ID]],'CKadeaTelcoRegistre_Maintenance'!A:A,'CKadeaTelcoRegistre_Maintenance'!F:F,"Non repertorié")</f>
        <v>Huawei</v>
      </c>
    </row>
    <row r="652" spans="1:9" ht="20.5" customHeight="1" x14ac:dyDescent="0.35">
      <c r="A652" s="1">
        <v>45212.617361111108</v>
      </c>
      <c r="B652" s="5" t="s">
        <v>480</v>
      </c>
      <c r="C652">
        <v>28</v>
      </c>
      <c r="D652" t="s">
        <v>5</v>
      </c>
      <c r="E652" t="str">
        <f>_xlfn.XLOOKUP(CKadeaTelcoLogs_Reseau[[#This Row],[Cell_ID]],'CKadeaTelcoRegistre_Maintenance'!A:A,'CKadeaTelcoRegistre_Maintenance'!B:B,"Non repertorié")</f>
        <v>Non repertorié</v>
      </c>
      <c r="F652" t="str">
        <f>_xlfn.XLOOKUP(CKadeaTelcoLogs_Reseau[[#This Row],[Cell_ID]],'CKadeaTelcoRegistre_Maintenance'!A:A,'CKadeaTelcoRegistre_Maintenance'!C:C,"Non repertorié")</f>
        <v>Non repertorié</v>
      </c>
      <c r="G652" t="str">
        <f>_xlfn.XLOOKUP(CKadeaTelcoLogs_Reseau[[#This Row],[Cell_ID]],'CKadeaTelcoRegistre_Maintenance'!A:A,'CKadeaTelcoRegistre_Maintenance'!D:D,"Non repertorié")</f>
        <v>Non repertorié</v>
      </c>
      <c r="H652" t="str">
        <f>_xlfn.XLOOKUP(CKadeaTelcoLogs_Reseau[[#This Row],[Cell_ID]],'CKadeaTelcoRegistre_Maintenance'!A:A,'CKadeaTelcoRegistre_Maintenance'!E:E,"Non repertorié")</f>
        <v>Non repertorié</v>
      </c>
      <c r="I652" t="str">
        <f>_xlfn.XLOOKUP(CKadeaTelcoLogs_Reseau[[#This Row],[Cell_ID]],'CKadeaTelcoRegistre_Maintenance'!A:A,'CKadeaTelcoRegistre_Maintenance'!F:F,"Non repertorié")</f>
        <v>Non repertorié</v>
      </c>
    </row>
    <row r="653" spans="1:9" ht="20.5" customHeight="1" x14ac:dyDescent="0.35">
      <c r="A653" s="1">
        <v>45221.780555555553</v>
      </c>
      <c r="B653" s="5" t="s">
        <v>406</v>
      </c>
      <c r="C653">
        <v>67</v>
      </c>
      <c r="D653" t="s">
        <v>5</v>
      </c>
      <c r="E653" t="str">
        <f>_xlfn.XLOOKUP(CKadeaTelcoLogs_Reseau[[#This Row],[Cell_ID]],'CKadeaTelcoRegistre_Maintenance'!A:A,'CKadeaTelcoRegistre_Maintenance'!B:B,"Non repertorié")</f>
        <v>Tshuapa</v>
      </c>
      <c r="F653">
        <f>_xlfn.XLOOKUP(CKadeaTelcoLogs_Reseau[[#This Row],[Cell_ID]],'CKadeaTelcoRegistre_Maintenance'!A:A,'CKadeaTelcoRegistre_Maintenance'!C:C,"Non repertorié")</f>
        <v>-7.789663</v>
      </c>
      <c r="G653">
        <f>_xlfn.XLOOKUP(CKadeaTelcoLogs_Reseau[[#This Row],[Cell_ID]],'CKadeaTelcoRegistre_Maintenance'!A:A,'CKadeaTelcoRegistre_Maintenance'!D:D,"Non repertorié")</f>
        <v>26.529098000000001</v>
      </c>
      <c r="H653" t="str">
        <f>_xlfn.XLOOKUP(CKadeaTelcoLogs_Reseau[[#This Row],[Cell_ID]],'CKadeaTelcoRegistre_Maintenance'!A:A,'CKadeaTelcoRegistre_Maintenance'!E:E,"Non repertorié")</f>
        <v>5G</v>
      </c>
      <c r="I653" t="str">
        <f>_xlfn.XLOOKUP(CKadeaTelcoLogs_Reseau[[#This Row],[Cell_ID]],'CKadeaTelcoRegistre_Maintenance'!A:A,'CKadeaTelcoRegistre_Maintenance'!F:F,"Non repertorié")</f>
        <v>Nokia</v>
      </c>
    </row>
    <row r="654" spans="1:9" ht="20.5" customHeight="1" x14ac:dyDescent="0.35">
      <c r="A654" s="1">
        <v>45216.181944444441</v>
      </c>
      <c r="B654" s="5" t="s">
        <v>481</v>
      </c>
      <c r="C654">
        <v>86</v>
      </c>
      <c r="D654" t="s">
        <v>8</v>
      </c>
      <c r="E654" t="str">
        <f>_xlfn.XLOOKUP(CKadeaTelcoLogs_Reseau[[#This Row],[Cell_ID]],'CKadeaTelcoRegistre_Maintenance'!A:A,'CKadeaTelcoRegistre_Maintenance'!B:B,"Non repertorié")</f>
        <v>Non repertorié</v>
      </c>
      <c r="F654" t="str">
        <f>_xlfn.XLOOKUP(CKadeaTelcoLogs_Reseau[[#This Row],[Cell_ID]],'CKadeaTelcoRegistre_Maintenance'!A:A,'CKadeaTelcoRegistre_Maintenance'!C:C,"Non repertorié")</f>
        <v>Non repertorié</v>
      </c>
      <c r="G654" t="str">
        <f>_xlfn.XLOOKUP(CKadeaTelcoLogs_Reseau[[#This Row],[Cell_ID]],'CKadeaTelcoRegistre_Maintenance'!A:A,'CKadeaTelcoRegistre_Maintenance'!D:D,"Non repertorié")</f>
        <v>Non repertorié</v>
      </c>
      <c r="H654" t="str">
        <f>_xlfn.XLOOKUP(CKadeaTelcoLogs_Reseau[[#This Row],[Cell_ID]],'CKadeaTelcoRegistre_Maintenance'!A:A,'CKadeaTelcoRegistre_Maintenance'!E:E,"Non repertorié")</f>
        <v>Non repertorié</v>
      </c>
      <c r="I654" t="str">
        <f>_xlfn.XLOOKUP(CKadeaTelcoLogs_Reseau[[#This Row],[Cell_ID]],'CKadeaTelcoRegistre_Maintenance'!A:A,'CKadeaTelcoRegistre_Maintenance'!F:F,"Non repertorié")</f>
        <v>Non repertorié</v>
      </c>
    </row>
    <row r="655" spans="1:9" ht="20.5" customHeight="1" x14ac:dyDescent="0.35">
      <c r="A655" s="1">
        <v>45200.629166666666</v>
      </c>
      <c r="B655" s="5" t="s">
        <v>287</v>
      </c>
      <c r="C655">
        <v>73</v>
      </c>
      <c r="D655" t="s">
        <v>8</v>
      </c>
      <c r="E655" t="str">
        <f>_xlfn.XLOOKUP(CKadeaTelcoLogs_Reseau[[#This Row],[Cell_ID]],'CKadeaTelcoRegistre_Maintenance'!A:A,'CKadeaTelcoRegistre_Maintenance'!B:B,"Non repertorié")</f>
        <v>Non repertorié</v>
      </c>
      <c r="F655" t="str">
        <f>_xlfn.XLOOKUP(CKadeaTelcoLogs_Reseau[[#This Row],[Cell_ID]],'CKadeaTelcoRegistre_Maintenance'!A:A,'CKadeaTelcoRegistre_Maintenance'!C:C,"Non repertorié")</f>
        <v>Non repertorié</v>
      </c>
      <c r="G655" t="str">
        <f>_xlfn.XLOOKUP(CKadeaTelcoLogs_Reseau[[#This Row],[Cell_ID]],'CKadeaTelcoRegistre_Maintenance'!A:A,'CKadeaTelcoRegistre_Maintenance'!D:D,"Non repertorié")</f>
        <v>Non repertorié</v>
      </c>
      <c r="H655" t="str">
        <f>_xlfn.XLOOKUP(CKadeaTelcoLogs_Reseau[[#This Row],[Cell_ID]],'CKadeaTelcoRegistre_Maintenance'!A:A,'CKadeaTelcoRegistre_Maintenance'!E:E,"Non repertorié")</f>
        <v>Non repertorié</v>
      </c>
      <c r="I655" t="str">
        <f>_xlfn.XLOOKUP(CKadeaTelcoLogs_Reseau[[#This Row],[Cell_ID]],'CKadeaTelcoRegistre_Maintenance'!A:A,'CKadeaTelcoRegistre_Maintenance'!F:F,"Non repertorié")</f>
        <v>Non repertorié</v>
      </c>
    </row>
    <row r="656" spans="1:9" ht="20.5" customHeight="1" x14ac:dyDescent="0.35">
      <c r="A656" s="1">
        <v>45209.581944444442</v>
      </c>
      <c r="B656" s="5" t="s">
        <v>482</v>
      </c>
      <c r="C656">
        <v>93</v>
      </c>
      <c r="D656" t="s">
        <v>8</v>
      </c>
      <c r="E656" t="str">
        <f>_xlfn.XLOOKUP(CKadeaTelcoLogs_Reseau[[#This Row],[Cell_ID]],'CKadeaTelcoRegistre_Maintenance'!A:A,'CKadeaTelcoRegistre_Maintenance'!B:B,"Non repertorié")</f>
        <v>Non repertorié</v>
      </c>
      <c r="F656" t="str">
        <f>_xlfn.XLOOKUP(CKadeaTelcoLogs_Reseau[[#This Row],[Cell_ID]],'CKadeaTelcoRegistre_Maintenance'!A:A,'CKadeaTelcoRegistre_Maintenance'!C:C,"Non repertorié")</f>
        <v>Non repertorié</v>
      </c>
      <c r="G656" t="str">
        <f>_xlfn.XLOOKUP(CKadeaTelcoLogs_Reseau[[#This Row],[Cell_ID]],'CKadeaTelcoRegistre_Maintenance'!A:A,'CKadeaTelcoRegistre_Maintenance'!D:D,"Non repertorié")</f>
        <v>Non repertorié</v>
      </c>
      <c r="H656" t="str">
        <f>_xlfn.XLOOKUP(CKadeaTelcoLogs_Reseau[[#This Row],[Cell_ID]],'CKadeaTelcoRegistre_Maintenance'!A:A,'CKadeaTelcoRegistre_Maintenance'!E:E,"Non repertorié")</f>
        <v>Non repertorié</v>
      </c>
      <c r="I656" t="str">
        <f>_xlfn.XLOOKUP(CKadeaTelcoLogs_Reseau[[#This Row],[Cell_ID]],'CKadeaTelcoRegistre_Maintenance'!A:A,'CKadeaTelcoRegistre_Maintenance'!F:F,"Non repertorié")</f>
        <v>Non repertorié</v>
      </c>
    </row>
    <row r="657" spans="1:9" ht="20.5" customHeight="1" x14ac:dyDescent="0.35">
      <c r="A657" s="1">
        <v>45230.088194444441</v>
      </c>
      <c r="B657" s="5" t="s">
        <v>376</v>
      </c>
      <c r="C657">
        <v>87</v>
      </c>
      <c r="D657" t="s">
        <v>10</v>
      </c>
      <c r="E657" t="str">
        <f>_xlfn.XLOOKUP(CKadeaTelcoLogs_Reseau[[#This Row],[Cell_ID]],'CKadeaTelcoRegistre_Maintenance'!A:A,'CKadeaTelcoRegistre_Maintenance'!B:B,"Non repertorié")</f>
        <v>Non repertorié</v>
      </c>
      <c r="F657" t="str">
        <f>_xlfn.XLOOKUP(CKadeaTelcoLogs_Reseau[[#This Row],[Cell_ID]],'CKadeaTelcoRegistre_Maintenance'!A:A,'CKadeaTelcoRegistre_Maintenance'!C:C,"Non repertorié")</f>
        <v>Non repertorié</v>
      </c>
      <c r="G657" t="str">
        <f>_xlfn.XLOOKUP(CKadeaTelcoLogs_Reseau[[#This Row],[Cell_ID]],'CKadeaTelcoRegistre_Maintenance'!A:A,'CKadeaTelcoRegistre_Maintenance'!D:D,"Non repertorié")</f>
        <v>Non repertorié</v>
      </c>
      <c r="H657" t="str">
        <f>_xlfn.XLOOKUP(CKadeaTelcoLogs_Reseau[[#This Row],[Cell_ID]],'CKadeaTelcoRegistre_Maintenance'!A:A,'CKadeaTelcoRegistre_Maintenance'!E:E,"Non repertorié")</f>
        <v>Non repertorié</v>
      </c>
      <c r="I657" t="str">
        <f>_xlfn.XLOOKUP(CKadeaTelcoLogs_Reseau[[#This Row],[Cell_ID]],'CKadeaTelcoRegistre_Maintenance'!A:A,'CKadeaTelcoRegistre_Maintenance'!F:F,"Non repertorié")</f>
        <v>Non repertorié</v>
      </c>
    </row>
    <row r="658" spans="1:9" ht="20.5" customHeight="1" x14ac:dyDescent="0.35">
      <c r="A658" s="1">
        <v>45226.964583333334</v>
      </c>
      <c r="B658" s="5" t="s">
        <v>483</v>
      </c>
      <c r="C658">
        <v>27</v>
      </c>
      <c r="D658" t="s">
        <v>8</v>
      </c>
      <c r="E658" t="str">
        <f>_xlfn.XLOOKUP(CKadeaTelcoLogs_Reseau[[#This Row],[Cell_ID]],'CKadeaTelcoRegistre_Maintenance'!A:A,'CKadeaTelcoRegistre_Maintenance'!B:B,"Non repertorié")</f>
        <v>Lualaba</v>
      </c>
      <c r="F658">
        <f>_xlfn.XLOOKUP(CKadeaTelcoLogs_Reseau[[#This Row],[Cell_ID]],'CKadeaTelcoRegistre_Maintenance'!A:A,'CKadeaTelcoRegistre_Maintenance'!C:C,"Non repertorié")</f>
        <v>-11.354772000000001</v>
      </c>
      <c r="G658">
        <f>_xlfn.XLOOKUP(CKadeaTelcoLogs_Reseau[[#This Row],[Cell_ID]],'CKadeaTelcoRegistre_Maintenance'!A:A,'CKadeaTelcoRegistre_Maintenance'!D:D,"Non repertorié")</f>
        <v>21.957325999999998</v>
      </c>
      <c r="H658" t="str">
        <f>_xlfn.XLOOKUP(CKadeaTelcoLogs_Reseau[[#This Row],[Cell_ID]],'CKadeaTelcoRegistre_Maintenance'!A:A,'CKadeaTelcoRegistre_Maintenance'!E:E,"Non repertorié")</f>
        <v>3G</v>
      </c>
      <c r="I658" t="str">
        <f>_xlfn.XLOOKUP(CKadeaTelcoLogs_Reseau[[#This Row],[Cell_ID]],'CKadeaTelcoRegistre_Maintenance'!A:A,'CKadeaTelcoRegistre_Maintenance'!F:F,"Non repertorié")</f>
        <v>Nokia</v>
      </c>
    </row>
    <row r="659" spans="1:9" ht="20.5" customHeight="1" x14ac:dyDescent="0.35">
      <c r="A659" s="1">
        <v>45211.38958333333</v>
      </c>
      <c r="B659" s="5" t="s">
        <v>484</v>
      </c>
      <c r="C659">
        <v>76</v>
      </c>
      <c r="D659" t="s">
        <v>8</v>
      </c>
      <c r="E659" t="str">
        <f>_xlfn.XLOOKUP(CKadeaTelcoLogs_Reseau[[#This Row],[Cell_ID]],'CKadeaTelcoRegistre_Maintenance'!A:A,'CKadeaTelcoRegistre_Maintenance'!B:B,"Non repertorié")</f>
        <v>Non repertorié</v>
      </c>
      <c r="F659" t="str">
        <f>_xlfn.XLOOKUP(CKadeaTelcoLogs_Reseau[[#This Row],[Cell_ID]],'CKadeaTelcoRegistre_Maintenance'!A:A,'CKadeaTelcoRegistre_Maintenance'!C:C,"Non repertorié")</f>
        <v>Non repertorié</v>
      </c>
      <c r="G659" t="str">
        <f>_xlfn.XLOOKUP(CKadeaTelcoLogs_Reseau[[#This Row],[Cell_ID]],'CKadeaTelcoRegistre_Maintenance'!A:A,'CKadeaTelcoRegistre_Maintenance'!D:D,"Non repertorié")</f>
        <v>Non repertorié</v>
      </c>
      <c r="H659" t="str">
        <f>_xlfn.XLOOKUP(CKadeaTelcoLogs_Reseau[[#This Row],[Cell_ID]],'CKadeaTelcoRegistre_Maintenance'!A:A,'CKadeaTelcoRegistre_Maintenance'!E:E,"Non repertorié")</f>
        <v>Non repertorié</v>
      </c>
      <c r="I659" t="str">
        <f>_xlfn.XLOOKUP(CKadeaTelcoLogs_Reseau[[#This Row],[Cell_ID]],'CKadeaTelcoRegistre_Maintenance'!A:A,'CKadeaTelcoRegistre_Maintenance'!F:F,"Non repertorié")</f>
        <v>Non repertorié</v>
      </c>
    </row>
    <row r="660" spans="1:9" ht="20.5" customHeight="1" x14ac:dyDescent="0.35">
      <c r="A660" s="1">
        <v>45214.272916666669</v>
      </c>
      <c r="B660" s="5" t="s">
        <v>175</v>
      </c>
      <c r="C660">
        <v>26</v>
      </c>
      <c r="D660" t="s">
        <v>8</v>
      </c>
      <c r="E660" t="str">
        <f>_xlfn.XLOOKUP(CKadeaTelcoLogs_Reseau[[#This Row],[Cell_ID]],'CKadeaTelcoRegistre_Maintenance'!A:A,'CKadeaTelcoRegistre_Maintenance'!B:B,"Non repertorié")</f>
        <v>Non repertorié</v>
      </c>
      <c r="F660" t="str">
        <f>_xlfn.XLOOKUP(CKadeaTelcoLogs_Reseau[[#This Row],[Cell_ID]],'CKadeaTelcoRegistre_Maintenance'!A:A,'CKadeaTelcoRegistre_Maintenance'!C:C,"Non repertorié")</f>
        <v>Non repertorié</v>
      </c>
      <c r="G660" t="str">
        <f>_xlfn.XLOOKUP(CKadeaTelcoLogs_Reseau[[#This Row],[Cell_ID]],'CKadeaTelcoRegistre_Maintenance'!A:A,'CKadeaTelcoRegistre_Maintenance'!D:D,"Non repertorié")</f>
        <v>Non repertorié</v>
      </c>
      <c r="H660" t="str">
        <f>_xlfn.XLOOKUP(CKadeaTelcoLogs_Reseau[[#This Row],[Cell_ID]],'CKadeaTelcoRegistre_Maintenance'!A:A,'CKadeaTelcoRegistre_Maintenance'!E:E,"Non repertorié")</f>
        <v>Non repertorié</v>
      </c>
      <c r="I660" t="str">
        <f>_xlfn.XLOOKUP(CKadeaTelcoLogs_Reseau[[#This Row],[Cell_ID]],'CKadeaTelcoRegistre_Maintenance'!A:A,'CKadeaTelcoRegistre_Maintenance'!F:F,"Non repertorié")</f>
        <v>Non repertorié</v>
      </c>
    </row>
    <row r="661" spans="1:9" ht="20.5" customHeight="1" x14ac:dyDescent="0.35">
      <c r="A661" s="1">
        <v>45215.479166666664</v>
      </c>
      <c r="B661" s="5" t="s">
        <v>121</v>
      </c>
      <c r="C661">
        <v>67</v>
      </c>
      <c r="D661" t="s">
        <v>10</v>
      </c>
      <c r="E661" t="str">
        <f>_xlfn.XLOOKUP(CKadeaTelcoLogs_Reseau[[#This Row],[Cell_ID]],'CKadeaTelcoRegistre_Maintenance'!A:A,'CKadeaTelcoRegistre_Maintenance'!B:B,"Non repertorié")</f>
        <v>Non repertorié</v>
      </c>
      <c r="F661" t="str">
        <f>_xlfn.XLOOKUP(CKadeaTelcoLogs_Reseau[[#This Row],[Cell_ID]],'CKadeaTelcoRegistre_Maintenance'!A:A,'CKadeaTelcoRegistre_Maintenance'!C:C,"Non repertorié")</f>
        <v>Non repertorié</v>
      </c>
      <c r="G661" t="str">
        <f>_xlfn.XLOOKUP(CKadeaTelcoLogs_Reseau[[#This Row],[Cell_ID]],'CKadeaTelcoRegistre_Maintenance'!A:A,'CKadeaTelcoRegistre_Maintenance'!D:D,"Non repertorié")</f>
        <v>Non repertorié</v>
      </c>
      <c r="H661" t="str">
        <f>_xlfn.XLOOKUP(CKadeaTelcoLogs_Reseau[[#This Row],[Cell_ID]],'CKadeaTelcoRegistre_Maintenance'!A:A,'CKadeaTelcoRegistre_Maintenance'!E:E,"Non repertorié")</f>
        <v>Non repertorié</v>
      </c>
      <c r="I661" t="str">
        <f>_xlfn.XLOOKUP(CKadeaTelcoLogs_Reseau[[#This Row],[Cell_ID]],'CKadeaTelcoRegistre_Maintenance'!A:A,'CKadeaTelcoRegistre_Maintenance'!F:F,"Non repertorié")</f>
        <v>Non repertorié</v>
      </c>
    </row>
    <row r="662" spans="1:9" ht="20.5" customHeight="1" x14ac:dyDescent="0.35">
      <c r="A662" s="1">
        <v>45203.615277777775</v>
      </c>
      <c r="B662" s="5" t="s">
        <v>485</v>
      </c>
      <c r="C662">
        <v>41</v>
      </c>
      <c r="D662" t="s">
        <v>5</v>
      </c>
      <c r="E662" t="str">
        <f>_xlfn.XLOOKUP(CKadeaTelcoLogs_Reseau[[#This Row],[Cell_ID]],'CKadeaTelcoRegistre_Maintenance'!A:A,'CKadeaTelcoRegistre_Maintenance'!B:B,"Non repertorié")</f>
        <v>Non repertorié</v>
      </c>
      <c r="F662" t="str">
        <f>_xlfn.XLOOKUP(CKadeaTelcoLogs_Reseau[[#This Row],[Cell_ID]],'CKadeaTelcoRegistre_Maintenance'!A:A,'CKadeaTelcoRegistre_Maintenance'!C:C,"Non repertorié")</f>
        <v>Non repertorié</v>
      </c>
      <c r="G662" t="str">
        <f>_xlfn.XLOOKUP(CKadeaTelcoLogs_Reseau[[#This Row],[Cell_ID]],'CKadeaTelcoRegistre_Maintenance'!A:A,'CKadeaTelcoRegistre_Maintenance'!D:D,"Non repertorié")</f>
        <v>Non repertorié</v>
      </c>
      <c r="H662" t="str">
        <f>_xlfn.XLOOKUP(CKadeaTelcoLogs_Reseau[[#This Row],[Cell_ID]],'CKadeaTelcoRegistre_Maintenance'!A:A,'CKadeaTelcoRegistre_Maintenance'!E:E,"Non repertorié")</f>
        <v>Non repertorié</v>
      </c>
      <c r="I662" t="str">
        <f>_xlfn.XLOOKUP(CKadeaTelcoLogs_Reseau[[#This Row],[Cell_ID]],'CKadeaTelcoRegistre_Maintenance'!A:A,'CKadeaTelcoRegistre_Maintenance'!F:F,"Non repertorié")</f>
        <v>Non repertorié</v>
      </c>
    </row>
    <row r="663" spans="1:9" ht="20.5" customHeight="1" x14ac:dyDescent="0.35">
      <c r="A663" s="1">
        <v>45222.597222222219</v>
      </c>
      <c r="B663" s="5" t="s">
        <v>196</v>
      </c>
      <c r="C663">
        <v>22</v>
      </c>
      <c r="D663" t="s">
        <v>8</v>
      </c>
      <c r="E663" t="str">
        <f>_xlfn.XLOOKUP(CKadeaTelcoLogs_Reseau[[#This Row],[Cell_ID]],'CKadeaTelcoRegistre_Maintenance'!A:A,'CKadeaTelcoRegistre_Maintenance'!B:B,"Non repertorié")</f>
        <v>Nord-Kivu</v>
      </c>
      <c r="F663">
        <f>_xlfn.XLOOKUP(CKadeaTelcoLogs_Reseau[[#This Row],[Cell_ID]],'CKadeaTelcoRegistre_Maintenance'!A:A,'CKadeaTelcoRegistre_Maintenance'!C:C,"Non repertorié")</f>
        <v>-1.8555980000000001</v>
      </c>
      <c r="G663">
        <f>_xlfn.XLOOKUP(CKadeaTelcoLogs_Reseau[[#This Row],[Cell_ID]],'CKadeaTelcoRegistre_Maintenance'!A:A,'CKadeaTelcoRegistre_Maintenance'!D:D,"Non repertorié")</f>
        <v>30.421918000000002</v>
      </c>
      <c r="H663" t="str">
        <f>_xlfn.XLOOKUP(CKadeaTelcoLogs_Reseau[[#This Row],[Cell_ID]],'CKadeaTelcoRegistre_Maintenance'!A:A,'CKadeaTelcoRegistre_Maintenance'!E:E,"Non repertorié")</f>
        <v>3G</v>
      </c>
      <c r="I663" t="str">
        <f>_xlfn.XLOOKUP(CKadeaTelcoLogs_Reseau[[#This Row],[Cell_ID]],'CKadeaTelcoRegistre_Maintenance'!A:A,'CKadeaTelcoRegistre_Maintenance'!F:F,"Non repertorié")</f>
        <v>ZTE</v>
      </c>
    </row>
    <row r="664" spans="1:9" ht="20.5" customHeight="1" x14ac:dyDescent="0.35">
      <c r="A664" s="1">
        <v>45202.376388888886</v>
      </c>
      <c r="B664" s="5" t="s">
        <v>486</v>
      </c>
      <c r="C664">
        <v>28</v>
      </c>
      <c r="D664" t="s">
        <v>5</v>
      </c>
      <c r="E664" t="str">
        <f>_xlfn.XLOOKUP(CKadeaTelcoLogs_Reseau[[#This Row],[Cell_ID]],'CKadeaTelcoRegistre_Maintenance'!A:A,'CKadeaTelcoRegistre_Maintenance'!B:B,"Non repertorié")</f>
        <v>Kwilu</v>
      </c>
      <c r="F664">
        <f>_xlfn.XLOOKUP(CKadeaTelcoLogs_Reseau[[#This Row],[Cell_ID]],'CKadeaTelcoRegistre_Maintenance'!A:A,'CKadeaTelcoRegistre_Maintenance'!C:C,"Non repertorié")</f>
        <v>-7.402336</v>
      </c>
      <c r="G664">
        <f>_xlfn.XLOOKUP(CKadeaTelcoLogs_Reseau[[#This Row],[Cell_ID]],'CKadeaTelcoRegistre_Maintenance'!A:A,'CKadeaTelcoRegistre_Maintenance'!D:D,"Non repertorié")</f>
        <v>27.376697</v>
      </c>
      <c r="H664" t="str">
        <f>_xlfn.XLOOKUP(CKadeaTelcoLogs_Reseau[[#This Row],[Cell_ID]],'CKadeaTelcoRegistre_Maintenance'!A:A,'CKadeaTelcoRegistre_Maintenance'!E:E,"Non repertorié")</f>
        <v>4G</v>
      </c>
      <c r="I664" t="str">
        <f>_xlfn.XLOOKUP(CKadeaTelcoLogs_Reseau[[#This Row],[Cell_ID]],'CKadeaTelcoRegistre_Maintenance'!A:A,'CKadeaTelcoRegistre_Maintenance'!F:F,"Non repertorié")</f>
        <v>Huawei</v>
      </c>
    </row>
    <row r="665" spans="1:9" ht="20.5" customHeight="1" x14ac:dyDescent="0.35">
      <c r="A665" s="1">
        <v>45225.921527777777</v>
      </c>
      <c r="B665" s="5" t="s">
        <v>424</v>
      </c>
      <c r="C665">
        <v>45</v>
      </c>
      <c r="D665" t="s">
        <v>5</v>
      </c>
      <c r="E665" t="str">
        <f>_xlfn.XLOOKUP(CKadeaTelcoLogs_Reseau[[#This Row],[Cell_ID]],'CKadeaTelcoRegistre_Maintenance'!A:A,'CKadeaTelcoRegistre_Maintenance'!B:B,"Non repertorié")</f>
        <v>Non repertorié</v>
      </c>
      <c r="F665" t="str">
        <f>_xlfn.XLOOKUP(CKadeaTelcoLogs_Reseau[[#This Row],[Cell_ID]],'CKadeaTelcoRegistre_Maintenance'!A:A,'CKadeaTelcoRegistre_Maintenance'!C:C,"Non repertorié")</f>
        <v>Non repertorié</v>
      </c>
      <c r="G665" t="str">
        <f>_xlfn.XLOOKUP(CKadeaTelcoLogs_Reseau[[#This Row],[Cell_ID]],'CKadeaTelcoRegistre_Maintenance'!A:A,'CKadeaTelcoRegistre_Maintenance'!D:D,"Non repertorié")</f>
        <v>Non repertorié</v>
      </c>
      <c r="H665" t="str">
        <f>_xlfn.XLOOKUP(CKadeaTelcoLogs_Reseau[[#This Row],[Cell_ID]],'CKadeaTelcoRegistre_Maintenance'!A:A,'CKadeaTelcoRegistre_Maintenance'!E:E,"Non repertorié")</f>
        <v>Non repertorié</v>
      </c>
      <c r="I665" t="str">
        <f>_xlfn.XLOOKUP(CKadeaTelcoLogs_Reseau[[#This Row],[Cell_ID]],'CKadeaTelcoRegistre_Maintenance'!A:A,'CKadeaTelcoRegistre_Maintenance'!F:F,"Non repertorié")</f>
        <v>Non repertorié</v>
      </c>
    </row>
    <row r="666" spans="1:9" ht="20.5" customHeight="1" x14ac:dyDescent="0.35">
      <c r="A666" s="1">
        <v>45200.445138888892</v>
      </c>
      <c r="B666" s="5" t="s">
        <v>487</v>
      </c>
      <c r="C666">
        <v>112</v>
      </c>
      <c r="D666" t="s">
        <v>5</v>
      </c>
      <c r="E666" t="str">
        <f>_xlfn.XLOOKUP(CKadeaTelcoLogs_Reseau[[#This Row],[Cell_ID]],'CKadeaTelcoRegistre_Maintenance'!A:A,'CKadeaTelcoRegistre_Maintenance'!B:B,"Non repertorié")</f>
        <v>Haut-Katanga</v>
      </c>
      <c r="F666">
        <f>_xlfn.XLOOKUP(CKadeaTelcoLogs_Reseau[[#This Row],[Cell_ID]],'CKadeaTelcoRegistre_Maintenance'!A:A,'CKadeaTelcoRegistre_Maintenance'!C:C,"Non repertorié")</f>
        <v>-10.945031</v>
      </c>
      <c r="G666">
        <f>_xlfn.XLOOKUP(CKadeaTelcoLogs_Reseau[[#This Row],[Cell_ID]],'CKadeaTelcoRegistre_Maintenance'!A:A,'CKadeaTelcoRegistre_Maintenance'!D:D,"Non repertorié")</f>
        <v>27.922274000000002</v>
      </c>
      <c r="H666" t="str">
        <f>_xlfn.XLOOKUP(CKadeaTelcoLogs_Reseau[[#This Row],[Cell_ID]],'CKadeaTelcoRegistre_Maintenance'!A:A,'CKadeaTelcoRegistre_Maintenance'!E:E,"Non repertorié")</f>
        <v>4G</v>
      </c>
      <c r="I666" t="str">
        <f>_xlfn.XLOOKUP(CKadeaTelcoLogs_Reseau[[#This Row],[Cell_ID]],'CKadeaTelcoRegistre_Maintenance'!A:A,'CKadeaTelcoRegistre_Maintenance'!F:F,"Non repertorié")</f>
        <v>Ericsson</v>
      </c>
    </row>
    <row r="667" spans="1:9" ht="20.5" customHeight="1" x14ac:dyDescent="0.35">
      <c r="A667" s="1">
        <v>45203.910416666666</v>
      </c>
      <c r="B667" s="5" t="s">
        <v>459</v>
      </c>
      <c r="C667">
        <v>62</v>
      </c>
      <c r="D667" t="s">
        <v>5</v>
      </c>
      <c r="E667" t="str">
        <f>_xlfn.XLOOKUP(CKadeaTelcoLogs_Reseau[[#This Row],[Cell_ID]],'CKadeaTelcoRegistre_Maintenance'!A:A,'CKadeaTelcoRegistre_Maintenance'!B:B,"Non repertorié")</f>
        <v>Maniema</v>
      </c>
      <c r="F667">
        <f>_xlfn.XLOOKUP(CKadeaTelcoLogs_Reseau[[#This Row],[Cell_ID]],'CKadeaTelcoRegistre_Maintenance'!A:A,'CKadeaTelcoRegistre_Maintenance'!C:C,"Non repertorié")</f>
        <v>1.938083</v>
      </c>
      <c r="G667">
        <f>_xlfn.XLOOKUP(CKadeaTelcoLogs_Reseau[[#This Row],[Cell_ID]],'CKadeaTelcoRegistre_Maintenance'!A:A,'CKadeaTelcoRegistre_Maintenance'!D:D,"Non repertorié")</f>
        <v>28.25281</v>
      </c>
      <c r="H667" t="str">
        <f>_xlfn.XLOOKUP(CKadeaTelcoLogs_Reseau[[#This Row],[Cell_ID]],'CKadeaTelcoRegistre_Maintenance'!A:A,'CKadeaTelcoRegistre_Maintenance'!E:E,"Non repertorié")</f>
        <v>4G</v>
      </c>
      <c r="I667" t="str">
        <f>_xlfn.XLOOKUP(CKadeaTelcoLogs_Reseau[[#This Row],[Cell_ID]],'CKadeaTelcoRegistre_Maintenance'!A:A,'CKadeaTelcoRegistre_Maintenance'!F:F,"Non repertorié")</f>
        <v>Nokia</v>
      </c>
    </row>
    <row r="668" spans="1:9" ht="20.5" customHeight="1" x14ac:dyDescent="0.35">
      <c r="A668" s="1">
        <v>45205.96875</v>
      </c>
      <c r="B668" s="5" t="s">
        <v>488</v>
      </c>
      <c r="C668">
        <v>84</v>
      </c>
      <c r="D668" t="s">
        <v>8</v>
      </c>
      <c r="E668" t="str">
        <f>_xlfn.XLOOKUP(CKadeaTelcoLogs_Reseau[[#This Row],[Cell_ID]],'CKadeaTelcoRegistre_Maintenance'!A:A,'CKadeaTelcoRegistre_Maintenance'!B:B,"Non repertorié")</f>
        <v>Non repertorié</v>
      </c>
      <c r="F668" t="str">
        <f>_xlfn.XLOOKUP(CKadeaTelcoLogs_Reseau[[#This Row],[Cell_ID]],'CKadeaTelcoRegistre_Maintenance'!A:A,'CKadeaTelcoRegistre_Maintenance'!C:C,"Non repertorié")</f>
        <v>Non repertorié</v>
      </c>
      <c r="G668" t="str">
        <f>_xlfn.XLOOKUP(CKadeaTelcoLogs_Reseau[[#This Row],[Cell_ID]],'CKadeaTelcoRegistre_Maintenance'!A:A,'CKadeaTelcoRegistre_Maintenance'!D:D,"Non repertorié")</f>
        <v>Non repertorié</v>
      </c>
      <c r="H668" t="str">
        <f>_xlfn.XLOOKUP(CKadeaTelcoLogs_Reseau[[#This Row],[Cell_ID]],'CKadeaTelcoRegistre_Maintenance'!A:A,'CKadeaTelcoRegistre_Maintenance'!E:E,"Non repertorié")</f>
        <v>Non repertorié</v>
      </c>
      <c r="I668" t="str">
        <f>_xlfn.XLOOKUP(CKadeaTelcoLogs_Reseau[[#This Row],[Cell_ID]],'CKadeaTelcoRegistre_Maintenance'!A:A,'CKadeaTelcoRegistre_Maintenance'!F:F,"Non repertorié")</f>
        <v>Non repertorié</v>
      </c>
    </row>
    <row r="669" spans="1:9" ht="20.5" customHeight="1" x14ac:dyDescent="0.35">
      <c r="A669" s="1">
        <v>45216.232638888891</v>
      </c>
      <c r="B669" s="5" t="s">
        <v>489</v>
      </c>
      <c r="C669">
        <v>11</v>
      </c>
      <c r="D669" t="s">
        <v>10</v>
      </c>
      <c r="E669" t="str">
        <f>_xlfn.XLOOKUP(CKadeaTelcoLogs_Reseau[[#This Row],[Cell_ID]],'CKadeaTelcoRegistre_Maintenance'!A:A,'CKadeaTelcoRegistre_Maintenance'!B:B,"Non repertorié")</f>
        <v>Kasai</v>
      </c>
      <c r="F669">
        <f>_xlfn.XLOOKUP(CKadeaTelcoLogs_Reseau[[#This Row],[Cell_ID]],'CKadeaTelcoRegistre_Maintenance'!A:A,'CKadeaTelcoRegistre_Maintenance'!C:C,"Non repertorié")</f>
        <v>-3.8119990000000001</v>
      </c>
      <c r="G669">
        <f>_xlfn.XLOOKUP(CKadeaTelcoLogs_Reseau[[#This Row],[Cell_ID]],'CKadeaTelcoRegistre_Maintenance'!A:A,'CKadeaTelcoRegistre_Maintenance'!D:D,"Non repertorié")</f>
        <v>20.420048000000001</v>
      </c>
      <c r="H669" t="str">
        <f>_xlfn.XLOOKUP(CKadeaTelcoLogs_Reseau[[#This Row],[Cell_ID]],'CKadeaTelcoRegistre_Maintenance'!A:A,'CKadeaTelcoRegistre_Maintenance'!E:E,"Non repertorié")</f>
        <v>3G</v>
      </c>
      <c r="I669" t="str">
        <f>_xlfn.XLOOKUP(CKadeaTelcoLogs_Reseau[[#This Row],[Cell_ID]],'CKadeaTelcoRegistre_Maintenance'!A:A,'CKadeaTelcoRegistre_Maintenance'!F:F,"Non repertorié")</f>
        <v>ZTE</v>
      </c>
    </row>
    <row r="670" spans="1:9" ht="20.5" customHeight="1" x14ac:dyDescent="0.35">
      <c r="A670" s="1">
        <v>45205.440972222219</v>
      </c>
      <c r="B670" s="5" t="s">
        <v>490</v>
      </c>
      <c r="C670">
        <v>115</v>
      </c>
      <c r="D670" t="s">
        <v>8</v>
      </c>
      <c r="E670" t="str">
        <f>_xlfn.XLOOKUP(CKadeaTelcoLogs_Reseau[[#This Row],[Cell_ID]],'CKadeaTelcoRegistre_Maintenance'!A:A,'CKadeaTelcoRegistre_Maintenance'!B:B,"Non repertorié")</f>
        <v>Sud-Kivu</v>
      </c>
      <c r="F670">
        <f>_xlfn.XLOOKUP(CKadeaTelcoLogs_Reseau[[#This Row],[Cell_ID]],'CKadeaTelcoRegistre_Maintenance'!A:A,'CKadeaTelcoRegistre_Maintenance'!C:C,"Non repertorié")</f>
        <v>-1.3024210000000001</v>
      </c>
      <c r="G670">
        <f>_xlfn.XLOOKUP(CKadeaTelcoLogs_Reseau[[#This Row],[Cell_ID]],'CKadeaTelcoRegistre_Maintenance'!A:A,'CKadeaTelcoRegistre_Maintenance'!D:D,"Non repertorié")</f>
        <v>13.601914000000001</v>
      </c>
      <c r="H670" t="str">
        <f>_xlfn.XLOOKUP(CKadeaTelcoLogs_Reseau[[#This Row],[Cell_ID]],'CKadeaTelcoRegistre_Maintenance'!A:A,'CKadeaTelcoRegistre_Maintenance'!E:E,"Non repertorié")</f>
        <v>3G</v>
      </c>
      <c r="I670" t="str">
        <f>_xlfn.XLOOKUP(CKadeaTelcoLogs_Reseau[[#This Row],[Cell_ID]],'CKadeaTelcoRegistre_Maintenance'!A:A,'CKadeaTelcoRegistre_Maintenance'!F:F,"Non repertorié")</f>
        <v>Huawei</v>
      </c>
    </row>
    <row r="671" spans="1:9" ht="20.5" customHeight="1" x14ac:dyDescent="0.35">
      <c r="A671" s="1">
        <v>45213.593055555553</v>
      </c>
      <c r="B671" s="5" t="s">
        <v>416</v>
      </c>
      <c r="C671">
        <v>50</v>
      </c>
      <c r="D671" t="s">
        <v>10</v>
      </c>
      <c r="E671" t="str">
        <f>_xlfn.XLOOKUP(CKadeaTelcoLogs_Reseau[[#This Row],[Cell_ID]],'CKadeaTelcoRegistre_Maintenance'!A:A,'CKadeaTelcoRegistre_Maintenance'!B:B,"Non repertorié")</f>
        <v>Non repertorié</v>
      </c>
      <c r="F671" t="str">
        <f>_xlfn.XLOOKUP(CKadeaTelcoLogs_Reseau[[#This Row],[Cell_ID]],'CKadeaTelcoRegistre_Maintenance'!A:A,'CKadeaTelcoRegistre_Maintenance'!C:C,"Non repertorié")</f>
        <v>Non repertorié</v>
      </c>
      <c r="G671" t="str">
        <f>_xlfn.XLOOKUP(CKadeaTelcoLogs_Reseau[[#This Row],[Cell_ID]],'CKadeaTelcoRegistre_Maintenance'!A:A,'CKadeaTelcoRegistre_Maintenance'!D:D,"Non repertorié")</f>
        <v>Non repertorié</v>
      </c>
      <c r="H671" t="str">
        <f>_xlfn.XLOOKUP(CKadeaTelcoLogs_Reseau[[#This Row],[Cell_ID]],'CKadeaTelcoRegistre_Maintenance'!A:A,'CKadeaTelcoRegistre_Maintenance'!E:E,"Non repertorié")</f>
        <v>Non repertorié</v>
      </c>
      <c r="I671" t="str">
        <f>_xlfn.XLOOKUP(CKadeaTelcoLogs_Reseau[[#This Row],[Cell_ID]],'CKadeaTelcoRegistre_Maintenance'!A:A,'CKadeaTelcoRegistre_Maintenance'!F:F,"Non repertorié")</f>
        <v>Non repertorié</v>
      </c>
    </row>
    <row r="672" spans="1:9" ht="20.5" customHeight="1" x14ac:dyDescent="0.35">
      <c r="A672" s="1">
        <v>45225.527777777781</v>
      </c>
      <c r="B672" s="5" t="s">
        <v>491</v>
      </c>
      <c r="C672">
        <v>6</v>
      </c>
      <c r="D672" t="s">
        <v>8</v>
      </c>
      <c r="E672" t="str">
        <f>_xlfn.XLOOKUP(CKadeaTelcoLogs_Reseau[[#This Row],[Cell_ID]],'CKadeaTelcoRegistre_Maintenance'!A:A,'CKadeaTelcoRegistre_Maintenance'!B:B,"Non repertorié")</f>
        <v>Non repertorié</v>
      </c>
      <c r="F672" t="str">
        <f>_xlfn.XLOOKUP(CKadeaTelcoLogs_Reseau[[#This Row],[Cell_ID]],'CKadeaTelcoRegistre_Maintenance'!A:A,'CKadeaTelcoRegistre_Maintenance'!C:C,"Non repertorié")</f>
        <v>Non repertorié</v>
      </c>
      <c r="G672" t="str">
        <f>_xlfn.XLOOKUP(CKadeaTelcoLogs_Reseau[[#This Row],[Cell_ID]],'CKadeaTelcoRegistre_Maintenance'!A:A,'CKadeaTelcoRegistre_Maintenance'!D:D,"Non repertorié")</f>
        <v>Non repertorié</v>
      </c>
      <c r="H672" t="str">
        <f>_xlfn.XLOOKUP(CKadeaTelcoLogs_Reseau[[#This Row],[Cell_ID]],'CKadeaTelcoRegistre_Maintenance'!A:A,'CKadeaTelcoRegistre_Maintenance'!E:E,"Non repertorié")</f>
        <v>Non repertorié</v>
      </c>
      <c r="I672" t="str">
        <f>_xlfn.XLOOKUP(CKadeaTelcoLogs_Reseau[[#This Row],[Cell_ID]],'CKadeaTelcoRegistre_Maintenance'!A:A,'CKadeaTelcoRegistre_Maintenance'!F:F,"Non repertorié")</f>
        <v>Non repertorié</v>
      </c>
    </row>
    <row r="673" spans="1:9" ht="20.5" customHeight="1" x14ac:dyDescent="0.35">
      <c r="A673" s="1">
        <v>45205.236111111109</v>
      </c>
      <c r="B673" s="5" t="s">
        <v>183</v>
      </c>
      <c r="C673">
        <v>67</v>
      </c>
      <c r="D673" t="s">
        <v>8</v>
      </c>
      <c r="E673" t="str">
        <f>_xlfn.XLOOKUP(CKadeaTelcoLogs_Reseau[[#This Row],[Cell_ID]],'CKadeaTelcoRegistre_Maintenance'!A:A,'CKadeaTelcoRegistre_Maintenance'!B:B,"Non repertorié")</f>
        <v>Non repertorié</v>
      </c>
      <c r="F673" t="str">
        <f>_xlfn.XLOOKUP(CKadeaTelcoLogs_Reseau[[#This Row],[Cell_ID]],'CKadeaTelcoRegistre_Maintenance'!A:A,'CKadeaTelcoRegistre_Maintenance'!C:C,"Non repertorié")</f>
        <v>Non repertorié</v>
      </c>
      <c r="G673" t="str">
        <f>_xlfn.XLOOKUP(CKadeaTelcoLogs_Reseau[[#This Row],[Cell_ID]],'CKadeaTelcoRegistre_Maintenance'!A:A,'CKadeaTelcoRegistre_Maintenance'!D:D,"Non repertorié")</f>
        <v>Non repertorié</v>
      </c>
      <c r="H673" t="str">
        <f>_xlfn.XLOOKUP(CKadeaTelcoLogs_Reseau[[#This Row],[Cell_ID]],'CKadeaTelcoRegistre_Maintenance'!A:A,'CKadeaTelcoRegistre_Maintenance'!E:E,"Non repertorié")</f>
        <v>Non repertorié</v>
      </c>
      <c r="I673" t="str">
        <f>_xlfn.XLOOKUP(CKadeaTelcoLogs_Reseau[[#This Row],[Cell_ID]],'CKadeaTelcoRegistre_Maintenance'!A:A,'CKadeaTelcoRegistre_Maintenance'!F:F,"Non repertorié")</f>
        <v>Non repertorié</v>
      </c>
    </row>
    <row r="674" spans="1:9" ht="20.5" customHeight="1" x14ac:dyDescent="0.35">
      <c r="A674" s="1">
        <v>45221.559027777781</v>
      </c>
      <c r="B674" s="5" t="s">
        <v>492</v>
      </c>
      <c r="C674">
        <v>22</v>
      </c>
      <c r="D674" t="s">
        <v>5</v>
      </c>
      <c r="E674" t="str">
        <f>_xlfn.XLOOKUP(CKadeaTelcoLogs_Reseau[[#This Row],[Cell_ID]],'CKadeaTelcoRegistre_Maintenance'!A:A,'CKadeaTelcoRegistre_Maintenance'!B:B,"Non repertorié")</f>
        <v>Kwango</v>
      </c>
      <c r="F674">
        <f>_xlfn.XLOOKUP(CKadeaTelcoLogs_Reseau[[#This Row],[Cell_ID]],'CKadeaTelcoRegistre_Maintenance'!A:A,'CKadeaTelcoRegistre_Maintenance'!C:C,"Non repertorié")</f>
        <v>0.65288900000000005</v>
      </c>
      <c r="G674">
        <f>_xlfn.XLOOKUP(CKadeaTelcoLogs_Reseau[[#This Row],[Cell_ID]],'CKadeaTelcoRegistre_Maintenance'!A:A,'CKadeaTelcoRegistre_Maintenance'!D:D,"Non repertorié")</f>
        <v>24.243953999999999</v>
      </c>
      <c r="H674" t="str">
        <f>_xlfn.XLOOKUP(CKadeaTelcoLogs_Reseau[[#This Row],[Cell_ID]],'CKadeaTelcoRegistre_Maintenance'!A:A,'CKadeaTelcoRegistre_Maintenance'!E:E,"Non repertorié")</f>
        <v>5G</v>
      </c>
      <c r="I674" t="str">
        <f>_xlfn.XLOOKUP(CKadeaTelcoLogs_Reseau[[#This Row],[Cell_ID]],'CKadeaTelcoRegistre_Maintenance'!A:A,'CKadeaTelcoRegistre_Maintenance'!F:F,"Non repertorié")</f>
        <v>Ericsson</v>
      </c>
    </row>
    <row r="675" spans="1:9" ht="20.5" customHeight="1" x14ac:dyDescent="0.35">
      <c r="A675" s="1">
        <v>45200.98541666667</v>
      </c>
      <c r="B675" s="5" t="s">
        <v>191</v>
      </c>
      <c r="C675">
        <v>29</v>
      </c>
      <c r="D675" t="s">
        <v>10</v>
      </c>
      <c r="E675" t="str">
        <f>_xlfn.XLOOKUP(CKadeaTelcoLogs_Reseau[[#This Row],[Cell_ID]],'CKadeaTelcoRegistre_Maintenance'!A:A,'CKadeaTelcoRegistre_Maintenance'!B:B,"Non repertorié")</f>
        <v>Bas-Uele</v>
      </c>
      <c r="F675">
        <f>_xlfn.XLOOKUP(CKadeaTelcoLogs_Reseau[[#This Row],[Cell_ID]],'CKadeaTelcoRegistre_Maintenance'!A:A,'CKadeaTelcoRegistre_Maintenance'!C:C,"Non repertorié")</f>
        <v>1.5278670000000001</v>
      </c>
      <c r="G675">
        <f>_xlfn.XLOOKUP(CKadeaTelcoLogs_Reseau[[#This Row],[Cell_ID]],'CKadeaTelcoRegistre_Maintenance'!A:A,'CKadeaTelcoRegistre_Maintenance'!D:D,"Non repertorié")</f>
        <v>13.899388999999999</v>
      </c>
      <c r="H675" t="str">
        <f>_xlfn.XLOOKUP(CKadeaTelcoLogs_Reseau[[#This Row],[Cell_ID]],'CKadeaTelcoRegistre_Maintenance'!A:A,'CKadeaTelcoRegistre_Maintenance'!E:E,"Non repertorié")</f>
        <v>3G</v>
      </c>
      <c r="I675" t="str">
        <f>_xlfn.XLOOKUP(CKadeaTelcoLogs_Reseau[[#This Row],[Cell_ID]],'CKadeaTelcoRegistre_Maintenance'!A:A,'CKadeaTelcoRegistre_Maintenance'!F:F,"Non repertorié")</f>
        <v>Huawei</v>
      </c>
    </row>
    <row r="676" spans="1:9" ht="20.5" customHeight="1" x14ac:dyDescent="0.35">
      <c r="A676" s="1">
        <v>45228.269444444442</v>
      </c>
      <c r="B676" s="5" t="s">
        <v>93</v>
      </c>
      <c r="C676">
        <v>109</v>
      </c>
      <c r="D676" t="s">
        <v>8</v>
      </c>
      <c r="E676" t="str">
        <f>_xlfn.XLOOKUP(CKadeaTelcoLogs_Reseau[[#This Row],[Cell_ID]],'CKadeaTelcoRegistre_Maintenance'!A:A,'CKadeaTelcoRegistre_Maintenance'!B:B,"Non repertorié")</f>
        <v>Non repertorié</v>
      </c>
      <c r="F676" t="str">
        <f>_xlfn.XLOOKUP(CKadeaTelcoLogs_Reseau[[#This Row],[Cell_ID]],'CKadeaTelcoRegistre_Maintenance'!A:A,'CKadeaTelcoRegistre_Maintenance'!C:C,"Non repertorié")</f>
        <v>Non repertorié</v>
      </c>
      <c r="G676" t="str">
        <f>_xlfn.XLOOKUP(CKadeaTelcoLogs_Reseau[[#This Row],[Cell_ID]],'CKadeaTelcoRegistre_Maintenance'!A:A,'CKadeaTelcoRegistre_Maintenance'!D:D,"Non repertorié")</f>
        <v>Non repertorié</v>
      </c>
      <c r="H676" t="str">
        <f>_xlfn.XLOOKUP(CKadeaTelcoLogs_Reseau[[#This Row],[Cell_ID]],'CKadeaTelcoRegistre_Maintenance'!A:A,'CKadeaTelcoRegistre_Maintenance'!E:E,"Non repertorié")</f>
        <v>Non repertorié</v>
      </c>
      <c r="I676" t="str">
        <f>_xlfn.XLOOKUP(CKadeaTelcoLogs_Reseau[[#This Row],[Cell_ID]],'CKadeaTelcoRegistre_Maintenance'!A:A,'CKadeaTelcoRegistre_Maintenance'!F:F,"Non repertorié")</f>
        <v>Non repertorié</v>
      </c>
    </row>
    <row r="677" spans="1:9" ht="20.5" customHeight="1" x14ac:dyDescent="0.35">
      <c r="A677" s="1">
        <v>45218.558333333334</v>
      </c>
      <c r="B677" s="5" t="s">
        <v>193</v>
      </c>
      <c r="C677">
        <v>54</v>
      </c>
      <c r="D677" t="s">
        <v>10</v>
      </c>
      <c r="E677" t="str">
        <f>_xlfn.XLOOKUP(CKadeaTelcoLogs_Reseau[[#This Row],[Cell_ID]],'CKadeaTelcoRegistre_Maintenance'!A:A,'CKadeaTelcoRegistre_Maintenance'!B:B,"Non repertorié")</f>
        <v>Non repertorié</v>
      </c>
      <c r="F677" t="str">
        <f>_xlfn.XLOOKUP(CKadeaTelcoLogs_Reseau[[#This Row],[Cell_ID]],'CKadeaTelcoRegistre_Maintenance'!A:A,'CKadeaTelcoRegistre_Maintenance'!C:C,"Non repertorié")</f>
        <v>Non repertorié</v>
      </c>
      <c r="G677" t="str">
        <f>_xlfn.XLOOKUP(CKadeaTelcoLogs_Reseau[[#This Row],[Cell_ID]],'CKadeaTelcoRegistre_Maintenance'!A:A,'CKadeaTelcoRegistre_Maintenance'!D:D,"Non repertorié")</f>
        <v>Non repertorié</v>
      </c>
      <c r="H677" t="str">
        <f>_xlfn.XLOOKUP(CKadeaTelcoLogs_Reseau[[#This Row],[Cell_ID]],'CKadeaTelcoRegistre_Maintenance'!A:A,'CKadeaTelcoRegistre_Maintenance'!E:E,"Non repertorié")</f>
        <v>Non repertorié</v>
      </c>
      <c r="I677" t="str">
        <f>_xlfn.XLOOKUP(CKadeaTelcoLogs_Reseau[[#This Row],[Cell_ID]],'CKadeaTelcoRegistre_Maintenance'!A:A,'CKadeaTelcoRegistre_Maintenance'!F:F,"Non repertorié")</f>
        <v>Non repertorié</v>
      </c>
    </row>
    <row r="678" spans="1:9" ht="20.5" customHeight="1" x14ac:dyDescent="0.35">
      <c r="A678" s="1">
        <v>45200.925694444442</v>
      </c>
      <c r="B678" s="5" t="s">
        <v>12</v>
      </c>
      <c r="C678">
        <v>76</v>
      </c>
      <c r="D678" t="s">
        <v>10</v>
      </c>
      <c r="E678" t="str">
        <f>_xlfn.XLOOKUP(CKadeaTelcoLogs_Reseau[[#This Row],[Cell_ID]],'CKadeaTelcoRegistre_Maintenance'!A:A,'CKadeaTelcoRegistre_Maintenance'!B:B,"Non repertorié")</f>
        <v>Kongo-Central</v>
      </c>
      <c r="F678">
        <f>_xlfn.XLOOKUP(CKadeaTelcoLogs_Reseau[[#This Row],[Cell_ID]],'CKadeaTelcoRegistre_Maintenance'!A:A,'CKadeaTelcoRegistre_Maintenance'!C:C,"Non repertorié")</f>
        <v>-2.8211520000000001</v>
      </c>
      <c r="G678">
        <f>_xlfn.XLOOKUP(CKadeaTelcoLogs_Reseau[[#This Row],[Cell_ID]],'CKadeaTelcoRegistre_Maintenance'!A:A,'CKadeaTelcoRegistre_Maintenance'!D:D,"Non repertorié")</f>
        <v>20.651419000000001</v>
      </c>
      <c r="H678" t="str">
        <f>_xlfn.XLOOKUP(CKadeaTelcoLogs_Reseau[[#This Row],[Cell_ID]],'CKadeaTelcoRegistre_Maintenance'!A:A,'CKadeaTelcoRegistre_Maintenance'!E:E,"Non repertorié")</f>
        <v>5G</v>
      </c>
      <c r="I678" t="str">
        <f>_xlfn.XLOOKUP(CKadeaTelcoLogs_Reseau[[#This Row],[Cell_ID]],'CKadeaTelcoRegistre_Maintenance'!A:A,'CKadeaTelcoRegistre_Maintenance'!F:F,"Non repertorié")</f>
        <v>Ericsson</v>
      </c>
    </row>
    <row r="679" spans="1:9" ht="20.5" customHeight="1" x14ac:dyDescent="0.35">
      <c r="A679" s="1">
        <v>45206.366666666669</v>
      </c>
      <c r="B679" s="5" t="s">
        <v>219</v>
      </c>
      <c r="C679">
        <v>69</v>
      </c>
      <c r="D679" t="s">
        <v>8</v>
      </c>
      <c r="E679" t="str">
        <f>_xlfn.XLOOKUP(CKadeaTelcoLogs_Reseau[[#This Row],[Cell_ID]],'CKadeaTelcoRegistre_Maintenance'!A:A,'CKadeaTelcoRegistre_Maintenance'!B:B,"Non repertorié")</f>
        <v>Non repertorié</v>
      </c>
      <c r="F679" t="str">
        <f>_xlfn.XLOOKUP(CKadeaTelcoLogs_Reseau[[#This Row],[Cell_ID]],'CKadeaTelcoRegistre_Maintenance'!A:A,'CKadeaTelcoRegistre_Maintenance'!C:C,"Non repertorié")</f>
        <v>Non repertorié</v>
      </c>
      <c r="G679" t="str">
        <f>_xlfn.XLOOKUP(CKadeaTelcoLogs_Reseau[[#This Row],[Cell_ID]],'CKadeaTelcoRegistre_Maintenance'!A:A,'CKadeaTelcoRegistre_Maintenance'!D:D,"Non repertorié")</f>
        <v>Non repertorié</v>
      </c>
      <c r="H679" t="str">
        <f>_xlfn.XLOOKUP(CKadeaTelcoLogs_Reseau[[#This Row],[Cell_ID]],'CKadeaTelcoRegistre_Maintenance'!A:A,'CKadeaTelcoRegistre_Maintenance'!E:E,"Non repertorié")</f>
        <v>Non repertorié</v>
      </c>
      <c r="I679" t="str">
        <f>_xlfn.XLOOKUP(CKadeaTelcoLogs_Reseau[[#This Row],[Cell_ID]],'CKadeaTelcoRegistre_Maintenance'!A:A,'CKadeaTelcoRegistre_Maintenance'!F:F,"Non repertorié")</f>
        <v>Non repertorié</v>
      </c>
    </row>
    <row r="680" spans="1:9" ht="20.5" customHeight="1" x14ac:dyDescent="0.35">
      <c r="A680" s="1">
        <v>45222.10833333333</v>
      </c>
      <c r="B680" s="5" t="s">
        <v>493</v>
      </c>
      <c r="C680">
        <v>88</v>
      </c>
      <c r="D680" t="s">
        <v>10</v>
      </c>
      <c r="E680" t="str">
        <f>_xlfn.XLOOKUP(CKadeaTelcoLogs_Reseau[[#This Row],[Cell_ID]],'CKadeaTelcoRegistre_Maintenance'!A:A,'CKadeaTelcoRegistre_Maintenance'!B:B,"Non repertorié")</f>
        <v>Non repertorié</v>
      </c>
      <c r="F680" t="str">
        <f>_xlfn.XLOOKUP(CKadeaTelcoLogs_Reseau[[#This Row],[Cell_ID]],'CKadeaTelcoRegistre_Maintenance'!A:A,'CKadeaTelcoRegistre_Maintenance'!C:C,"Non repertorié")</f>
        <v>Non repertorié</v>
      </c>
      <c r="G680" t="str">
        <f>_xlfn.XLOOKUP(CKadeaTelcoLogs_Reseau[[#This Row],[Cell_ID]],'CKadeaTelcoRegistre_Maintenance'!A:A,'CKadeaTelcoRegistre_Maintenance'!D:D,"Non repertorié")</f>
        <v>Non repertorié</v>
      </c>
      <c r="H680" t="str">
        <f>_xlfn.XLOOKUP(CKadeaTelcoLogs_Reseau[[#This Row],[Cell_ID]],'CKadeaTelcoRegistre_Maintenance'!A:A,'CKadeaTelcoRegistre_Maintenance'!E:E,"Non repertorié")</f>
        <v>Non repertorié</v>
      </c>
      <c r="I680" t="str">
        <f>_xlfn.XLOOKUP(CKadeaTelcoLogs_Reseau[[#This Row],[Cell_ID]],'CKadeaTelcoRegistre_Maintenance'!A:A,'CKadeaTelcoRegistre_Maintenance'!F:F,"Non repertorié")</f>
        <v>Non repertorié</v>
      </c>
    </row>
    <row r="681" spans="1:9" ht="20.5" customHeight="1" x14ac:dyDescent="0.35">
      <c r="A681" s="1">
        <v>45203.71597222222</v>
      </c>
      <c r="B681" s="5" t="s">
        <v>494</v>
      </c>
      <c r="C681">
        <v>68</v>
      </c>
      <c r="D681" t="s">
        <v>8</v>
      </c>
      <c r="E681" t="str">
        <f>_xlfn.XLOOKUP(CKadeaTelcoLogs_Reseau[[#This Row],[Cell_ID]],'CKadeaTelcoRegistre_Maintenance'!A:A,'CKadeaTelcoRegistre_Maintenance'!B:B,"Non repertorié")</f>
        <v>Nord-Kivu</v>
      </c>
      <c r="F681">
        <f>_xlfn.XLOOKUP(CKadeaTelcoLogs_Reseau[[#This Row],[Cell_ID]],'CKadeaTelcoRegistre_Maintenance'!A:A,'CKadeaTelcoRegistre_Maintenance'!C:C,"Non repertorié")</f>
        <v>-7.9866700000000002</v>
      </c>
      <c r="G681">
        <f>_xlfn.XLOOKUP(CKadeaTelcoLogs_Reseau[[#This Row],[Cell_ID]],'CKadeaTelcoRegistre_Maintenance'!A:A,'CKadeaTelcoRegistre_Maintenance'!D:D,"Non repertorié")</f>
        <v>17.757847000000002</v>
      </c>
      <c r="H681" t="str">
        <f>_xlfn.XLOOKUP(CKadeaTelcoLogs_Reseau[[#This Row],[Cell_ID]],'CKadeaTelcoRegistre_Maintenance'!A:A,'CKadeaTelcoRegistre_Maintenance'!E:E,"Non repertorié")</f>
        <v>5G</v>
      </c>
      <c r="I681" t="str">
        <f>_xlfn.XLOOKUP(CKadeaTelcoLogs_Reseau[[#This Row],[Cell_ID]],'CKadeaTelcoRegistre_Maintenance'!A:A,'CKadeaTelcoRegistre_Maintenance'!F:F,"Non repertorié")</f>
        <v>Huawei</v>
      </c>
    </row>
    <row r="682" spans="1:9" ht="20.5" customHeight="1" x14ac:dyDescent="0.35">
      <c r="A682" s="1">
        <v>45211.425000000003</v>
      </c>
      <c r="B682" s="5" t="s">
        <v>168</v>
      </c>
      <c r="C682">
        <v>57</v>
      </c>
      <c r="D682" t="s">
        <v>8</v>
      </c>
      <c r="E682" t="str">
        <f>_xlfn.XLOOKUP(CKadeaTelcoLogs_Reseau[[#This Row],[Cell_ID]],'CKadeaTelcoRegistre_Maintenance'!A:A,'CKadeaTelcoRegistre_Maintenance'!B:B,"Non repertorié")</f>
        <v>Tshopo</v>
      </c>
      <c r="F682">
        <f>_xlfn.XLOOKUP(CKadeaTelcoLogs_Reseau[[#This Row],[Cell_ID]],'CKadeaTelcoRegistre_Maintenance'!A:A,'CKadeaTelcoRegistre_Maintenance'!C:C,"Non repertorié")</f>
        <v>-4.5603610000000003</v>
      </c>
      <c r="G682">
        <f>_xlfn.XLOOKUP(CKadeaTelcoLogs_Reseau[[#This Row],[Cell_ID]],'CKadeaTelcoRegistre_Maintenance'!A:A,'CKadeaTelcoRegistre_Maintenance'!D:D,"Non repertorié")</f>
        <v>24.113918999999999</v>
      </c>
      <c r="H682" t="str">
        <f>_xlfn.XLOOKUP(CKadeaTelcoLogs_Reseau[[#This Row],[Cell_ID]],'CKadeaTelcoRegistre_Maintenance'!A:A,'CKadeaTelcoRegistre_Maintenance'!E:E,"Non repertorié")</f>
        <v>5G</v>
      </c>
      <c r="I682" t="str">
        <f>_xlfn.XLOOKUP(CKadeaTelcoLogs_Reseau[[#This Row],[Cell_ID]],'CKadeaTelcoRegistre_Maintenance'!A:A,'CKadeaTelcoRegistre_Maintenance'!F:F,"Non repertorié")</f>
        <v>ZTE</v>
      </c>
    </row>
    <row r="683" spans="1:9" ht="20.5" customHeight="1" x14ac:dyDescent="0.35">
      <c r="A683" s="1">
        <v>45214.136111111111</v>
      </c>
      <c r="B683" s="5" t="s">
        <v>495</v>
      </c>
      <c r="C683">
        <v>92</v>
      </c>
      <c r="D683" t="s">
        <v>5</v>
      </c>
      <c r="E683" t="str">
        <f>_xlfn.XLOOKUP(CKadeaTelcoLogs_Reseau[[#This Row],[Cell_ID]],'CKadeaTelcoRegistre_Maintenance'!A:A,'CKadeaTelcoRegistre_Maintenance'!B:B,"Non repertorié")</f>
        <v>Non repertorié</v>
      </c>
      <c r="F683" t="str">
        <f>_xlfn.XLOOKUP(CKadeaTelcoLogs_Reseau[[#This Row],[Cell_ID]],'CKadeaTelcoRegistre_Maintenance'!A:A,'CKadeaTelcoRegistre_Maintenance'!C:C,"Non repertorié")</f>
        <v>Non repertorié</v>
      </c>
      <c r="G683" t="str">
        <f>_xlfn.XLOOKUP(CKadeaTelcoLogs_Reseau[[#This Row],[Cell_ID]],'CKadeaTelcoRegistre_Maintenance'!A:A,'CKadeaTelcoRegistre_Maintenance'!D:D,"Non repertorié")</f>
        <v>Non repertorié</v>
      </c>
      <c r="H683" t="str">
        <f>_xlfn.XLOOKUP(CKadeaTelcoLogs_Reseau[[#This Row],[Cell_ID]],'CKadeaTelcoRegistre_Maintenance'!A:A,'CKadeaTelcoRegistre_Maintenance'!E:E,"Non repertorié")</f>
        <v>Non repertorié</v>
      </c>
      <c r="I683" t="str">
        <f>_xlfn.XLOOKUP(CKadeaTelcoLogs_Reseau[[#This Row],[Cell_ID]],'CKadeaTelcoRegistre_Maintenance'!A:A,'CKadeaTelcoRegistre_Maintenance'!F:F,"Non repertorié")</f>
        <v>Non repertorié</v>
      </c>
    </row>
    <row r="684" spans="1:9" ht="20.5" customHeight="1" x14ac:dyDescent="0.35">
      <c r="A684" s="1">
        <v>45221.647916666669</v>
      </c>
      <c r="B684" s="5" t="s">
        <v>496</v>
      </c>
      <c r="C684">
        <v>67</v>
      </c>
      <c r="D684" t="s">
        <v>5</v>
      </c>
      <c r="E684" t="str">
        <f>_xlfn.XLOOKUP(CKadeaTelcoLogs_Reseau[[#This Row],[Cell_ID]],'CKadeaTelcoRegistre_Maintenance'!A:A,'CKadeaTelcoRegistre_Maintenance'!B:B,"Non repertorié")</f>
        <v>Haut-Uele</v>
      </c>
      <c r="F684">
        <f>_xlfn.XLOOKUP(CKadeaTelcoLogs_Reseau[[#This Row],[Cell_ID]],'CKadeaTelcoRegistre_Maintenance'!A:A,'CKadeaTelcoRegistre_Maintenance'!C:C,"Non repertorié")</f>
        <v>-11.924048000000001</v>
      </c>
      <c r="G684">
        <f>_xlfn.XLOOKUP(CKadeaTelcoLogs_Reseau[[#This Row],[Cell_ID]],'CKadeaTelcoRegistre_Maintenance'!A:A,'CKadeaTelcoRegistre_Maintenance'!D:D,"Non repertorié")</f>
        <v>24.177174999999998</v>
      </c>
      <c r="H684" t="str">
        <f>_xlfn.XLOOKUP(CKadeaTelcoLogs_Reseau[[#This Row],[Cell_ID]],'CKadeaTelcoRegistre_Maintenance'!A:A,'CKadeaTelcoRegistre_Maintenance'!E:E,"Non repertorié")</f>
        <v>3G</v>
      </c>
      <c r="I684" t="str">
        <f>_xlfn.XLOOKUP(CKadeaTelcoLogs_Reseau[[#This Row],[Cell_ID]],'CKadeaTelcoRegistre_Maintenance'!A:A,'CKadeaTelcoRegistre_Maintenance'!F:F,"Non repertorié")</f>
        <v>Nokia</v>
      </c>
    </row>
    <row r="685" spans="1:9" ht="20.5" customHeight="1" x14ac:dyDescent="0.35">
      <c r="A685" s="1">
        <v>45230.847222222219</v>
      </c>
      <c r="B685" s="5" t="s">
        <v>63</v>
      </c>
      <c r="C685">
        <v>58</v>
      </c>
      <c r="D685" t="s">
        <v>10</v>
      </c>
      <c r="E685" t="str">
        <f>_xlfn.XLOOKUP(CKadeaTelcoLogs_Reseau[[#This Row],[Cell_ID]],'CKadeaTelcoRegistre_Maintenance'!A:A,'CKadeaTelcoRegistre_Maintenance'!B:B,"Non repertorié")</f>
        <v>Kwilu</v>
      </c>
      <c r="F685">
        <f>_xlfn.XLOOKUP(CKadeaTelcoLogs_Reseau[[#This Row],[Cell_ID]],'CKadeaTelcoRegistre_Maintenance'!A:A,'CKadeaTelcoRegistre_Maintenance'!C:C,"Non repertorié")</f>
        <v>-5.9021970000000001</v>
      </c>
      <c r="G685">
        <f>_xlfn.XLOOKUP(CKadeaTelcoLogs_Reseau[[#This Row],[Cell_ID]],'CKadeaTelcoRegistre_Maintenance'!A:A,'CKadeaTelcoRegistre_Maintenance'!D:D,"Non repertorié")</f>
        <v>20.551169999999999</v>
      </c>
      <c r="H685" t="str">
        <f>_xlfn.XLOOKUP(CKadeaTelcoLogs_Reseau[[#This Row],[Cell_ID]],'CKadeaTelcoRegistre_Maintenance'!A:A,'CKadeaTelcoRegistre_Maintenance'!E:E,"Non repertorié")</f>
        <v>3G</v>
      </c>
      <c r="I685" t="str">
        <f>_xlfn.XLOOKUP(CKadeaTelcoLogs_Reseau[[#This Row],[Cell_ID]],'CKadeaTelcoRegistre_Maintenance'!A:A,'CKadeaTelcoRegistre_Maintenance'!F:F,"Non repertorié")</f>
        <v>Huawei</v>
      </c>
    </row>
    <row r="686" spans="1:9" ht="20.5" customHeight="1" x14ac:dyDescent="0.35">
      <c r="A686" s="1">
        <v>45219.527083333334</v>
      </c>
      <c r="B686" s="5" t="s">
        <v>402</v>
      </c>
      <c r="C686">
        <v>95</v>
      </c>
      <c r="D686" t="s">
        <v>5</v>
      </c>
      <c r="E686" t="str">
        <f>_xlfn.XLOOKUP(CKadeaTelcoLogs_Reseau[[#This Row],[Cell_ID]],'CKadeaTelcoRegistre_Maintenance'!A:A,'CKadeaTelcoRegistre_Maintenance'!B:B,"Non repertorié")</f>
        <v>Haut-Uele</v>
      </c>
      <c r="F686">
        <f>_xlfn.XLOOKUP(CKadeaTelcoLogs_Reseau[[#This Row],[Cell_ID]],'CKadeaTelcoRegistre_Maintenance'!A:A,'CKadeaTelcoRegistre_Maintenance'!C:C,"Non repertorié")</f>
        <v>-7.1483749999999997</v>
      </c>
      <c r="G686">
        <f>_xlfn.XLOOKUP(CKadeaTelcoLogs_Reseau[[#This Row],[Cell_ID]],'CKadeaTelcoRegistre_Maintenance'!A:A,'CKadeaTelcoRegistre_Maintenance'!D:D,"Non repertorié")</f>
        <v>26.014271000000001</v>
      </c>
      <c r="H686" t="str">
        <f>_xlfn.XLOOKUP(CKadeaTelcoLogs_Reseau[[#This Row],[Cell_ID]],'CKadeaTelcoRegistre_Maintenance'!A:A,'CKadeaTelcoRegistre_Maintenance'!E:E,"Non repertorié")</f>
        <v>5G</v>
      </c>
      <c r="I686" t="str">
        <f>_xlfn.XLOOKUP(CKadeaTelcoLogs_Reseau[[#This Row],[Cell_ID]],'CKadeaTelcoRegistre_Maintenance'!A:A,'CKadeaTelcoRegistre_Maintenance'!F:F,"Non repertorié")</f>
        <v>Huawei</v>
      </c>
    </row>
    <row r="687" spans="1:9" ht="20.5" customHeight="1" x14ac:dyDescent="0.35">
      <c r="A687" s="1">
        <v>45212.754861111112</v>
      </c>
      <c r="B687" s="5" t="s">
        <v>118</v>
      </c>
      <c r="C687">
        <v>112</v>
      </c>
      <c r="D687" t="s">
        <v>10</v>
      </c>
      <c r="E687" t="str">
        <f>_xlfn.XLOOKUP(CKadeaTelcoLogs_Reseau[[#This Row],[Cell_ID]],'CKadeaTelcoRegistre_Maintenance'!A:A,'CKadeaTelcoRegistre_Maintenance'!B:B,"Non repertorié")</f>
        <v>Kwilu</v>
      </c>
      <c r="F687">
        <f>_xlfn.XLOOKUP(CKadeaTelcoLogs_Reseau[[#This Row],[Cell_ID]],'CKadeaTelcoRegistre_Maintenance'!A:A,'CKadeaTelcoRegistre_Maintenance'!C:C,"Non repertorié")</f>
        <v>2.4741019999999998</v>
      </c>
      <c r="G687">
        <f>_xlfn.XLOOKUP(CKadeaTelcoLogs_Reseau[[#This Row],[Cell_ID]],'CKadeaTelcoRegistre_Maintenance'!A:A,'CKadeaTelcoRegistre_Maintenance'!D:D,"Non repertorié")</f>
        <v>29.297391000000001</v>
      </c>
      <c r="H687" t="str">
        <f>_xlfn.XLOOKUP(CKadeaTelcoLogs_Reseau[[#This Row],[Cell_ID]],'CKadeaTelcoRegistre_Maintenance'!A:A,'CKadeaTelcoRegistre_Maintenance'!E:E,"Non repertorié")</f>
        <v>4G</v>
      </c>
      <c r="I687" t="str">
        <f>_xlfn.XLOOKUP(CKadeaTelcoLogs_Reseau[[#This Row],[Cell_ID]],'CKadeaTelcoRegistre_Maintenance'!A:A,'CKadeaTelcoRegistre_Maintenance'!F:F,"Non repertorié")</f>
        <v>Ericsson</v>
      </c>
    </row>
    <row r="688" spans="1:9" ht="20.5" customHeight="1" x14ac:dyDescent="0.35">
      <c r="A688" s="1">
        <v>45211.495833333334</v>
      </c>
      <c r="B688" s="5" t="s">
        <v>119</v>
      </c>
      <c r="C688">
        <v>61</v>
      </c>
      <c r="D688" t="s">
        <v>8</v>
      </c>
      <c r="E688" t="str">
        <f>_xlfn.XLOOKUP(CKadeaTelcoLogs_Reseau[[#This Row],[Cell_ID]],'CKadeaTelcoRegistre_Maintenance'!A:A,'CKadeaTelcoRegistre_Maintenance'!B:B,"Non repertorié")</f>
        <v>Non repertorié</v>
      </c>
      <c r="F688" t="str">
        <f>_xlfn.XLOOKUP(CKadeaTelcoLogs_Reseau[[#This Row],[Cell_ID]],'CKadeaTelcoRegistre_Maintenance'!A:A,'CKadeaTelcoRegistre_Maintenance'!C:C,"Non repertorié")</f>
        <v>Non repertorié</v>
      </c>
      <c r="G688" t="str">
        <f>_xlfn.XLOOKUP(CKadeaTelcoLogs_Reseau[[#This Row],[Cell_ID]],'CKadeaTelcoRegistre_Maintenance'!A:A,'CKadeaTelcoRegistre_Maintenance'!D:D,"Non repertorié")</f>
        <v>Non repertorié</v>
      </c>
      <c r="H688" t="str">
        <f>_xlfn.XLOOKUP(CKadeaTelcoLogs_Reseau[[#This Row],[Cell_ID]],'CKadeaTelcoRegistre_Maintenance'!A:A,'CKadeaTelcoRegistre_Maintenance'!E:E,"Non repertorié")</f>
        <v>Non repertorié</v>
      </c>
      <c r="I688" t="str">
        <f>_xlfn.XLOOKUP(CKadeaTelcoLogs_Reseau[[#This Row],[Cell_ID]],'CKadeaTelcoRegistre_Maintenance'!A:A,'CKadeaTelcoRegistre_Maintenance'!F:F,"Non repertorié")</f>
        <v>Non repertorié</v>
      </c>
    </row>
    <row r="689" spans="1:9" ht="20.5" customHeight="1" x14ac:dyDescent="0.35">
      <c r="A689" s="1">
        <v>45214.799305555556</v>
      </c>
      <c r="B689" s="5" t="s">
        <v>497</v>
      </c>
      <c r="C689">
        <v>67</v>
      </c>
      <c r="D689" t="s">
        <v>5</v>
      </c>
      <c r="E689" t="str">
        <f>_xlfn.XLOOKUP(CKadeaTelcoLogs_Reseau[[#This Row],[Cell_ID]],'CKadeaTelcoRegistre_Maintenance'!A:A,'CKadeaTelcoRegistre_Maintenance'!B:B,"Non repertorié")</f>
        <v>Non repertorié</v>
      </c>
      <c r="F689" t="str">
        <f>_xlfn.XLOOKUP(CKadeaTelcoLogs_Reseau[[#This Row],[Cell_ID]],'CKadeaTelcoRegistre_Maintenance'!A:A,'CKadeaTelcoRegistre_Maintenance'!C:C,"Non repertorié")</f>
        <v>Non repertorié</v>
      </c>
      <c r="G689" t="str">
        <f>_xlfn.XLOOKUP(CKadeaTelcoLogs_Reseau[[#This Row],[Cell_ID]],'CKadeaTelcoRegistre_Maintenance'!A:A,'CKadeaTelcoRegistre_Maintenance'!D:D,"Non repertorié")</f>
        <v>Non repertorié</v>
      </c>
      <c r="H689" t="str">
        <f>_xlfn.XLOOKUP(CKadeaTelcoLogs_Reseau[[#This Row],[Cell_ID]],'CKadeaTelcoRegistre_Maintenance'!A:A,'CKadeaTelcoRegistre_Maintenance'!E:E,"Non repertorié")</f>
        <v>Non repertorié</v>
      </c>
      <c r="I689" t="str">
        <f>_xlfn.XLOOKUP(CKadeaTelcoLogs_Reseau[[#This Row],[Cell_ID]],'CKadeaTelcoRegistre_Maintenance'!A:A,'CKadeaTelcoRegistre_Maintenance'!F:F,"Non repertorié")</f>
        <v>Non repertorié</v>
      </c>
    </row>
    <row r="690" spans="1:9" ht="20.5" customHeight="1" x14ac:dyDescent="0.35">
      <c r="A690" s="1">
        <v>45226.90625</v>
      </c>
      <c r="B690" s="5" t="s">
        <v>314</v>
      </c>
      <c r="C690">
        <v>26</v>
      </c>
      <c r="D690" t="s">
        <v>8</v>
      </c>
      <c r="E690" t="str">
        <f>_xlfn.XLOOKUP(CKadeaTelcoLogs_Reseau[[#This Row],[Cell_ID]],'CKadeaTelcoRegistre_Maintenance'!A:A,'CKadeaTelcoRegistre_Maintenance'!B:B,"Non repertorié")</f>
        <v>Non repertorié</v>
      </c>
      <c r="F690" t="str">
        <f>_xlfn.XLOOKUP(CKadeaTelcoLogs_Reseau[[#This Row],[Cell_ID]],'CKadeaTelcoRegistre_Maintenance'!A:A,'CKadeaTelcoRegistre_Maintenance'!C:C,"Non repertorié")</f>
        <v>Non repertorié</v>
      </c>
      <c r="G690" t="str">
        <f>_xlfn.XLOOKUP(CKadeaTelcoLogs_Reseau[[#This Row],[Cell_ID]],'CKadeaTelcoRegistre_Maintenance'!A:A,'CKadeaTelcoRegistre_Maintenance'!D:D,"Non repertorié")</f>
        <v>Non repertorié</v>
      </c>
      <c r="H690" t="str">
        <f>_xlfn.XLOOKUP(CKadeaTelcoLogs_Reseau[[#This Row],[Cell_ID]],'CKadeaTelcoRegistre_Maintenance'!A:A,'CKadeaTelcoRegistre_Maintenance'!E:E,"Non repertorié")</f>
        <v>Non repertorié</v>
      </c>
      <c r="I690" t="str">
        <f>_xlfn.XLOOKUP(CKadeaTelcoLogs_Reseau[[#This Row],[Cell_ID]],'CKadeaTelcoRegistre_Maintenance'!A:A,'CKadeaTelcoRegistre_Maintenance'!F:F,"Non repertorié")</f>
        <v>Non repertorié</v>
      </c>
    </row>
    <row r="691" spans="1:9" ht="20.5" customHeight="1" x14ac:dyDescent="0.35">
      <c r="A691" s="1">
        <v>45225.415277777778</v>
      </c>
      <c r="B691" s="5" t="s">
        <v>498</v>
      </c>
      <c r="C691">
        <v>15</v>
      </c>
      <c r="D691" t="s">
        <v>5</v>
      </c>
      <c r="E691" t="str">
        <f>_xlfn.XLOOKUP(CKadeaTelcoLogs_Reseau[[#This Row],[Cell_ID]],'CKadeaTelcoRegistre_Maintenance'!A:A,'CKadeaTelcoRegistre_Maintenance'!B:B,"Non repertorié")</f>
        <v>Non repertorié</v>
      </c>
      <c r="F691" t="str">
        <f>_xlfn.XLOOKUP(CKadeaTelcoLogs_Reseau[[#This Row],[Cell_ID]],'CKadeaTelcoRegistre_Maintenance'!A:A,'CKadeaTelcoRegistre_Maintenance'!C:C,"Non repertorié")</f>
        <v>Non repertorié</v>
      </c>
      <c r="G691" t="str">
        <f>_xlfn.XLOOKUP(CKadeaTelcoLogs_Reseau[[#This Row],[Cell_ID]],'CKadeaTelcoRegistre_Maintenance'!A:A,'CKadeaTelcoRegistre_Maintenance'!D:D,"Non repertorié")</f>
        <v>Non repertorié</v>
      </c>
      <c r="H691" t="str">
        <f>_xlfn.XLOOKUP(CKadeaTelcoLogs_Reseau[[#This Row],[Cell_ID]],'CKadeaTelcoRegistre_Maintenance'!A:A,'CKadeaTelcoRegistre_Maintenance'!E:E,"Non repertorié")</f>
        <v>Non repertorié</v>
      </c>
      <c r="I691" t="str">
        <f>_xlfn.XLOOKUP(CKadeaTelcoLogs_Reseau[[#This Row],[Cell_ID]],'CKadeaTelcoRegistre_Maintenance'!A:A,'CKadeaTelcoRegistre_Maintenance'!F:F,"Non repertorié")</f>
        <v>Non repertorié</v>
      </c>
    </row>
    <row r="692" spans="1:9" ht="20.5" customHeight="1" x14ac:dyDescent="0.35">
      <c r="A692" s="1">
        <v>45219.753472222219</v>
      </c>
      <c r="B692" s="5" t="s">
        <v>116</v>
      </c>
      <c r="C692">
        <v>77</v>
      </c>
      <c r="D692" t="s">
        <v>5</v>
      </c>
      <c r="E692" t="str">
        <f>_xlfn.XLOOKUP(CKadeaTelcoLogs_Reseau[[#This Row],[Cell_ID]],'CKadeaTelcoRegistre_Maintenance'!A:A,'CKadeaTelcoRegistre_Maintenance'!B:B,"Non repertorié")</f>
        <v>Non repertorié</v>
      </c>
      <c r="F692" t="str">
        <f>_xlfn.XLOOKUP(CKadeaTelcoLogs_Reseau[[#This Row],[Cell_ID]],'CKadeaTelcoRegistre_Maintenance'!A:A,'CKadeaTelcoRegistre_Maintenance'!C:C,"Non repertorié")</f>
        <v>Non repertorié</v>
      </c>
      <c r="G692" t="str">
        <f>_xlfn.XLOOKUP(CKadeaTelcoLogs_Reseau[[#This Row],[Cell_ID]],'CKadeaTelcoRegistre_Maintenance'!A:A,'CKadeaTelcoRegistre_Maintenance'!D:D,"Non repertorié")</f>
        <v>Non repertorié</v>
      </c>
      <c r="H692" t="str">
        <f>_xlfn.XLOOKUP(CKadeaTelcoLogs_Reseau[[#This Row],[Cell_ID]],'CKadeaTelcoRegistre_Maintenance'!A:A,'CKadeaTelcoRegistre_Maintenance'!E:E,"Non repertorié")</f>
        <v>Non repertorié</v>
      </c>
      <c r="I692" t="str">
        <f>_xlfn.XLOOKUP(CKadeaTelcoLogs_Reseau[[#This Row],[Cell_ID]],'CKadeaTelcoRegistre_Maintenance'!A:A,'CKadeaTelcoRegistre_Maintenance'!F:F,"Non repertorié")</f>
        <v>Non repertorié</v>
      </c>
    </row>
    <row r="693" spans="1:9" ht="20.5" customHeight="1" x14ac:dyDescent="0.35">
      <c r="A693" s="1">
        <v>45221.180555555555</v>
      </c>
      <c r="B693" s="5" t="s">
        <v>13</v>
      </c>
      <c r="C693">
        <v>8</v>
      </c>
      <c r="D693" t="s">
        <v>5</v>
      </c>
      <c r="E693" t="str">
        <f>_xlfn.XLOOKUP(CKadeaTelcoLogs_Reseau[[#This Row],[Cell_ID]],'CKadeaTelcoRegistre_Maintenance'!A:A,'CKadeaTelcoRegistre_Maintenance'!B:B,"Non repertorié")</f>
        <v>Kasai-Central</v>
      </c>
      <c r="F693">
        <f>_xlfn.XLOOKUP(CKadeaTelcoLogs_Reseau[[#This Row],[Cell_ID]],'CKadeaTelcoRegistre_Maintenance'!A:A,'CKadeaTelcoRegistre_Maintenance'!C:C,"Non repertorié")</f>
        <v>-1.648264</v>
      </c>
      <c r="G693">
        <f>_xlfn.XLOOKUP(CKadeaTelcoLogs_Reseau[[#This Row],[Cell_ID]],'CKadeaTelcoRegistre_Maintenance'!A:A,'CKadeaTelcoRegistre_Maintenance'!D:D,"Non repertorié")</f>
        <v>28.866143999999998</v>
      </c>
      <c r="H693" t="str">
        <f>_xlfn.XLOOKUP(CKadeaTelcoLogs_Reseau[[#This Row],[Cell_ID]],'CKadeaTelcoRegistre_Maintenance'!A:A,'CKadeaTelcoRegistre_Maintenance'!E:E,"Non repertorié")</f>
        <v>5G</v>
      </c>
      <c r="I693" t="str">
        <f>_xlfn.XLOOKUP(CKadeaTelcoLogs_Reseau[[#This Row],[Cell_ID]],'CKadeaTelcoRegistre_Maintenance'!A:A,'CKadeaTelcoRegistre_Maintenance'!F:F,"Non repertorié")</f>
        <v>Ericsson</v>
      </c>
    </row>
    <row r="694" spans="1:9" ht="20.5" customHeight="1" x14ac:dyDescent="0.35">
      <c r="A694" s="1">
        <v>45203.304861111108</v>
      </c>
      <c r="B694" s="5" t="s">
        <v>404</v>
      </c>
      <c r="C694">
        <v>106</v>
      </c>
      <c r="D694" t="s">
        <v>8</v>
      </c>
      <c r="E694" t="str">
        <f>_xlfn.XLOOKUP(CKadeaTelcoLogs_Reseau[[#This Row],[Cell_ID]],'CKadeaTelcoRegistre_Maintenance'!A:A,'CKadeaTelcoRegistre_Maintenance'!B:B,"Non repertorié")</f>
        <v>Tanganyika</v>
      </c>
      <c r="F694">
        <f>_xlfn.XLOOKUP(CKadeaTelcoLogs_Reseau[[#This Row],[Cell_ID]],'CKadeaTelcoRegistre_Maintenance'!A:A,'CKadeaTelcoRegistre_Maintenance'!C:C,"Non repertorié")</f>
        <v>-11.793894</v>
      </c>
      <c r="G694">
        <f>_xlfn.XLOOKUP(CKadeaTelcoLogs_Reseau[[#This Row],[Cell_ID]],'CKadeaTelcoRegistre_Maintenance'!A:A,'CKadeaTelcoRegistre_Maintenance'!D:D,"Non repertorié")</f>
        <v>20.433340999999999</v>
      </c>
      <c r="H694" t="str">
        <f>_xlfn.XLOOKUP(CKadeaTelcoLogs_Reseau[[#This Row],[Cell_ID]],'CKadeaTelcoRegistre_Maintenance'!A:A,'CKadeaTelcoRegistre_Maintenance'!E:E,"Non repertorié")</f>
        <v>5G</v>
      </c>
      <c r="I694" t="str">
        <f>_xlfn.XLOOKUP(CKadeaTelcoLogs_Reseau[[#This Row],[Cell_ID]],'CKadeaTelcoRegistre_Maintenance'!A:A,'CKadeaTelcoRegistre_Maintenance'!F:F,"Non repertorié")</f>
        <v>Nokia</v>
      </c>
    </row>
    <row r="695" spans="1:9" ht="20.5" customHeight="1" x14ac:dyDescent="0.35">
      <c r="A695" s="1">
        <v>45203.224305555559</v>
      </c>
      <c r="B695" s="5" t="s">
        <v>114</v>
      </c>
      <c r="C695">
        <v>102</v>
      </c>
      <c r="D695" t="s">
        <v>10</v>
      </c>
      <c r="E695" t="str">
        <f>_xlfn.XLOOKUP(CKadeaTelcoLogs_Reseau[[#This Row],[Cell_ID]],'CKadeaTelcoRegistre_Maintenance'!A:A,'CKadeaTelcoRegistre_Maintenance'!B:B,"Non repertorié")</f>
        <v>Sud-Kivu</v>
      </c>
      <c r="F695">
        <f>_xlfn.XLOOKUP(CKadeaTelcoLogs_Reseau[[#This Row],[Cell_ID]],'CKadeaTelcoRegistre_Maintenance'!A:A,'CKadeaTelcoRegistre_Maintenance'!C:C,"Non repertorié")</f>
        <v>-9.4702129999999993</v>
      </c>
      <c r="G695">
        <f>_xlfn.XLOOKUP(CKadeaTelcoLogs_Reseau[[#This Row],[Cell_ID]],'CKadeaTelcoRegistre_Maintenance'!A:A,'CKadeaTelcoRegistre_Maintenance'!D:D,"Non repertorié")</f>
        <v>12.826158</v>
      </c>
      <c r="H695" t="str">
        <f>_xlfn.XLOOKUP(CKadeaTelcoLogs_Reseau[[#This Row],[Cell_ID]],'CKadeaTelcoRegistre_Maintenance'!A:A,'CKadeaTelcoRegistre_Maintenance'!E:E,"Non repertorié")</f>
        <v>3G</v>
      </c>
      <c r="I695" t="str">
        <f>_xlfn.XLOOKUP(CKadeaTelcoLogs_Reseau[[#This Row],[Cell_ID]],'CKadeaTelcoRegistre_Maintenance'!A:A,'CKadeaTelcoRegistre_Maintenance'!F:F,"Non repertorié")</f>
        <v>Ericsson</v>
      </c>
    </row>
    <row r="696" spans="1:9" ht="20.5" customHeight="1" x14ac:dyDescent="0.35">
      <c r="A696" s="1">
        <v>45222.188888888886</v>
      </c>
      <c r="B696" s="5" t="s">
        <v>306</v>
      </c>
      <c r="C696">
        <v>33</v>
      </c>
      <c r="D696" t="s">
        <v>5</v>
      </c>
      <c r="E696" t="str">
        <f>_xlfn.XLOOKUP(CKadeaTelcoLogs_Reseau[[#This Row],[Cell_ID]],'CKadeaTelcoRegistre_Maintenance'!A:A,'CKadeaTelcoRegistre_Maintenance'!B:B,"Non repertorié")</f>
        <v>Mongala</v>
      </c>
      <c r="F696">
        <f>_xlfn.XLOOKUP(CKadeaTelcoLogs_Reseau[[#This Row],[Cell_ID]],'CKadeaTelcoRegistre_Maintenance'!A:A,'CKadeaTelcoRegistre_Maintenance'!C:C,"Non repertorié")</f>
        <v>-5.3762689999999997</v>
      </c>
      <c r="G696">
        <f>_xlfn.XLOOKUP(CKadeaTelcoLogs_Reseau[[#This Row],[Cell_ID]],'CKadeaTelcoRegistre_Maintenance'!A:A,'CKadeaTelcoRegistre_Maintenance'!D:D,"Non repertorié")</f>
        <v>28.189575999999999</v>
      </c>
      <c r="H696" t="str">
        <f>_xlfn.XLOOKUP(CKadeaTelcoLogs_Reseau[[#This Row],[Cell_ID]],'CKadeaTelcoRegistre_Maintenance'!A:A,'CKadeaTelcoRegistre_Maintenance'!E:E,"Non repertorié")</f>
        <v>5G</v>
      </c>
      <c r="I696" t="str">
        <f>_xlfn.XLOOKUP(CKadeaTelcoLogs_Reseau[[#This Row],[Cell_ID]],'CKadeaTelcoRegistre_Maintenance'!A:A,'CKadeaTelcoRegistre_Maintenance'!F:F,"Non repertorié")</f>
        <v>Huawei</v>
      </c>
    </row>
    <row r="697" spans="1:9" ht="20.5" customHeight="1" x14ac:dyDescent="0.35">
      <c r="A697" s="1">
        <v>45212.568055555559</v>
      </c>
      <c r="B697" s="5" t="s">
        <v>499</v>
      </c>
      <c r="C697">
        <v>42</v>
      </c>
      <c r="D697" t="s">
        <v>8</v>
      </c>
      <c r="E697" t="str">
        <f>_xlfn.XLOOKUP(CKadeaTelcoLogs_Reseau[[#This Row],[Cell_ID]],'CKadeaTelcoRegistre_Maintenance'!A:A,'CKadeaTelcoRegistre_Maintenance'!B:B,"Non repertorié")</f>
        <v>Kasai-Central</v>
      </c>
      <c r="F697">
        <f>_xlfn.XLOOKUP(CKadeaTelcoLogs_Reseau[[#This Row],[Cell_ID]],'CKadeaTelcoRegistre_Maintenance'!A:A,'CKadeaTelcoRegistre_Maintenance'!C:C,"Non repertorié")</f>
        <v>-7.3379339999999997</v>
      </c>
      <c r="G697">
        <f>_xlfn.XLOOKUP(CKadeaTelcoLogs_Reseau[[#This Row],[Cell_ID]],'CKadeaTelcoRegistre_Maintenance'!A:A,'CKadeaTelcoRegistre_Maintenance'!D:D,"Non repertorié")</f>
        <v>28.404001999999998</v>
      </c>
      <c r="H697" t="str">
        <f>_xlfn.XLOOKUP(CKadeaTelcoLogs_Reseau[[#This Row],[Cell_ID]],'CKadeaTelcoRegistre_Maintenance'!A:A,'CKadeaTelcoRegistre_Maintenance'!E:E,"Non repertorié")</f>
        <v>3G</v>
      </c>
      <c r="I697" t="str">
        <f>_xlfn.XLOOKUP(CKadeaTelcoLogs_Reseau[[#This Row],[Cell_ID]],'CKadeaTelcoRegistre_Maintenance'!A:A,'CKadeaTelcoRegistre_Maintenance'!F:F,"Non repertorié")</f>
        <v>Nokia</v>
      </c>
    </row>
    <row r="698" spans="1:9" ht="20.5" customHeight="1" x14ac:dyDescent="0.35">
      <c r="A698" s="1">
        <v>45204.76666666667</v>
      </c>
      <c r="B698" s="5" t="s">
        <v>500</v>
      </c>
      <c r="C698">
        <v>9</v>
      </c>
      <c r="D698" t="s">
        <v>10</v>
      </c>
      <c r="E698" t="str">
        <f>_xlfn.XLOOKUP(CKadeaTelcoLogs_Reseau[[#This Row],[Cell_ID]],'CKadeaTelcoRegistre_Maintenance'!A:A,'CKadeaTelcoRegistre_Maintenance'!B:B,"Non repertorié")</f>
        <v>Kasai-Central</v>
      </c>
      <c r="F698">
        <f>_xlfn.XLOOKUP(CKadeaTelcoLogs_Reseau[[#This Row],[Cell_ID]],'CKadeaTelcoRegistre_Maintenance'!A:A,'CKadeaTelcoRegistre_Maintenance'!C:C,"Non repertorié")</f>
        <v>-12.560556999999999</v>
      </c>
      <c r="G698">
        <f>_xlfn.XLOOKUP(CKadeaTelcoLogs_Reseau[[#This Row],[Cell_ID]],'CKadeaTelcoRegistre_Maintenance'!A:A,'CKadeaTelcoRegistre_Maintenance'!D:D,"Non repertorié")</f>
        <v>13.204014000000001</v>
      </c>
      <c r="H698" t="str">
        <f>_xlfn.XLOOKUP(CKadeaTelcoLogs_Reseau[[#This Row],[Cell_ID]],'CKadeaTelcoRegistre_Maintenance'!A:A,'CKadeaTelcoRegistre_Maintenance'!E:E,"Non repertorié")</f>
        <v>4G</v>
      </c>
      <c r="I698" t="str">
        <f>_xlfn.XLOOKUP(CKadeaTelcoLogs_Reseau[[#This Row],[Cell_ID]],'CKadeaTelcoRegistre_Maintenance'!A:A,'CKadeaTelcoRegistre_Maintenance'!F:F,"Non repertorié")</f>
        <v>Ericsson</v>
      </c>
    </row>
    <row r="699" spans="1:9" ht="20.5" customHeight="1" x14ac:dyDescent="0.35">
      <c r="A699" s="1">
        <v>45202.868055555555</v>
      </c>
      <c r="B699" s="5" t="s">
        <v>208</v>
      </c>
      <c r="C699">
        <v>91</v>
      </c>
      <c r="D699" t="s">
        <v>8</v>
      </c>
      <c r="E699" t="str">
        <f>_xlfn.XLOOKUP(CKadeaTelcoLogs_Reseau[[#This Row],[Cell_ID]],'CKadeaTelcoRegistre_Maintenance'!A:A,'CKadeaTelcoRegistre_Maintenance'!B:B,"Non repertorié")</f>
        <v>Non repertorié</v>
      </c>
      <c r="F699" t="str">
        <f>_xlfn.XLOOKUP(CKadeaTelcoLogs_Reseau[[#This Row],[Cell_ID]],'CKadeaTelcoRegistre_Maintenance'!A:A,'CKadeaTelcoRegistre_Maintenance'!C:C,"Non repertorié")</f>
        <v>Non repertorié</v>
      </c>
      <c r="G699" t="str">
        <f>_xlfn.XLOOKUP(CKadeaTelcoLogs_Reseau[[#This Row],[Cell_ID]],'CKadeaTelcoRegistre_Maintenance'!A:A,'CKadeaTelcoRegistre_Maintenance'!D:D,"Non repertorié")</f>
        <v>Non repertorié</v>
      </c>
      <c r="H699" t="str">
        <f>_xlfn.XLOOKUP(CKadeaTelcoLogs_Reseau[[#This Row],[Cell_ID]],'CKadeaTelcoRegistre_Maintenance'!A:A,'CKadeaTelcoRegistre_Maintenance'!E:E,"Non repertorié")</f>
        <v>Non repertorié</v>
      </c>
      <c r="I699" t="str">
        <f>_xlfn.XLOOKUP(CKadeaTelcoLogs_Reseau[[#This Row],[Cell_ID]],'CKadeaTelcoRegistre_Maintenance'!A:A,'CKadeaTelcoRegistre_Maintenance'!F:F,"Non repertorié")</f>
        <v>Non repertorié</v>
      </c>
    </row>
    <row r="700" spans="1:9" ht="20.5" customHeight="1" x14ac:dyDescent="0.35">
      <c r="A700" s="1">
        <v>45228.100694444445</v>
      </c>
      <c r="B700" s="5" t="s">
        <v>253</v>
      </c>
      <c r="C700">
        <v>23</v>
      </c>
      <c r="D700" t="s">
        <v>10</v>
      </c>
      <c r="E700" t="str">
        <f>_xlfn.XLOOKUP(CKadeaTelcoLogs_Reseau[[#This Row],[Cell_ID]],'CKadeaTelcoRegistre_Maintenance'!A:A,'CKadeaTelcoRegistre_Maintenance'!B:B,"Non repertorié")</f>
        <v>Non repertorié</v>
      </c>
      <c r="F700" t="str">
        <f>_xlfn.XLOOKUP(CKadeaTelcoLogs_Reseau[[#This Row],[Cell_ID]],'CKadeaTelcoRegistre_Maintenance'!A:A,'CKadeaTelcoRegistre_Maintenance'!C:C,"Non repertorié")</f>
        <v>Non repertorié</v>
      </c>
      <c r="G700" t="str">
        <f>_xlfn.XLOOKUP(CKadeaTelcoLogs_Reseau[[#This Row],[Cell_ID]],'CKadeaTelcoRegistre_Maintenance'!A:A,'CKadeaTelcoRegistre_Maintenance'!D:D,"Non repertorié")</f>
        <v>Non repertorié</v>
      </c>
      <c r="H700" t="str">
        <f>_xlfn.XLOOKUP(CKadeaTelcoLogs_Reseau[[#This Row],[Cell_ID]],'CKadeaTelcoRegistre_Maintenance'!A:A,'CKadeaTelcoRegistre_Maintenance'!E:E,"Non repertorié")</f>
        <v>Non repertorié</v>
      </c>
      <c r="I700" t="str">
        <f>_xlfn.XLOOKUP(CKadeaTelcoLogs_Reseau[[#This Row],[Cell_ID]],'CKadeaTelcoRegistre_Maintenance'!A:A,'CKadeaTelcoRegistre_Maintenance'!F:F,"Non repertorié")</f>
        <v>Non repertorié</v>
      </c>
    </row>
    <row r="701" spans="1:9" ht="20.5" customHeight="1" x14ac:dyDescent="0.35">
      <c r="A701" s="1">
        <v>45216.970138888886</v>
      </c>
      <c r="B701" s="5" t="s">
        <v>322</v>
      </c>
      <c r="C701">
        <v>13</v>
      </c>
      <c r="D701" t="s">
        <v>10</v>
      </c>
      <c r="E701" t="str">
        <f>_xlfn.XLOOKUP(CKadeaTelcoLogs_Reseau[[#This Row],[Cell_ID]],'CKadeaTelcoRegistre_Maintenance'!A:A,'CKadeaTelcoRegistre_Maintenance'!B:B,"Non repertorié")</f>
        <v>Bas-Uele</v>
      </c>
      <c r="F701">
        <f>_xlfn.XLOOKUP(CKadeaTelcoLogs_Reseau[[#This Row],[Cell_ID]],'CKadeaTelcoRegistre_Maintenance'!A:A,'CKadeaTelcoRegistre_Maintenance'!C:C,"Non repertorié")</f>
        <v>-6.4197189999999997</v>
      </c>
      <c r="G701">
        <f>_xlfn.XLOOKUP(CKadeaTelcoLogs_Reseau[[#This Row],[Cell_ID]],'CKadeaTelcoRegistre_Maintenance'!A:A,'CKadeaTelcoRegistre_Maintenance'!D:D,"Non repertorié")</f>
        <v>22.287264</v>
      </c>
      <c r="H701" t="str">
        <f>_xlfn.XLOOKUP(CKadeaTelcoLogs_Reseau[[#This Row],[Cell_ID]],'CKadeaTelcoRegistre_Maintenance'!A:A,'CKadeaTelcoRegistre_Maintenance'!E:E,"Non repertorié")</f>
        <v>3G</v>
      </c>
      <c r="I701" t="str">
        <f>_xlfn.XLOOKUP(CKadeaTelcoLogs_Reseau[[#This Row],[Cell_ID]],'CKadeaTelcoRegistre_Maintenance'!A:A,'CKadeaTelcoRegistre_Maintenance'!F:F,"Non repertorié")</f>
        <v>Ericsson</v>
      </c>
    </row>
    <row r="702" spans="1:9" ht="20.5" customHeight="1" x14ac:dyDescent="0.35">
      <c r="A702" s="1">
        <v>45222.478472222225</v>
      </c>
      <c r="B702" s="5" t="s">
        <v>32</v>
      </c>
      <c r="C702">
        <v>72</v>
      </c>
      <c r="D702" t="s">
        <v>8</v>
      </c>
      <c r="E702" t="str">
        <f>_xlfn.XLOOKUP(CKadeaTelcoLogs_Reseau[[#This Row],[Cell_ID]],'CKadeaTelcoRegistre_Maintenance'!A:A,'CKadeaTelcoRegistre_Maintenance'!B:B,"Non repertorié")</f>
        <v>Non repertorié</v>
      </c>
      <c r="F702" t="str">
        <f>_xlfn.XLOOKUP(CKadeaTelcoLogs_Reseau[[#This Row],[Cell_ID]],'CKadeaTelcoRegistre_Maintenance'!A:A,'CKadeaTelcoRegistre_Maintenance'!C:C,"Non repertorié")</f>
        <v>Non repertorié</v>
      </c>
      <c r="G702" t="str">
        <f>_xlfn.XLOOKUP(CKadeaTelcoLogs_Reseau[[#This Row],[Cell_ID]],'CKadeaTelcoRegistre_Maintenance'!A:A,'CKadeaTelcoRegistre_Maintenance'!D:D,"Non repertorié")</f>
        <v>Non repertorié</v>
      </c>
      <c r="H702" t="str">
        <f>_xlfn.XLOOKUP(CKadeaTelcoLogs_Reseau[[#This Row],[Cell_ID]],'CKadeaTelcoRegistre_Maintenance'!A:A,'CKadeaTelcoRegistre_Maintenance'!E:E,"Non repertorié")</f>
        <v>Non repertorié</v>
      </c>
      <c r="I702" t="str">
        <f>_xlfn.XLOOKUP(CKadeaTelcoLogs_Reseau[[#This Row],[Cell_ID]],'CKadeaTelcoRegistre_Maintenance'!A:A,'CKadeaTelcoRegistre_Maintenance'!F:F,"Non repertorié")</f>
        <v>Non repertorié</v>
      </c>
    </row>
    <row r="703" spans="1:9" ht="20.5" customHeight="1" x14ac:dyDescent="0.35">
      <c r="A703" s="1">
        <v>45230.638888888891</v>
      </c>
      <c r="B703" s="5" t="s">
        <v>501</v>
      </c>
      <c r="C703">
        <v>77</v>
      </c>
      <c r="D703" t="s">
        <v>8</v>
      </c>
      <c r="E703" t="str">
        <f>_xlfn.XLOOKUP(CKadeaTelcoLogs_Reseau[[#This Row],[Cell_ID]],'CKadeaTelcoRegistre_Maintenance'!A:A,'CKadeaTelcoRegistre_Maintenance'!B:B,"Non repertorié")</f>
        <v>Kinshasa</v>
      </c>
      <c r="F703">
        <f>_xlfn.XLOOKUP(CKadeaTelcoLogs_Reseau[[#This Row],[Cell_ID]],'CKadeaTelcoRegistre_Maintenance'!A:A,'CKadeaTelcoRegistre_Maintenance'!C:C,"Non repertorié")</f>
        <v>-0.57104900000000003</v>
      </c>
      <c r="G703">
        <f>_xlfn.XLOOKUP(CKadeaTelcoLogs_Reseau[[#This Row],[Cell_ID]],'CKadeaTelcoRegistre_Maintenance'!A:A,'CKadeaTelcoRegistre_Maintenance'!D:D,"Non repertorié")</f>
        <v>15.317663</v>
      </c>
      <c r="H703" t="str">
        <f>_xlfn.XLOOKUP(CKadeaTelcoLogs_Reseau[[#This Row],[Cell_ID]],'CKadeaTelcoRegistre_Maintenance'!A:A,'CKadeaTelcoRegistre_Maintenance'!E:E,"Non repertorié")</f>
        <v>5G</v>
      </c>
      <c r="I703" t="str">
        <f>_xlfn.XLOOKUP(CKadeaTelcoLogs_Reseau[[#This Row],[Cell_ID]],'CKadeaTelcoRegistre_Maintenance'!A:A,'CKadeaTelcoRegistre_Maintenance'!F:F,"Non repertorié")</f>
        <v>Nokia</v>
      </c>
    </row>
    <row r="704" spans="1:9" ht="20.5" customHeight="1" x14ac:dyDescent="0.35">
      <c r="A704" s="1">
        <v>45218.038194444445</v>
      </c>
      <c r="B704" s="5" t="s">
        <v>81</v>
      </c>
      <c r="C704">
        <v>6</v>
      </c>
      <c r="D704" t="s">
        <v>5</v>
      </c>
      <c r="E704" t="str">
        <f>_xlfn.XLOOKUP(CKadeaTelcoLogs_Reseau[[#This Row],[Cell_ID]],'CKadeaTelcoRegistre_Maintenance'!A:A,'CKadeaTelcoRegistre_Maintenance'!B:B,"Non repertorié")</f>
        <v>Kwango</v>
      </c>
      <c r="F704">
        <f>_xlfn.XLOOKUP(CKadeaTelcoLogs_Reseau[[#This Row],[Cell_ID]],'CKadeaTelcoRegistre_Maintenance'!A:A,'CKadeaTelcoRegistre_Maintenance'!C:C,"Non repertorié")</f>
        <v>-9.7712979999999998</v>
      </c>
      <c r="G704">
        <f>_xlfn.XLOOKUP(CKadeaTelcoLogs_Reseau[[#This Row],[Cell_ID]],'CKadeaTelcoRegistre_Maintenance'!A:A,'CKadeaTelcoRegistre_Maintenance'!D:D,"Non repertorié")</f>
        <v>19.827895999999999</v>
      </c>
      <c r="H704" t="str">
        <f>_xlfn.XLOOKUP(CKadeaTelcoLogs_Reseau[[#This Row],[Cell_ID]],'CKadeaTelcoRegistre_Maintenance'!A:A,'CKadeaTelcoRegistre_Maintenance'!E:E,"Non repertorié")</f>
        <v>3G</v>
      </c>
      <c r="I704" t="str">
        <f>_xlfn.XLOOKUP(CKadeaTelcoLogs_Reseau[[#This Row],[Cell_ID]],'CKadeaTelcoRegistre_Maintenance'!A:A,'CKadeaTelcoRegistre_Maintenance'!F:F,"Non repertorié")</f>
        <v>ZTE</v>
      </c>
    </row>
    <row r="705" spans="1:9" ht="20.5" customHeight="1" x14ac:dyDescent="0.35">
      <c r="A705" s="1">
        <v>45224.961805555555</v>
      </c>
      <c r="B705" s="5" t="s">
        <v>466</v>
      </c>
      <c r="C705">
        <v>83</v>
      </c>
      <c r="D705" t="s">
        <v>10</v>
      </c>
      <c r="E705" t="str">
        <f>_xlfn.XLOOKUP(CKadeaTelcoLogs_Reseau[[#This Row],[Cell_ID]],'CKadeaTelcoRegistre_Maintenance'!A:A,'CKadeaTelcoRegistre_Maintenance'!B:B,"Non repertorié")</f>
        <v>Non repertorié</v>
      </c>
      <c r="F705" t="str">
        <f>_xlfn.XLOOKUP(CKadeaTelcoLogs_Reseau[[#This Row],[Cell_ID]],'CKadeaTelcoRegistre_Maintenance'!A:A,'CKadeaTelcoRegistre_Maintenance'!C:C,"Non repertorié")</f>
        <v>Non repertorié</v>
      </c>
      <c r="G705" t="str">
        <f>_xlfn.XLOOKUP(CKadeaTelcoLogs_Reseau[[#This Row],[Cell_ID]],'CKadeaTelcoRegistre_Maintenance'!A:A,'CKadeaTelcoRegistre_Maintenance'!D:D,"Non repertorié")</f>
        <v>Non repertorié</v>
      </c>
      <c r="H705" t="str">
        <f>_xlfn.XLOOKUP(CKadeaTelcoLogs_Reseau[[#This Row],[Cell_ID]],'CKadeaTelcoRegistre_Maintenance'!A:A,'CKadeaTelcoRegistre_Maintenance'!E:E,"Non repertorié")</f>
        <v>Non repertorié</v>
      </c>
      <c r="I705" t="str">
        <f>_xlfn.XLOOKUP(CKadeaTelcoLogs_Reseau[[#This Row],[Cell_ID]],'CKadeaTelcoRegistre_Maintenance'!A:A,'CKadeaTelcoRegistre_Maintenance'!F:F,"Non repertorié")</f>
        <v>Non repertorié</v>
      </c>
    </row>
    <row r="706" spans="1:9" ht="20.5" customHeight="1" x14ac:dyDescent="0.35">
      <c r="A706" s="1">
        <v>45223.611111111109</v>
      </c>
      <c r="B706" s="5" t="s">
        <v>454</v>
      </c>
      <c r="C706">
        <v>88</v>
      </c>
      <c r="D706" t="s">
        <v>5</v>
      </c>
      <c r="E706" t="str">
        <f>_xlfn.XLOOKUP(CKadeaTelcoLogs_Reseau[[#This Row],[Cell_ID]],'CKadeaTelcoRegistre_Maintenance'!A:A,'CKadeaTelcoRegistre_Maintenance'!B:B,"Non repertorié")</f>
        <v>Lualaba</v>
      </c>
      <c r="F706">
        <f>_xlfn.XLOOKUP(CKadeaTelcoLogs_Reseau[[#This Row],[Cell_ID]],'CKadeaTelcoRegistre_Maintenance'!A:A,'CKadeaTelcoRegistre_Maintenance'!C:C,"Non repertorié")</f>
        <v>-8.0301989999999996</v>
      </c>
      <c r="G706">
        <f>_xlfn.XLOOKUP(CKadeaTelcoLogs_Reseau[[#This Row],[Cell_ID]],'CKadeaTelcoRegistre_Maintenance'!A:A,'CKadeaTelcoRegistre_Maintenance'!D:D,"Non repertorié")</f>
        <v>24.122495000000001</v>
      </c>
      <c r="H706" t="str">
        <f>_xlfn.XLOOKUP(CKadeaTelcoLogs_Reseau[[#This Row],[Cell_ID]],'CKadeaTelcoRegistre_Maintenance'!A:A,'CKadeaTelcoRegistre_Maintenance'!E:E,"Non repertorié")</f>
        <v>5G</v>
      </c>
      <c r="I706" t="str">
        <f>_xlfn.XLOOKUP(CKadeaTelcoLogs_Reseau[[#This Row],[Cell_ID]],'CKadeaTelcoRegistre_Maintenance'!A:A,'CKadeaTelcoRegistre_Maintenance'!F:F,"Non repertorié")</f>
        <v>ZTE</v>
      </c>
    </row>
    <row r="707" spans="1:9" ht="20.5" customHeight="1" x14ac:dyDescent="0.35">
      <c r="A707" s="1">
        <v>45221.931944444441</v>
      </c>
      <c r="B707" s="5" t="s">
        <v>502</v>
      </c>
      <c r="C707">
        <v>26</v>
      </c>
      <c r="D707" t="s">
        <v>5</v>
      </c>
      <c r="E707" t="str">
        <f>_xlfn.XLOOKUP(CKadeaTelcoLogs_Reseau[[#This Row],[Cell_ID]],'CKadeaTelcoRegistre_Maintenance'!A:A,'CKadeaTelcoRegistre_Maintenance'!B:B,"Non repertorié")</f>
        <v>Non repertorié</v>
      </c>
      <c r="F707" t="str">
        <f>_xlfn.XLOOKUP(CKadeaTelcoLogs_Reseau[[#This Row],[Cell_ID]],'CKadeaTelcoRegistre_Maintenance'!A:A,'CKadeaTelcoRegistre_Maintenance'!C:C,"Non repertorié")</f>
        <v>Non repertorié</v>
      </c>
      <c r="G707" t="str">
        <f>_xlfn.XLOOKUP(CKadeaTelcoLogs_Reseau[[#This Row],[Cell_ID]],'CKadeaTelcoRegistre_Maintenance'!A:A,'CKadeaTelcoRegistre_Maintenance'!D:D,"Non repertorié")</f>
        <v>Non repertorié</v>
      </c>
      <c r="H707" t="str">
        <f>_xlfn.XLOOKUP(CKadeaTelcoLogs_Reseau[[#This Row],[Cell_ID]],'CKadeaTelcoRegistre_Maintenance'!A:A,'CKadeaTelcoRegistre_Maintenance'!E:E,"Non repertorié")</f>
        <v>Non repertorié</v>
      </c>
      <c r="I707" t="str">
        <f>_xlfn.XLOOKUP(CKadeaTelcoLogs_Reseau[[#This Row],[Cell_ID]],'CKadeaTelcoRegistre_Maintenance'!A:A,'CKadeaTelcoRegistre_Maintenance'!F:F,"Non repertorié")</f>
        <v>Non repertorié</v>
      </c>
    </row>
    <row r="708" spans="1:9" ht="20.5" customHeight="1" x14ac:dyDescent="0.35">
      <c r="A708" s="1">
        <v>45227.118055555555</v>
      </c>
      <c r="B708" s="5" t="s">
        <v>503</v>
      </c>
      <c r="C708">
        <v>61</v>
      </c>
      <c r="D708" t="s">
        <v>8</v>
      </c>
      <c r="E708" t="str">
        <f>_xlfn.XLOOKUP(CKadeaTelcoLogs_Reseau[[#This Row],[Cell_ID]],'CKadeaTelcoRegistre_Maintenance'!A:A,'CKadeaTelcoRegistre_Maintenance'!B:B,"Non repertorié")</f>
        <v>Non repertorié</v>
      </c>
      <c r="F708" t="str">
        <f>_xlfn.XLOOKUP(CKadeaTelcoLogs_Reseau[[#This Row],[Cell_ID]],'CKadeaTelcoRegistre_Maintenance'!A:A,'CKadeaTelcoRegistre_Maintenance'!C:C,"Non repertorié")</f>
        <v>Non repertorié</v>
      </c>
      <c r="G708" t="str">
        <f>_xlfn.XLOOKUP(CKadeaTelcoLogs_Reseau[[#This Row],[Cell_ID]],'CKadeaTelcoRegistre_Maintenance'!A:A,'CKadeaTelcoRegistre_Maintenance'!D:D,"Non repertorié")</f>
        <v>Non repertorié</v>
      </c>
      <c r="H708" t="str">
        <f>_xlfn.XLOOKUP(CKadeaTelcoLogs_Reseau[[#This Row],[Cell_ID]],'CKadeaTelcoRegistre_Maintenance'!A:A,'CKadeaTelcoRegistre_Maintenance'!E:E,"Non repertorié")</f>
        <v>Non repertorié</v>
      </c>
      <c r="I708" t="str">
        <f>_xlfn.XLOOKUP(CKadeaTelcoLogs_Reseau[[#This Row],[Cell_ID]],'CKadeaTelcoRegistre_Maintenance'!A:A,'CKadeaTelcoRegistre_Maintenance'!F:F,"Non repertorié")</f>
        <v>Non repertorié</v>
      </c>
    </row>
    <row r="709" spans="1:9" ht="20.5" customHeight="1" x14ac:dyDescent="0.35">
      <c r="A709" s="1">
        <v>45217.509027777778</v>
      </c>
      <c r="B709" s="5" t="s">
        <v>11</v>
      </c>
      <c r="C709">
        <v>49</v>
      </c>
      <c r="D709" t="s">
        <v>5</v>
      </c>
      <c r="E709" t="str">
        <f>_xlfn.XLOOKUP(CKadeaTelcoLogs_Reseau[[#This Row],[Cell_ID]],'CKadeaTelcoRegistre_Maintenance'!A:A,'CKadeaTelcoRegistre_Maintenance'!B:B,"Non repertorié")</f>
        <v>Non repertorié</v>
      </c>
      <c r="F709" t="str">
        <f>_xlfn.XLOOKUP(CKadeaTelcoLogs_Reseau[[#This Row],[Cell_ID]],'CKadeaTelcoRegistre_Maintenance'!A:A,'CKadeaTelcoRegistre_Maintenance'!C:C,"Non repertorié")</f>
        <v>Non repertorié</v>
      </c>
      <c r="G709" t="str">
        <f>_xlfn.XLOOKUP(CKadeaTelcoLogs_Reseau[[#This Row],[Cell_ID]],'CKadeaTelcoRegistre_Maintenance'!A:A,'CKadeaTelcoRegistre_Maintenance'!D:D,"Non repertorié")</f>
        <v>Non repertorié</v>
      </c>
      <c r="H709" t="str">
        <f>_xlfn.XLOOKUP(CKadeaTelcoLogs_Reseau[[#This Row],[Cell_ID]],'CKadeaTelcoRegistre_Maintenance'!A:A,'CKadeaTelcoRegistre_Maintenance'!E:E,"Non repertorié")</f>
        <v>Non repertorié</v>
      </c>
      <c r="I709" t="str">
        <f>_xlfn.XLOOKUP(CKadeaTelcoLogs_Reseau[[#This Row],[Cell_ID]],'CKadeaTelcoRegistre_Maintenance'!A:A,'CKadeaTelcoRegistre_Maintenance'!F:F,"Non repertorié")</f>
        <v>Non repertorié</v>
      </c>
    </row>
    <row r="710" spans="1:9" ht="20.5" customHeight="1" x14ac:dyDescent="0.35">
      <c r="A710" s="1">
        <v>45230.577777777777</v>
      </c>
      <c r="B710" s="5" t="s">
        <v>504</v>
      </c>
      <c r="C710">
        <v>97</v>
      </c>
      <c r="D710" t="s">
        <v>5</v>
      </c>
      <c r="E710" t="str">
        <f>_xlfn.XLOOKUP(CKadeaTelcoLogs_Reseau[[#This Row],[Cell_ID]],'CKadeaTelcoRegistre_Maintenance'!A:A,'CKadeaTelcoRegistre_Maintenance'!B:B,"Non repertorié")</f>
        <v>Non repertorié</v>
      </c>
      <c r="F710" t="str">
        <f>_xlfn.XLOOKUP(CKadeaTelcoLogs_Reseau[[#This Row],[Cell_ID]],'CKadeaTelcoRegistre_Maintenance'!A:A,'CKadeaTelcoRegistre_Maintenance'!C:C,"Non repertorié")</f>
        <v>Non repertorié</v>
      </c>
      <c r="G710" t="str">
        <f>_xlfn.XLOOKUP(CKadeaTelcoLogs_Reseau[[#This Row],[Cell_ID]],'CKadeaTelcoRegistre_Maintenance'!A:A,'CKadeaTelcoRegistre_Maintenance'!D:D,"Non repertorié")</f>
        <v>Non repertorié</v>
      </c>
      <c r="H710" t="str">
        <f>_xlfn.XLOOKUP(CKadeaTelcoLogs_Reseau[[#This Row],[Cell_ID]],'CKadeaTelcoRegistre_Maintenance'!A:A,'CKadeaTelcoRegistre_Maintenance'!E:E,"Non repertorié")</f>
        <v>Non repertorié</v>
      </c>
      <c r="I710" t="str">
        <f>_xlfn.XLOOKUP(CKadeaTelcoLogs_Reseau[[#This Row],[Cell_ID]],'CKadeaTelcoRegistre_Maintenance'!A:A,'CKadeaTelcoRegistre_Maintenance'!F:F,"Non repertorié")</f>
        <v>Non repertorié</v>
      </c>
    </row>
    <row r="711" spans="1:9" ht="20.5" customHeight="1" x14ac:dyDescent="0.35">
      <c r="A711" s="1">
        <v>45206.636805555558</v>
      </c>
      <c r="B711" s="5" t="s">
        <v>505</v>
      </c>
      <c r="C711">
        <v>32</v>
      </c>
      <c r="D711" t="s">
        <v>10</v>
      </c>
      <c r="E711" t="str">
        <f>_xlfn.XLOOKUP(CKadeaTelcoLogs_Reseau[[#This Row],[Cell_ID]],'CKadeaTelcoRegistre_Maintenance'!A:A,'CKadeaTelcoRegistre_Maintenance'!B:B,"Non repertorié")</f>
        <v>Sud-Kivu</v>
      </c>
      <c r="F711">
        <f>_xlfn.XLOOKUP(CKadeaTelcoLogs_Reseau[[#This Row],[Cell_ID]],'CKadeaTelcoRegistre_Maintenance'!A:A,'CKadeaTelcoRegistre_Maintenance'!C:C,"Non repertorié")</f>
        <v>-11.514817000000001</v>
      </c>
      <c r="G711">
        <f>_xlfn.XLOOKUP(CKadeaTelcoLogs_Reseau[[#This Row],[Cell_ID]],'CKadeaTelcoRegistre_Maintenance'!A:A,'CKadeaTelcoRegistre_Maintenance'!D:D,"Non repertorié")</f>
        <v>24.891375</v>
      </c>
      <c r="H711" t="str">
        <f>_xlfn.XLOOKUP(CKadeaTelcoLogs_Reseau[[#This Row],[Cell_ID]],'CKadeaTelcoRegistre_Maintenance'!A:A,'CKadeaTelcoRegistre_Maintenance'!E:E,"Non repertorié")</f>
        <v>3G</v>
      </c>
      <c r="I711" t="str">
        <f>_xlfn.XLOOKUP(CKadeaTelcoLogs_Reseau[[#This Row],[Cell_ID]],'CKadeaTelcoRegistre_Maintenance'!A:A,'CKadeaTelcoRegistre_Maintenance'!F:F,"Non repertorié")</f>
        <v>Nokia</v>
      </c>
    </row>
    <row r="712" spans="1:9" ht="20.5" customHeight="1" x14ac:dyDescent="0.35">
      <c r="A712" s="1">
        <v>45210.38958333333</v>
      </c>
      <c r="B712" s="5" t="s">
        <v>188</v>
      </c>
      <c r="C712">
        <v>85</v>
      </c>
      <c r="D712" t="s">
        <v>5</v>
      </c>
      <c r="E712" t="str">
        <f>_xlfn.XLOOKUP(CKadeaTelcoLogs_Reseau[[#This Row],[Cell_ID]],'CKadeaTelcoRegistre_Maintenance'!A:A,'CKadeaTelcoRegistre_Maintenance'!B:B,"Non repertorié")</f>
        <v>Maniema</v>
      </c>
      <c r="F712">
        <f>_xlfn.XLOOKUP(CKadeaTelcoLogs_Reseau[[#This Row],[Cell_ID]],'CKadeaTelcoRegistre_Maintenance'!A:A,'CKadeaTelcoRegistre_Maintenance'!C:C,"Non repertorié")</f>
        <v>-4.2645619999999997</v>
      </c>
      <c r="G712">
        <f>_xlfn.XLOOKUP(CKadeaTelcoLogs_Reseau[[#This Row],[Cell_ID]],'CKadeaTelcoRegistre_Maintenance'!A:A,'CKadeaTelcoRegistre_Maintenance'!D:D,"Non repertorié")</f>
        <v>18.960726000000001</v>
      </c>
      <c r="H712" t="str">
        <f>_xlfn.XLOOKUP(CKadeaTelcoLogs_Reseau[[#This Row],[Cell_ID]],'CKadeaTelcoRegistre_Maintenance'!A:A,'CKadeaTelcoRegistre_Maintenance'!E:E,"Non repertorié")</f>
        <v>4G</v>
      </c>
      <c r="I712" t="str">
        <f>_xlfn.XLOOKUP(CKadeaTelcoLogs_Reseau[[#This Row],[Cell_ID]],'CKadeaTelcoRegistre_Maintenance'!A:A,'CKadeaTelcoRegistre_Maintenance'!F:F,"Non repertorié")</f>
        <v>Huawei</v>
      </c>
    </row>
    <row r="713" spans="1:9" ht="20.5" customHeight="1" x14ac:dyDescent="0.35">
      <c r="A713" s="1">
        <v>45217.755555555559</v>
      </c>
      <c r="B713" s="5" t="s">
        <v>506</v>
      </c>
      <c r="C713">
        <v>100</v>
      </c>
      <c r="D713" t="s">
        <v>5</v>
      </c>
      <c r="E713" t="str">
        <f>_xlfn.XLOOKUP(CKadeaTelcoLogs_Reseau[[#This Row],[Cell_ID]],'CKadeaTelcoRegistre_Maintenance'!A:A,'CKadeaTelcoRegistre_Maintenance'!B:B,"Non repertorié")</f>
        <v>Haut-Uele</v>
      </c>
      <c r="F713">
        <f>_xlfn.XLOOKUP(CKadeaTelcoLogs_Reseau[[#This Row],[Cell_ID]],'CKadeaTelcoRegistre_Maintenance'!A:A,'CKadeaTelcoRegistre_Maintenance'!C:C,"Non repertorié")</f>
        <v>-3.003879</v>
      </c>
      <c r="G713">
        <f>_xlfn.XLOOKUP(CKadeaTelcoLogs_Reseau[[#This Row],[Cell_ID]],'CKadeaTelcoRegistre_Maintenance'!A:A,'CKadeaTelcoRegistre_Maintenance'!D:D,"Non repertorié")</f>
        <v>23.633893</v>
      </c>
      <c r="H713" t="str">
        <f>_xlfn.XLOOKUP(CKadeaTelcoLogs_Reseau[[#This Row],[Cell_ID]],'CKadeaTelcoRegistre_Maintenance'!A:A,'CKadeaTelcoRegistre_Maintenance'!E:E,"Non repertorié")</f>
        <v>5G</v>
      </c>
      <c r="I713" t="str">
        <f>_xlfn.XLOOKUP(CKadeaTelcoLogs_Reseau[[#This Row],[Cell_ID]],'CKadeaTelcoRegistre_Maintenance'!A:A,'CKadeaTelcoRegistre_Maintenance'!F:F,"Non repertorié")</f>
        <v>Ericsson</v>
      </c>
    </row>
    <row r="714" spans="1:9" ht="20.5" customHeight="1" x14ac:dyDescent="0.35">
      <c r="A714" s="1">
        <v>45218.659722222219</v>
      </c>
      <c r="B714" s="5" t="s">
        <v>507</v>
      </c>
      <c r="C714">
        <v>24</v>
      </c>
      <c r="D714" t="s">
        <v>5</v>
      </c>
      <c r="E714" t="str">
        <f>_xlfn.XLOOKUP(CKadeaTelcoLogs_Reseau[[#This Row],[Cell_ID]],'CKadeaTelcoRegistre_Maintenance'!A:A,'CKadeaTelcoRegistre_Maintenance'!B:B,"Non repertorié")</f>
        <v>Non repertorié</v>
      </c>
      <c r="F714" t="str">
        <f>_xlfn.XLOOKUP(CKadeaTelcoLogs_Reseau[[#This Row],[Cell_ID]],'CKadeaTelcoRegistre_Maintenance'!A:A,'CKadeaTelcoRegistre_Maintenance'!C:C,"Non repertorié")</f>
        <v>Non repertorié</v>
      </c>
      <c r="G714" t="str">
        <f>_xlfn.XLOOKUP(CKadeaTelcoLogs_Reseau[[#This Row],[Cell_ID]],'CKadeaTelcoRegistre_Maintenance'!A:A,'CKadeaTelcoRegistre_Maintenance'!D:D,"Non repertorié")</f>
        <v>Non repertorié</v>
      </c>
      <c r="H714" t="str">
        <f>_xlfn.XLOOKUP(CKadeaTelcoLogs_Reseau[[#This Row],[Cell_ID]],'CKadeaTelcoRegistre_Maintenance'!A:A,'CKadeaTelcoRegistre_Maintenance'!E:E,"Non repertorié")</f>
        <v>Non repertorié</v>
      </c>
      <c r="I714" t="str">
        <f>_xlfn.XLOOKUP(CKadeaTelcoLogs_Reseau[[#This Row],[Cell_ID]],'CKadeaTelcoRegistre_Maintenance'!A:A,'CKadeaTelcoRegistre_Maintenance'!F:F,"Non repertorié")</f>
        <v>Non repertorié</v>
      </c>
    </row>
    <row r="715" spans="1:9" ht="20.5" customHeight="1" x14ac:dyDescent="0.35">
      <c r="A715" s="1">
        <v>45210.908333333333</v>
      </c>
      <c r="B715" s="5" t="s">
        <v>420</v>
      </c>
      <c r="C715">
        <v>57</v>
      </c>
      <c r="D715" t="s">
        <v>10</v>
      </c>
      <c r="E715" t="str">
        <f>_xlfn.XLOOKUP(CKadeaTelcoLogs_Reseau[[#This Row],[Cell_ID]],'CKadeaTelcoRegistre_Maintenance'!A:A,'CKadeaTelcoRegistre_Maintenance'!B:B,"Non repertorié")</f>
        <v>Nord-Ubangi</v>
      </c>
      <c r="F715">
        <f>_xlfn.XLOOKUP(CKadeaTelcoLogs_Reseau[[#This Row],[Cell_ID]],'CKadeaTelcoRegistre_Maintenance'!A:A,'CKadeaTelcoRegistre_Maintenance'!C:C,"Non repertorié")</f>
        <v>8.5490999999999998E-2</v>
      </c>
      <c r="G715">
        <f>_xlfn.XLOOKUP(CKadeaTelcoLogs_Reseau[[#This Row],[Cell_ID]],'CKadeaTelcoRegistre_Maintenance'!A:A,'CKadeaTelcoRegistre_Maintenance'!D:D,"Non repertorié")</f>
        <v>26.296129000000001</v>
      </c>
      <c r="H715" t="str">
        <f>_xlfn.XLOOKUP(CKadeaTelcoLogs_Reseau[[#This Row],[Cell_ID]],'CKadeaTelcoRegistre_Maintenance'!A:A,'CKadeaTelcoRegistre_Maintenance'!E:E,"Non repertorié")</f>
        <v>3G</v>
      </c>
      <c r="I715" t="str">
        <f>_xlfn.XLOOKUP(CKadeaTelcoLogs_Reseau[[#This Row],[Cell_ID]],'CKadeaTelcoRegistre_Maintenance'!A:A,'CKadeaTelcoRegistre_Maintenance'!F:F,"Non repertorié")</f>
        <v>ZTE</v>
      </c>
    </row>
    <row r="716" spans="1:9" ht="20.5" customHeight="1" x14ac:dyDescent="0.35">
      <c r="A716" s="1">
        <v>45201.04583333333</v>
      </c>
      <c r="B716" s="5" t="s">
        <v>228</v>
      </c>
      <c r="C716">
        <v>83</v>
      </c>
      <c r="D716" t="s">
        <v>8</v>
      </c>
      <c r="E716" t="str">
        <f>_xlfn.XLOOKUP(CKadeaTelcoLogs_Reseau[[#This Row],[Cell_ID]],'CKadeaTelcoRegistre_Maintenance'!A:A,'CKadeaTelcoRegistre_Maintenance'!B:B,"Non repertorié")</f>
        <v>Non repertorié</v>
      </c>
      <c r="F716" t="str">
        <f>_xlfn.XLOOKUP(CKadeaTelcoLogs_Reseau[[#This Row],[Cell_ID]],'CKadeaTelcoRegistre_Maintenance'!A:A,'CKadeaTelcoRegistre_Maintenance'!C:C,"Non repertorié")</f>
        <v>Non repertorié</v>
      </c>
      <c r="G716" t="str">
        <f>_xlfn.XLOOKUP(CKadeaTelcoLogs_Reseau[[#This Row],[Cell_ID]],'CKadeaTelcoRegistre_Maintenance'!A:A,'CKadeaTelcoRegistre_Maintenance'!D:D,"Non repertorié")</f>
        <v>Non repertorié</v>
      </c>
      <c r="H716" t="str">
        <f>_xlfn.XLOOKUP(CKadeaTelcoLogs_Reseau[[#This Row],[Cell_ID]],'CKadeaTelcoRegistre_Maintenance'!A:A,'CKadeaTelcoRegistre_Maintenance'!E:E,"Non repertorié")</f>
        <v>Non repertorié</v>
      </c>
      <c r="I716" t="str">
        <f>_xlfn.XLOOKUP(CKadeaTelcoLogs_Reseau[[#This Row],[Cell_ID]],'CKadeaTelcoRegistre_Maintenance'!A:A,'CKadeaTelcoRegistre_Maintenance'!F:F,"Non repertorié")</f>
        <v>Non repertorié</v>
      </c>
    </row>
    <row r="717" spans="1:9" ht="20.5" customHeight="1" x14ac:dyDescent="0.35">
      <c r="A717" s="1">
        <v>45220.584027777775</v>
      </c>
      <c r="B717" s="5" t="s">
        <v>508</v>
      </c>
      <c r="C717">
        <v>92</v>
      </c>
      <c r="D717" t="s">
        <v>10</v>
      </c>
      <c r="E717" t="str">
        <f>_xlfn.XLOOKUP(CKadeaTelcoLogs_Reseau[[#This Row],[Cell_ID]],'CKadeaTelcoRegistre_Maintenance'!A:A,'CKadeaTelcoRegistre_Maintenance'!B:B,"Non repertorié")</f>
        <v>Nord-Ubangi</v>
      </c>
      <c r="F717">
        <f>_xlfn.XLOOKUP(CKadeaTelcoLogs_Reseau[[#This Row],[Cell_ID]],'CKadeaTelcoRegistre_Maintenance'!A:A,'CKadeaTelcoRegistre_Maintenance'!C:C,"Non repertorié")</f>
        <v>-11.588665000000001</v>
      </c>
      <c r="G717">
        <f>_xlfn.XLOOKUP(CKadeaTelcoLogs_Reseau[[#This Row],[Cell_ID]],'CKadeaTelcoRegistre_Maintenance'!A:A,'CKadeaTelcoRegistre_Maintenance'!D:D,"Non repertorié")</f>
        <v>15.241552</v>
      </c>
      <c r="H717" t="str">
        <f>_xlfn.XLOOKUP(CKadeaTelcoLogs_Reseau[[#This Row],[Cell_ID]],'CKadeaTelcoRegistre_Maintenance'!A:A,'CKadeaTelcoRegistre_Maintenance'!E:E,"Non repertorié")</f>
        <v>4G</v>
      </c>
      <c r="I717" t="str">
        <f>_xlfn.XLOOKUP(CKadeaTelcoLogs_Reseau[[#This Row],[Cell_ID]],'CKadeaTelcoRegistre_Maintenance'!A:A,'CKadeaTelcoRegistre_Maintenance'!F:F,"Non repertorié")</f>
        <v>Nokia</v>
      </c>
    </row>
    <row r="718" spans="1:9" ht="20.5" customHeight="1" x14ac:dyDescent="0.35">
      <c r="A718" s="1">
        <v>45203.227777777778</v>
      </c>
      <c r="B718" s="5" t="s">
        <v>226</v>
      </c>
      <c r="C718">
        <v>61</v>
      </c>
      <c r="D718" t="s">
        <v>8</v>
      </c>
      <c r="E718" t="str">
        <f>_xlfn.XLOOKUP(CKadeaTelcoLogs_Reseau[[#This Row],[Cell_ID]],'CKadeaTelcoRegistre_Maintenance'!A:A,'CKadeaTelcoRegistre_Maintenance'!B:B,"Non repertorié")</f>
        <v>Non repertorié</v>
      </c>
      <c r="F718" t="str">
        <f>_xlfn.XLOOKUP(CKadeaTelcoLogs_Reseau[[#This Row],[Cell_ID]],'CKadeaTelcoRegistre_Maintenance'!A:A,'CKadeaTelcoRegistre_Maintenance'!C:C,"Non repertorié")</f>
        <v>Non repertorié</v>
      </c>
      <c r="G718" t="str">
        <f>_xlfn.XLOOKUP(CKadeaTelcoLogs_Reseau[[#This Row],[Cell_ID]],'CKadeaTelcoRegistre_Maintenance'!A:A,'CKadeaTelcoRegistre_Maintenance'!D:D,"Non repertorié")</f>
        <v>Non repertorié</v>
      </c>
      <c r="H718" t="str">
        <f>_xlfn.XLOOKUP(CKadeaTelcoLogs_Reseau[[#This Row],[Cell_ID]],'CKadeaTelcoRegistre_Maintenance'!A:A,'CKadeaTelcoRegistre_Maintenance'!E:E,"Non repertorié")</f>
        <v>Non repertorié</v>
      </c>
      <c r="I718" t="str">
        <f>_xlfn.XLOOKUP(CKadeaTelcoLogs_Reseau[[#This Row],[Cell_ID]],'CKadeaTelcoRegistre_Maintenance'!A:A,'CKadeaTelcoRegistre_Maintenance'!F:F,"Non repertorié")</f>
        <v>Non repertorié</v>
      </c>
    </row>
    <row r="719" spans="1:9" ht="20.5" customHeight="1" x14ac:dyDescent="0.35">
      <c r="A719" s="1">
        <v>45214.018750000003</v>
      </c>
      <c r="B719" s="5" t="s">
        <v>149</v>
      </c>
      <c r="C719">
        <v>115</v>
      </c>
      <c r="D719" t="s">
        <v>8</v>
      </c>
      <c r="E719" t="str">
        <f>_xlfn.XLOOKUP(CKadeaTelcoLogs_Reseau[[#This Row],[Cell_ID]],'CKadeaTelcoRegistre_Maintenance'!A:A,'CKadeaTelcoRegistre_Maintenance'!B:B,"Non repertorié")</f>
        <v>Nord-Ubangi</v>
      </c>
      <c r="F719">
        <f>_xlfn.XLOOKUP(CKadeaTelcoLogs_Reseau[[#This Row],[Cell_ID]],'CKadeaTelcoRegistre_Maintenance'!A:A,'CKadeaTelcoRegistre_Maintenance'!C:C,"Non repertorié")</f>
        <v>-1.342476</v>
      </c>
      <c r="G719">
        <f>_xlfn.XLOOKUP(CKadeaTelcoLogs_Reseau[[#This Row],[Cell_ID]],'CKadeaTelcoRegistre_Maintenance'!A:A,'CKadeaTelcoRegistre_Maintenance'!D:D,"Non repertorié")</f>
        <v>15.986086</v>
      </c>
      <c r="H719" t="str">
        <f>_xlfn.XLOOKUP(CKadeaTelcoLogs_Reseau[[#This Row],[Cell_ID]],'CKadeaTelcoRegistre_Maintenance'!A:A,'CKadeaTelcoRegistre_Maintenance'!E:E,"Non repertorié")</f>
        <v>4G</v>
      </c>
      <c r="I719" t="str">
        <f>_xlfn.XLOOKUP(CKadeaTelcoLogs_Reseau[[#This Row],[Cell_ID]],'CKadeaTelcoRegistre_Maintenance'!A:A,'CKadeaTelcoRegistre_Maintenance'!F:F,"Non repertorié")</f>
        <v>Ericsson</v>
      </c>
    </row>
    <row r="720" spans="1:9" ht="20.5" customHeight="1" x14ac:dyDescent="0.35">
      <c r="A720" s="1">
        <v>45206.956944444442</v>
      </c>
      <c r="B720" s="5" t="s">
        <v>186</v>
      </c>
      <c r="C720">
        <v>32</v>
      </c>
      <c r="D720" t="s">
        <v>8</v>
      </c>
      <c r="E720" t="str">
        <f>_xlfn.XLOOKUP(CKadeaTelcoLogs_Reseau[[#This Row],[Cell_ID]],'CKadeaTelcoRegistre_Maintenance'!A:A,'CKadeaTelcoRegistre_Maintenance'!B:B,"Non repertorié")</f>
        <v>Mai-Ndombe</v>
      </c>
      <c r="F720">
        <f>_xlfn.XLOOKUP(CKadeaTelcoLogs_Reseau[[#This Row],[Cell_ID]],'CKadeaTelcoRegistre_Maintenance'!A:A,'CKadeaTelcoRegistre_Maintenance'!C:C,"Non repertorié")</f>
        <v>-9.3652280000000001</v>
      </c>
      <c r="G720">
        <f>_xlfn.XLOOKUP(CKadeaTelcoLogs_Reseau[[#This Row],[Cell_ID]],'CKadeaTelcoRegistre_Maintenance'!A:A,'CKadeaTelcoRegistre_Maintenance'!D:D,"Non repertorié")</f>
        <v>18.674116000000001</v>
      </c>
      <c r="H720" t="str">
        <f>_xlfn.XLOOKUP(CKadeaTelcoLogs_Reseau[[#This Row],[Cell_ID]],'CKadeaTelcoRegistre_Maintenance'!A:A,'CKadeaTelcoRegistre_Maintenance'!E:E,"Non repertorié")</f>
        <v>4G</v>
      </c>
      <c r="I720" t="str">
        <f>_xlfn.XLOOKUP(CKadeaTelcoLogs_Reseau[[#This Row],[Cell_ID]],'CKadeaTelcoRegistre_Maintenance'!A:A,'CKadeaTelcoRegistre_Maintenance'!F:F,"Non repertorié")</f>
        <v>Huawei</v>
      </c>
    </row>
    <row r="721" spans="1:9" ht="20.5" customHeight="1" x14ac:dyDescent="0.35">
      <c r="A721" s="1">
        <v>45204.84652777778</v>
      </c>
      <c r="B721" s="5" t="s">
        <v>509</v>
      </c>
      <c r="C721">
        <v>16</v>
      </c>
      <c r="D721" t="s">
        <v>10</v>
      </c>
      <c r="E721" t="str">
        <f>_xlfn.XLOOKUP(CKadeaTelcoLogs_Reseau[[#This Row],[Cell_ID]],'CKadeaTelcoRegistre_Maintenance'!A:A,'CKadeaTelcoRegistre_Maintenance'!B:B,"Non repertorié")</f>
        <v>Non repertorié</v>
      </c>
      <c r="F721" t="str">
        <f>_xlfn.XLOOKUP(CKadeaTelcoLogs_Reseau[[#This Row],[Cell_ID]],'CKadeaTelcoRegistre_Maintenance'!A:A,'CKadeaTelcoRegistre_Maintenance'!C:C,"Non repertorié")</f>
        <v>Non repertorié</v>
      </c>
      <c r="G721" t="str">
        <f>_xlfn.XLOOKUP(CKadeaTelcoLogs_Reseau[[#This Row],[Cell_ID]],'CKadeaTelcoRegistre_Maintenance'!A:A,'CKadeaTelcoRegistre_Maintenance'!D:D,"Non repertorié")</f>
        <v>Non repertorié</v>
      </c>
      <c r="H721" t="str">
        <f>_xlfn.XLOOKUP(CKadeaTelcoLogs_Reseau[[#This Row],[Cell_ID]],'CKadeaTelcoRegistre_Maintenance'!A:A,'CKadeaTelcoRegistre_Maintenance'!E:E,"Non repertorié")</f>
        <v>Non repertorié</v>
      </c>
      <c r="I721" t="str">
        <f>_xlfn.XLOOKUP(CKadeaTelcoLogs_Reseau[[#This Row],[Cell_ID]],'CKadeaTelcoRegistre_Maintenance'!A:A,'CKadeaTelcoRegistre_Maintenance'!F:F,"Non repertorié")</f>
        <v>Non repertorié</v>
      </c>
    </row>
    <row r="722" spans="1:9" ht="20.5" customHeight="1" x14ac:dyDescent="0.35">
      <c r="A722" s="1">
        <v>45205.336805555555</v>
      </c>
      <c r="B722" s="5" t="s">
        <v>510</v>
      </c>
      <c r="C722">
        <v>119</v>
      </c>
      <c r="D722" t="s">
        <v>10</v>
      </c>
      <c r="E722" t="str">
        <f>_xlfn.XLOOKUP(CKadeaTelcoLogs_Reseau[[#This Row],[Cell_ID]],'CKadeaTelcoRegistre_Maintenance'!A:A,'CKadeaTelcoRegistre_Maintenance'!B:B,"Non repertorié")</f>
        <v>Non repertorié</v>
      </c>
      <c r="F722" t="str">
        <f>_xlfn.XLOOKUP(CKadeaTelcoLogs_Reseau[[#This Row],[Cell_ID]],'CKadeaTelcoRegistre_Maintenance'!A:A,'CKadeaTelcoRegistre_Maintenance'!C:C,"Non repertorié")</f>
        <v>Non repertorié</v>
      </c>
      <c r="G722" t="str">
        <f>_xlfn.XLOOKUP(CKadeaTelcoLogs_Reseau[[#This Row],[Cell_ID]],'CKadeaTelcoRegistre_Maintenance'!A:A,'CKadeaTelcoRegistre_Maintenance'!D:D,"Non repertorié")</f>
        <v>Non repertorié</v>
      </c>
      <c r="H722" t="str">
        <f>_xlfn.XLOOKUP(CKadeaTelcoLogs_Reseau[[#This Row],[Cell_ID]],'CKadeaTelcoRegistre_Maintenance'!A:A,'CKadeaTelcoRegistre_Maintenance'!E:E,"Non repertorié")</f>
        <v>Non repertorié</v>
      </c>
      <c r="I722" t="str">
        <f>_xlfn.XLOOKUP(CKadeaTelcoLogs_Reseau[[#This Row],[Cell_ID]],'CKadeaTelcoRegistre_Maintenance'!A:A,'CKadeaTelcoRegistre_Maintenance'!F:F,"Non repertorié")</f>
        <v>Non repertorié</v>
      </c>
    </row>
    <row r="723" spans="1:9" ht="20.5" customHeight="1" x14ac:dyDescent="0.35">
      <c r="A723" s="1">
        <v>45220.469444444447</v>
      </c>
      <c r="B723" s="5" t="s">
        <v>264</v>
      </c>
      <c r="C723">
        <v>17</v>
      </c>
      <c r="D723" t="s">
        <v>8</v>
      </c>
      <c r="E723" t="str">
        <f>_xlfn.XLOOKUP(CKadeaTelcoLogs_Reseau[[#This Row],[Cell_ID]],'CKadeaTelcoRegistre_Maintenance'!A:A,'CKadeaTelcoRegistre_Maintenance'!B:B,"Non repertorié")</f>
        <v>Sud-Kivu</v>
      </c>
      <c r="F723">
        <f>_xlfn.XLOOKUP(CKadeaTelcoLogs_Reseau[[#This Row],[Cell_ID]],'CKadeaTelcoRegistre_Maintenance'!A:A,'CKadeaTelcoRegistre_Maintenance'!C:C,"Non repertorié")</f>
        <v>-1.5419050000000001</v>
      </c>
      <c r="G723">
        <f>_xlfn.XLOOKUP(CKadeaTelcoLogs_Reseau[[#This Row],[Cell_ID]],'CKadeaTelcoRegistre_Maintenance'!A:A,'CKadeaTelcoRegistre_Maintenance'!D:D,"Non repertorié")</f>
        <v>14.730632999999999</v>
      </c>
      <c r="H723" t="str">
        <f>_xlfn.XLOOKUP(CKadeaTelcoLogs_Reseau[[#This Row],[Cell_ID]],'CKadeaTelcoRegistre_Maintenance'!A:A,'CKadeaTelcoRegistre_Maintenance'!E:E,"Non repertorié")</f>
        <v>3G</v>
      </c>
      <c r="I723" t="str">
        <f>_xlfn.XLOOKUP(CKadeaTelcoLogs_Reseau[[#This Row],[Cell_ID]],'CKadeaTelcoRegistre_Maintenance'!A:A,'CKadeaTelcoRegistre_Maintenance'!F:F,"Non repertorié")</f>
        <v>ZTE</v>
      </c>
    </row>
    <row r="724" spans="1:9" ht="20.5" customHeight="1" x14ac:dyDescent="0.35">
      <c r="A724" s="1">
        <v>45202.487500000003</v>
      </c>
      <c r="B724" s="5" t="s">
        <v>511</v>
      </c>
      <c r="C724">
        <v>22</v>
      </c>
      <c r="D724" t="s">
        <v>10</v>
      </c>
      <c r="E724" t="str">
        <f>_xlfn.XLOOKUP(CKadeaTelcoLogs_Reseau[[#This Row],[Cell_ID]],'CKadeaTelcoRegistre_Maintenance'!A:A,'CKadeaTelcoRegistre_Maintenance'!B:B,"Non repertorié")</f>
        <v>Non repertorié</v>
      </c>
      <c r="F724" t="str">
        <f>_xlfn.XLOOKUP(CKadeaTelcoLogs_Reseau[[#This Row],[Cell_ID]],'CKadeaTelcoRegistre_Maintenance'!A:A,'CKadeaTelcoRegistre_Maintenance'!C:C,"Non repertorié")</f>
        <v>Non repertorié</v>
      </c>
      <c r="G724" t="str">
        <f>_xlfn.XLOOKUP(CKadeaTelcoLogs_Reseau[[#This Row],[Cell_ID]],'CKadeaTelcoRegistre_Maintenance'!A:A,'CKadeaTelcoRegistre_Maintenance'!D:D,"Non repertorié")</f>
        <v>Non repertorié</v>
      </c>
      <c r="H724" t="str">
        <f>_xlfn.XLOOKUP(CKadeaTelcoLogs_Reseau[[#This Row],[Cell_ID]],'CKadeaTelcoRegistre_Maintenance'!A:A,'CKadeaTelcoRegistre_Maintenance'!E:E,"Non repertorié")</f>
        <v>Non repertorié</v>
      </c>
      <c r="I724" t="str">
        <f>_xlfn.XLOOKUP(CKadeaTelcoLogs_Reseau[[#This Row],[Cell_ID]],'CKadeaTelcoRegistre_Maintenance'!A:A,'CKadeaTelcoRegistre_Maintenance'!F:F,"Non repertorié")</f>
        <v>Non repertorié</v>
      </c>
    </row>
    <row r="725" spans="1:9" ht="20.5" customHeight="1" x14ac:dyDescent="0.35">
      <c r="A725" s="1">
        <v>45228.840277777781</v>
      </c>
      <c r="B725" s="5" t="s">
        <v>47</v>
      </c>
      <c r="C725">
        <v>101</v>
      </c>
      <c r="D725" t="s">
        <v>5</v>
      </c>
      <c r="E725" t="str">
        <f>_xlfn.XLOOKUP(CKadeaTelcoLogs_Reseau[[#This Row],[Cell_ID]],'CKadeaTelcoRegistre_Maintenance'!A:A,'CKadeaTelcoRegistre_Maintenance'!B:B,"Non repertorié")</f>
        <v>Non repertorié</v>
      </c>
      <c r="F725" t="str">
        <f>_xlfn.XLOOKUP(CKadeaTelcoLogs_Reseau[[#This Row],[Cell_ID]],'CKadeaTelcoRegistre_Maintenance'!A:A,'CKadeaTelcoRegistre_Maintenance'!C:C,"Non repertorié")</f>
        <v>Non repertorié</v>
      </c>
      <c r="G725" t="str">
        <f>_xlfn.XLOOKUP(CKadeaTelcoLogs_Reseau[[#This Row],[Cell_ID]],'CKadeaTelcoRegistre_Maintenance'!A:A,'CKadeaTelcoRegistre_Maintenance'!D:D,"Non repertorié")</f>
        <v>Non repertorié</v>
      </c>
      <c r="H725" t="str">
        <f>_xlfn.XLOOKUP(CKadeaTelcoLogs_Reseau[[#This Row],[Cell_ID]],'CKadeaTelcoRegistre_Maintenance'!A:A,'CKadeaTelcoRegistre_Maintenance'!E:E,"Non repertorié")</f>
        <v>Non repertorié</v>
      </c>
      <c r="I725" t="str">
        <f>_xlfn.XLOOKUP(CKadeaTelcoLogs_Reseau[[#This Row],[Cell_ID]],'CKadeaTelcoRegistre_Maintenance'!A:A,'CKadeaTelcoRegistre_Maintenance'!F:F,"Non repertorié")</f>
        <v>Non repertorié</v>
      </c>
    </row>
    <row r="726" spans="1:9" ht="20.5" customHeight="1" x14ac:dyDescent="0.35">
      <c r="A726" s="1">
        <v>45201.527777777781</v>
      </c>
      <c r="B726" s="5" t="s">
        <v>512</v>
      </c>
      <c r="C726">
        <v>20</v>
      </c>
      <c r="D726" t="s">
        <v>8</v>
      </c>
      <c r="E726" t="str">
        <f>_xlfn.XLOOKUP(CKadeaTelcoLogs_Reseau[[#This Row],[Cell_ID]],'CKadeaTelcoRegistre_Maintenance'!A:A,'CKadeaTelcoRegistre_Maintenance'!B:B,"Non repertorié")</f>
        <v>Bas-Uele</v>
      </c>
      <c r="F726">
        <f>_xlfn.XLOOKUP(CKadeaTelcoLogs_Reseau[[#This Row],[Cell_ID]],'CKadeaTelcoRegistre_Maintenance'!A:A,'CKadeaTelcoRegistre_Maintenance'!C:C,"Non repertorié")</f>
        <v>0.45116099999999998</v>
      </c>
      <c r="G726">
        <f>_xlfn.XLOOKUP(CKadeaTelcoLogs_Reseau[[#This Row],[Cell_ID]],'CKadeaTelcoRegistre_Maintenance'!A:A,'CKadeaTelcoRegistre_Maintenance'!D:D,"Non repertorié")</f>
        <v>17.265761000000001</v>
      </c>
      <c r="H726" t="str">
        <f>_xlfn.XLOOKUP(CKadeaTelcoLogs_Reseau[[#This Row],[Cell_ID]],'CKadeaTelcoRegistre_Maintenance'!A:A,'CKadeaTelcoRegistre_Maintenance'!E:E,"Non repertorié")</f>
        <v>4G</v>
      </c>
      <c r="I726" t="str">
        <f>_xlfn.XLOOKUP(CKadeaTelcoLogs_Reseau[[#This Row],[Cell_ID]],'CKadeaTelcoRegistre_Maintenance'!A:A,'CKadeaTelcoRegistre_Maintenance'!F:F,"Non repertorié")</f>
        <v>Huawei</v>
      </c>
    </row>
    <row r="727" spans="1:9" ht="20.5" customHeight="1" x14ac:dyDescent="0.35">
      <c r="A727" s="1">
        <v>45209.988888888889</v>
      </c>
      <c r="B727" s="5" t="s">
        <v>513</v>
      </c>
      <c r="C727">
        <v>80</v>
      </c>
      <c r="D727" t="s">
        <v>8</v>
      </c>
      <c r="E727" t="str">
        <f>_xlfn.XLOOKUP(CKadeaTelcoLogs_Reseau[[#This Row],[Cell_ID]],'CKadeaTelcoRegistre_Maintenance'!A:A,'CKadeaTelcoRegistre_Maintenance'!B:B,"Non repertorié")</f>
        <v>Non repertorié</v>
      </c>
      <c r="F727" t="str">
        <f>_xlfn.XLOOKUP(CKadeaTelcoLogs_Reseau[[#This Row],[Cell_ID]],'CKadeaTelcoRegistre_Maintenance'!A:A,'CKadeaTelcoRegistre_Maintenance'!C:C,"Non repertorié")</f>
        <v>Non repertorié</v>
      </c>
      <c r="G727" t="str">
        <f>_xlfn.XLOOKUP(CKadeaTelcoLogs_Reseau[[#This Row],[Cell_ID]],'CKadeaTelcoRegistre_Maintenance'!A:A,'CKadeaTelcoRegistre_Maintenance'!D:D,"Non repertorié")</f>
        <v>Non repertorié</v>
      </c>
      <c r="H727" t="str">
        <f>_xlfn.XLOOKUP(CKadeaTelcoLogs_Reseau[[#This Row],[Cell_ID]],'CKadeaTelcoRegistre_Maintenance'!A:A,'CKadeaTelcoRegistre_Maintenance'!E:E,"Non repertorié")</f>
        <v>Non repertorié</v>
      </c>
      <c r="I727" t="str">
        <f>_xlfn.XLOOKUP(CKadeaTelcoLogs_Reseau[[#This Row],[Cell_ID]],'CKadeaTelcoRegistre_Maintenance'!A:A,'CKadeaTelcoRegistre_Maintenance'!F:F,"Non repertorié")</f>
        <v>Non repertorié</v>
      </c>
    </row>
    <row r="728" spans="1:9" ht="20.5" customHeight="1" x14ac:dyDescent="0.35">
      <c r="A728" s="1">
        <v>45224.310416666667</v>
      </c>
      <c r="B728" s="5" t="s">
        <v>424</v>
      </c>
      <c r="C728">
        <v>98</v>
      </c>
      <c r="D728" t="s">
        <v>8</v>
      </c>
      <c r="E728" t="str">
        <f>_xlfn.XLOOKUP(CKadeaTelcoLogs_Reseau[[#This Row],[Cell_ID]],'CKadeaTelcoRegistre_Maintenance'!A:A,'CKadeaTelcoRegistre_Maintenance'!B:B,"Non repertorié")</f>
        <v>Non repertorié</v>
      </c>
      <c r="F728" t="str">
        <f>_xlfn.XLOOKUP(CKadeaTelcoLogs_Reseau[[#This Row],[Cell_ID]],'CKadeaTelcoRegistre_Maintenance'!A:A,'CKadeaTelcoRegistre_Maintenance'!C:C,"Non repertorié")</f>
        <v>Non repertorié</v>
      </c>
      <c r="G728" t="str">
        <f>_xlfn.XLOOKUP(CKadeaTelcoLogs_Reseau[[#This Row],[Cell_ID]],'CKadeaTelcoRegistre_Maintenance'!A:A,'CKadeaTelcoRegistre_Maintenance'!D:D,"Non repertorié")</f>
        <v>Non repertorié</v>
      </c>
      <c r="H728" t="str">
        <f>_xlfn.XLOOKUP(CKadeaTelcoLogs_Reseau[[#This Row],[Cell_ID]],'CKadeaTelcoRegistre_Maintenance'!A:A,'CKadeaTelcoRegistre_Maintenance'!E:E,"Non repertorié")</f>
        <v>Non repertorié</v>
      </c>
      <c r="I728" t="str">
        <f>_xlfn.XLOOKUP(CKadeaTelcoLogs_Reseau[[#This Row],[Cell_ID]],'CKadeaTelcoRegistre_Maintenance'!A:A,'CKadeaTelcoRegistre_Maintenance'!F:F,"Non repertorié")</f>
        <v>Non repertorié</v>
      </c>
    </row>
    <row r="729" spans="1:9" ht="20.5" customHeight="1" x14ac:dyDescent="0.35">
      <c r="A729" s="1">
        <v>45220.114583333336</v>
      </c>
      <c r="B729" s="5" t="s">
        <v>49</v>
      </c>
      <c r="C729">
        <v>54</v>
      </c>
      <c r="D729" t="s">
        <v>8</v>
      </c>
      <c r="E729" t="str">
        <f>_xlfn.XLOOKUP(CKadeaTelcoLogs_Reseau[[#This Row],[Cell_ID]],'CKadeaTelcoRegistre_Maintenance'!A:A,'CKadeaTelcoRegistre_Maintenance'!B:B,"Non repertorié")</f>
        <v>Non repertorié</v>
      </c>
      <c r="F729" t="str">
        <f>_xlfn.XLOOKUP(CKadeaTelcoLogs_Reseau[[#This Row],[Cell_ID]],'CKadeaTelcoRegistre_Maintenance'!A:A,'CKadeaTelcoRegistre_Maintenance'!C:C,"Non repertorié")</f>
        <v>Non repertorié</v>
      </c>
      <c r="G729" t="str">
        <f>_xlfn.XLOOKUP(CKadeaTelcoLogs_Reseau[[#This Row],[Cell_ID]],'CKadeaTelcoRegistre_Maintenance'!A:A,'CKadeaTelcoRegistre_Maintenance'!D:D,"Non repertorié")</f>
        <v>Non repertorié</v>
      </c>
      <c r="H729" t="str">
        <f>_xlfn.XLOOKUP(CKadeaTelcoLogs_Reseau[[#This Row],[Cell_ID]],'CKadeaTelcoRegistre_Maintenance'!A:A,'CKadeaTelcoRegistre_Maintenance'!E:E,"Non repertorié")</f>
        <v>Non repertorié</v>
      </c>
      <c r="I729" t="str">
        <f>_xlfn.XLOOKUP(CKadeaTelcoLogs_Reseau[[#This Row],[Cell_ID]],'CKadeaTelcoRegistre_Maintenance'!A:A,'CKadeaTelcoRegistre_Maintenance'!F:F,"Non repertorié")</f>
        <v>Non repertorié</v>
      </c>
    </row>
    <row r="730" spans="1:9" ht="20.5" customHeight="1" x14ac:dyDescent="0.35">
      <c r="A730" s="1">
        <v>45203.009027777778</v>
      </c>
      <c r="B730" s="5" t="s">
        <v>477</v>
      </c>
      <c r="C730">
        <v>49</v>
      </c>
      <c r="D730" t="s">
        <v>5</v>
      </c>
      <c r="E730" t="str">
        <f>_xlfn.XLOOKUP(CKadeaTelcoLogs_Reseau[[#This Row],[Cell_ID]],'CKadeaTelcoRegistre_Maintenance'!A:A,'CKadeaTelcoRegistre_Maintenance'!B:B,"Non repertorié")</f>
        <v>Non repertorié</v>
      </c>
      <c r="F730" t="str">
        <f>_xlfn.XLOOKUP(CKadeaTelcoLogs_Reseau[[#This Row],[Cell_ID]],'CKadeaTelcoRegistre_Maintenance'!A:A,'CKadeaTelcoRegistre_Maintenance'!C:C,"Non repertorié")</f>
        <v>Non repertorié</v>
      </c>
      <c r="G730" t="str">
        <f>_xlfn.XLOOKUP(CKadeaTelcoLogs_Reseau[[#This Row],[Cell_ID]],'CKadeaTelcoRegistre_Maintenance'!A:A,'CKadeaTelcoRegistre_Maintenance'!D:D,"Non repertorié")</f>
        <v>Non repertorié</v>
      </c>
      <c r="H730" t="str">
        <f>_xlfn.XLOOKUP(CKadeaTelcoLogs_Reseau[[#This Row],[Cell_ID]],'CKadeaTelcoRegistre_Maintenance'!A:A,'CKadeaTelcoRegistre_Maintenance'!E:E,"Non repertorié")</f>
        <v>Non repertorié</v>
      </c>
      <c r="I730" t="str">
        <f>_xlfn.XLOOKUP(CKadeaTelcoLogs_Reseau[[#This Row],[Cell_ID]],'CKadeaTelcoRegistre_Maintenance'!A:A,'CKadeaTelcoRegistre_Maintenance'!F:F,"Non repertorié")</f>
        <v>Non repertorié</v>
      </c>
    </row>
    <row r="731" spans="1:9" ht="20.5" customHeight="1" x14ac:dyDescent="0.35">
      <c r="A731" s="1">
        <v>45215.088888888888</v>
      </c>
      <c r="B731" s="5" t="s">
        <v>382</v>
      </c>
      <c r="C731">
        <v>59</v>
      </c>
      <c r="D731" t="s">
        <v>10</v>
      </c>
      <c r="E731" t="str">
        <f>_xlfn.XLOOKUP(CKadeaTelcoLogs_Reseau[[#This Row],[Cell_ID]],'CKadeaTelcoRegistre_Maintenance'!A:A,'CKadeaTelcoRegistre_Maintenance'!B:B,"Non repertorié")</f>
        <v>Non repertorié</v>
      </c>
      <c r="F731" t="str">
        <f>_xlfn.XLOOKUP(CKadeaTelcoLogs_Reseau[[#This Row],[Cell_ID]],'CKadeaTelcoRegistre_Maintenance'!A:A,'CKadeaTelcoRegistre_Maintenance'!C:C,"Non repertorié")</f>
        <v>Non repertorié</v>
      </c>
      <c r="G731" t="str">
        <f>_xlfn.XLOOKUP(CKadeaTelcoLogs_Reseau[[#This Row],[Cell_ID]],'CKadeaTelcoRegistre_Maintenance'!A:A,'CKadeaTelcoRegistre_Maintenance'!D:D,"Non repertorié")</f>
        <v>Non repertorié</v>
      </c>
      <c r="H731" t="str">
        <f>_xlfn.XLOOKUP(CKadeaTelcoLogs_Reseau[[#This Row],[Cell_ID]],'CKadeaTelcoRegistre_Maintenance'!A:A,'CKadeaTelcoRegistre_Maintenance'!E:E,"Non repertorié")</f>
        <v>Non repertorié</v>
      </c>
      <c r="I731" t="str">
        <f>_xlfn.XLOOKUP(CKadeaTelcoLogs_Reseau[[#This Row],[Cell_ID]],'CKadeaTelcoRegistre_Maintenance'!A:A,'CKadeaTelcoRegistre_Maintenance'!F:F,"Non repertorié")</f>
        <v>Non repertorié</v>
      </c>
    </row>
    <row r="732" spans="1:9" ht="20.5" customHeight="1" x14ac:dyDescent="0.35">
      <c r="A732" s="1">
        <v>45218.314583333333</v>
      </c>
      <c r="B732" s="5" t="s">
        <v>514</v>
      </c>
      <c r="C732">
        <v>45</v>
      </c>
      <c r="D732" t="s">
        <v>5</v>
      </c>
      <c r="E732" t="str">
        <f>_xlfn.XLOOKUP(CKadeaTelcoLogs_Reseau[[#This Row],[Cell_ID]],'CKadeaTelcoRegistre_Maintenance'!A:A,'CKadeaTelcoRegistre_Maintenance'!B:B,"Non repertorié")</f>
        <v>Non repertorié</v>
      </c>
      <c r="F732" t="str">
        <f>_xlfn.XLOOKUP(CKadeaTelcoLogs_Reseau[[#This Row],[Cell_ID]],'CKadeaTelcoRegistre_Maintenance'!A:A,'CKadeaTelcoRegistre_Maintenance'!C:C,"Non repertorié")</f>
        <v>Non repertorié</v>
      </c>
      <c r="G732" t="str">
        <f>_xlfn.XLOOKUP(CKadeaTelcoLogs_Reseau[[#This Row],[Cell_ID]],'CKadeaTelcoRegistre_Maintenance'!A:A,'CKadeaTelcoRegistre_Maintenance'!D:D,"Non repertorié")</f>
        <v>Non repertorié</v>
      </c>
      <c r="H732" t="str">
        <f>_xlfn.XLOOKUP(CKadeaTelcoLogs_Reseau[[#This Row],[Cell_ID]],'CKadeaTelcoRegistre_Maintenance'!A:A,'CKadeaTelcoRegistre_Maintenance'!E:E,"Non repertorié")</f>
        <v>Non repertorié</v>
      </c>
      <c r="I732" t="str">
        <f>_xlfn.XLOOKUP(CKadeaTelcoLogs_Reseau[[#This Row],[Cell_ID]],'CKadeaTelcoRegistre_Maintenance'!A:A,'CKadeaTelcoRegistre_Maintenance'!F:F,"Non repertorié")</f>
        <v>Non repertorié</v>
      </c>
    </row>
    <row r="733" spans="1:9" ht="20.5" customHeight="1" x14ac:dyDescent="0.35">
      <c r="A733" s="1">
        <v>45221.583333333336</v>
      </c>
      <c r="B733" s="5" t="s">
        <v>515</v>
      </c>
      <c r="C733">
        <v>106</v>
      </c>
      <c r="D733" t="s">
        <v>10</v>
      </c>
      <c r="E733" t="str">
        <f>_xlfn.XLOOKUP(CKadeaTelcoLogs_Reseau[[#This Row],[Cell_ID]],'CKadeaTelcoRegistre_Maintenance'!A:A,'CKadeaTelcoRegistre_Maintenance'!B:B,"Non repertorié")</f>
        <v>Non repertorié</v>
      </c>
      <c r="F733" t="str">
        <f>_xlfn.XLOOKUP(CKadeaTelcoLogs_Reseau[[#This Row],[Cell_ID]],'CKadeaTelcoRegistre_Maintenance'!A:A,'CKadeaTelcoRegistre_Maintenance'!C:C,"Non repertorié")</f>
        <v>Non repertorié</v>
      </c>
      <c r="G733" t="str">
        <f>_xlfn.XLOOKUP(CKadeaTelcoLogs_Reseau[[#This Row],[Cell_ID]],'CKadeaTelcoRegistre_Maintenance'!A:A,'CKadeaTelcoRegistre_Maintenance'!D:D,"Non repertorié")</f>
        <v>Non repertorié</v>
      </c>
      <c r="H733" t="str">
        <f>_xlfn.XLOOKUP(CKadeaTelcoLogs_Reseau[[#This Row],[Cell_ID]],'CKadeaTelcoRegistre_Maintenance'!A:A,'CKadeaTelcoRegistre_Maintenance'!E:E,"Non repertorié")</f>
        <v>Non repertorié</v>
      </c>
      <c r="I733" t="str">
        <f>_xlfn.XLOOKUP(CKadeaTelcoLogs_Reseau[[#This Row],[Cell_ID]],'CKadeaTelcoRegistre_Maintenance'!A:A,'CKadeaTelcoRegistre_Maintenance'!F:F,"Non repertorié")</f>
        <v>Non repertorié</v>
      </c>
    </row>
    <row r="734" spans="1:9" ht="20.5" customHeight="1" x14ac:dyDescent="0.35">
      <c r="A734" s="1">
        <v>45200.931250000001</v>
      </c>
      <c r="B734" s="5" t="s">
        <v>304</v>
      </c>
      <c r="C734">
        <v>22</v>
      </c>
      <c r="D734" t="s">
        <v>5</v>
      </c>
      <c r="E734" t="str">
        <f>_xlfn.XLOOKUP(CKadeaTelcoLogs_Reseau[[#This Row],[Cell_ID]],'CKadeaTelcoRegistre_Maintenance'!A:A,'CKadeaTelcoRegistre_Maintenance'!B:B,"Non repertorié")</f>
        <v>Non repertorié</v>
      </c>
      <c r="F734" t="str">
        <f>_xlfn.XLOOKUP(CKadeaTelcoLogs_Reseau[[#This Row],[Cell_ID]],'CKadeaTelcoRegistre_Maintenance'!A:A,'CKadeaTelcoRegistre_Maintenance'!C:C,"Non repertorié")</f>
        <v>Non repertorié</v>
      </c>
      <c r="G734" t="str">
        <f>_xlfn.XLOOKUP(CKadeaTelcoLogs_Reseau[[#This Row],[Cell_ID]],'CKadeaTelcoRegistre_Maintenance'!A:A,'CKadeaTelcoRegistre_Maintenance'!D:D,"Non repertorié")</f>
        <v>Non repertorié</v>
      </c>
      <c r="H734" t="str">
        <f>_xlfn.XLOOKUP(CKadeaTelcoLogs_Reseau[[#This Row],[Cell_ID]],'CKadeaTelcoRegistre_Maintenance'!A:A,'CKadeaTelcoRegistre_Maintenance'!E:E,"Non repertorié")</f>
        <v>Non repertorié</v>
      </c>
      <c r="I734" t="str">
        <f>_xlfn.XLOOKUP(CKadeaTelcoLogs_Reseau[[#This Row],[Cell_ID]],'CKadeaTelcoRegistre_Maintenance'!A:A,'CKadeaTelcoRegistre_Maintenance'!F:F,"Non repertorié")</f>
        <v>Non repertorié</v>
      </c>
    </row>
    <row r="735" spans="1:9" ht="20.5" customHeight="1" x14ac:dyDescent="0.35">
      <c r="A735" s="1">
        <v>45226.163194444445</v>
      </c>
      <c r="B735" s="5" t="s">
        <v>516</v>
      </c>
      <c r="C735">
        <v>36</v>
      </c>
      <c r="D735" t="s">
        <v>8</v>
      </c>
      <c r="E735" t="str">
        <f>_xlfn.XLOOKUP(CKadeaTelcoLogs_Reseau[[#This Row],[Cell_ID]],'CKadeaTelcoRegistre_Maintenance'!A:A,'CKadeaTelcoRegistre_Maintenance'!B:B,"Non repertorié")</f>
        <v>Non repertorié</v>
      </c>
      <c r="F735" t="str">
        <f>_xlfn.XLOOKUP(CKadeaTelcoLogs_Reseau[[#This Row],[Cell_ID]],'CKadeaTelcoRegistre_Maintenance'!A:A,'CKadeaTelcoRegistre_Maintenance'!C:C,"Non repertorié")</f>
        <v>Non repertorié</v>
      </c>
      <c r="G735" t="str">
        <f>_xlfn.XLOOKUP(CKadeaTelcoLogs_Reseau[[#This Row],[Cell_ID]],'CKadeaTelcoRegistre_Maintenance'!A:A,'CKadeaTelcoRegistre_Maintenance'!D:D,"Non repertorié")</f>
        <v>Non repertorié</v>
      </c>
      <c r="H735" t="str">
        <f>_xlfn.XLOOKUP(CKadeaTelcoLogs_Reseau[[#This Row],[Cell_ID]],'CKadeaTelcoRegistre_Maintenance'!A:A,'CKadeaTelcoRegistre_Maintenance'!E:E,"Non repertorié")</f>
        <v>Non repertorié</v>
      </c>
      <c r="I735" t="str">
        <f>_xlfn.XLOOKUP(CKadeaTelcoLogs_Reseau[[#This Row],[Cell_ID]],'CKadeaTelcoRegistre_Maintenance'!A:A,'CKadeaTelcoRegistre_Maintenance'!F:F,"Non repertorié")</f>
        <v>Non repertorié</v>
      </c>
    </row>
    <row r="736" spans="1:9" ht="20.5" customHeight="1" x14ac:dyDescent="0.35">
      <c r="A736" s="1">
        <v>45213.922222222223</v>
      </c>
      <c r="B736" s="5" t="s">
        <v>430</v>
      </c>
      <c r="C736">
        <v>40</v>
      </c>
      <c r="D736" t="s">
        <v>5</v>
      </c>
      <c r="E736" t="str">
        <f>_xlfn.XLOOKUP(CKadeaTelcoLogs_Reseau[[#This Row],[Cell_ID]],'CKadeaTelcoRegistre_Maintenance'!A:A,'CKadeaTelcoRegistre_Maintenance'!B:B,"Non repertorié")</f>
        <v>Non repertorié</v>
      </c>
      <c r="F736" t="str">
        <f>_xlfn.XLOOKUP(CKadeaTelcoLogs_Reseau[[#This Row],[Cell_ID]],'CKadeaTelcoRegistre_Maintenance'!A:A,'CKadeaTelcoRegistre_Maintenance'!C:C,"Non repertorié")</f>
        <v>Non repertorié</v>
      </c>
      <c r="G736" t="str">
        <f>_xlfn.XLOOKUP(CKadeaTelcoLogs_Reseau[[#This Row],[Cell_ID]],'CKadeaTelcoRegistre_Maintenance'!A:A,'CKadeaTelcoRegistre_Maintenance'!D:D,"Non repertorié")</f>
        <v>Non repertorié</v>
      </c>
      <c r="H736" t="str">
        <f>_xlfn.XLOOKUP(CKadeaTelcoLogs_Reseau[[#This Row],[Cell_ID]],'CKadeaTelcoRegistre_Maintenance'!A:A,'CKadeaTelcoRegistre_Maintenance'!E:E,"Non repertorié")</f>
        <v>Non repertorié</v>
      </c>
      <c r="I736" t="str">
        <f>_xlfn.XLOOKUP(CKadeaTelcoLogs_Reseau[[#This Row],[Cell_ID]],'CKadeaTelcoRegistre_Maintenance'!A:A,'CKadeaTelcoRegistre_Maintenance'!F:F,"Non repertorié")</f>
        <v>Non repertorié</v>
      </c>
    </row>
    <row r="737" spans="1:9" ht="20.5" customHeight="1" x14ac:dyDescent="0.35">
      <c r="A737" s="1">
        <v>45215.093055555553</v>
      </c>
      <c r="B737" s="5" t="s">
        <v>517</v>
      </c>
      <c r="C737">
        <v>87</v>
      </c>
      <c r="D737" t="s">
        <v>5</v>
      </c>
      <c r="E737" t="str">
        <f>_xlfn.XLOOKUP(CKadeaTelcoLogs_Reseau[[#This Row],[Cell_ID]],'CKadeaTelcoRegistre_Maintenance'!A:A,'CKadeaTelcoRegistre_Maintenance'!B:B,"Non repertorié")</f>
        <v>Mongala</v>
      </c>
      <c r="F737">
        <f>_xlfn.XLOOKUP(CKadeaTelcoLogs_Reseau[[#This Row],[Cell_ID]],'CKadeaTelcoRegistre_Maintenance'!A:A,'CKadeaTelcoRegistre_Maintenance'!C:C,"Non repertorié")</f>
        <v>-7.6951369999999999</v>
      </c>
      <c r="G737">
        <f>_xlfn.XLOOKUP(CKadeaTelcoLogs_Reseau[[#This Row],[Cell_ID]],'CKadeaTelcoRegistre_Maintenance'!A:A,'CKadeaTelcoRegistre_Maintenance'!D:D,"Non repertorié")</f>
        <v>13.346605</v>
      </c>
      <c r="H737" t="str">
        <f>_xlfn.XLOOKUP(CKadeaTelcoLogs_Reseau[[#This Row],[Cell_ID]],'CKadeaTelcoRegistre_Maintenance'!A:A,'CKadeaTelcoRegistre_Maintenance'!E:E,"Non repertorié")</f>
        <v>4G</v>
      </c>
      <c r="I737" t="str">
        <f>_xlfn.XLOOKUP(CKadeaTelcoLogs_Reseau[[#This Row],[Cell_ID]],'CKadeaTelcoRegistre_Maintenance'!A:A,'CKadeaTelcoRegistre_Maintenance'!F:F,"Non repertorié")</f>
        <v>Ericsson</v>
      </c>
    </row>
    <row r="738" spans="1:9" ht="20.5" customHeight="1" x14ac:dyDescent="0.35">
      <c r="A738" s="1">
        <v>45212.115277777775</v>
      </c>
      <c r="B738" s="5" t="s">
        <v>317</v>
      </c>
      <c r="C738">
        <v>15</v>
      </c>
      <c r="D738" t="s">
        <v>8</v>
      </c>
      <c r="E738" t="str">
        <f>_xlfn.XLOOKUP(CKadeaTelcoLogs_Reseau[[#This Row],[Cell_ID]],'CKadeaTelcoRegistre_Maintenance'!A:A,'CKadeaTelcoRegistre_Maintenance'!B:B,"Non repertorié")</f>
        <v>Haut-Lomami</v>
      </c>
      <c r="F738">
        <f>_xlfn.XLOOKUP(CKadeaTelcoLogs_Reseau[[#This Row],[Cell_ID]],'CKadeaTelcoRegistre_Maintenance'!A:A,'CKadeaTelcoRegistre_Maintenance'!C:C,"Non repertorié")</f>
        <v>-7.1785899999999998</v>
      </c>
      <c r="G738">
        <f>_xlfn.XLOOKUP(CKadeaTelcoLogs_Reseau[[#This Row],[Cell_ID]],'CKadeaTelcoRegistre_Maintenance'!A:A,'CKadeaTelcoRegistre_Maintenance'!D:D,"Non repertorié")</f>
        <v>24.4404</v>
      </c>
      <c r="H738" t="str">
        <f>_xlfn.XLOOKUP(CKadeaTelcoLogs_Reseau[[#This Row],[Cell_ID]],'CKadeaTelcoRegistre_Maintenance'!A:A,'CKadeaTelcoRegistre_Maintenance'!E:E,"Non repertorié")</f>
        <v>4G</v>
      </c>
      <c r="I738" t="str">
        <f>_xlfn.XLOOKUP(CKadeaTelcoLogs_Reseau[[#This Row],[Cell_ID]],'CKadeaTelcoRegistre_Maintenance'!A:A,'CKadeaTelcoRegistre_Maintenance'!F:F,"Non repertorié")</f>
        <v>Nokia</v>
      </c>
    </row>
    <row r="739" spans="1:9" ht="20.5" customHeight="1" x14ac:dyDescent="0.35">
      <c r="A739" s="1">
        <v>45225.129166666666</v>
      </c>
      <c r="B739" s="5" t="s">
        <v>97</v>
      </c>
      <c r="C739">
        <v>36</v>
      </c>
      <c r="D739" t="s">
        <v>10</v>
      </c>
      <c r="E739" t="str">
        <f>_xlfn.XLOOKUP(CKadeaTelcoLogs_Reseau[[#This Row],[Cell_ID]],'CKadeaTelcoRegistre_Maintenance'!A:A,'CKadeaTelcoRegistre_Maintenance'!B:B,"Non repertorié")</f>
        <v>Non repertorié</v>
      </c>
      <c r="F739" t="str">
        <f>_xlfn.XLOOKUP(CKadeaTelcoLogs_Reseau[[#This Row],[Cell_ID]],'CKadeaTelcoRegistre_Maintenance'!A:A,'CKadeaTelcoRegistre_Maintenance'!C:C,"Non repertorié")</f>
        <v>Non repertorié</v>
      </c>
      <c r="G739" t="str">
        <f>_xlfn.XLOOKUP(CKadeaTelcoLogs_Reseau[[#This Row],[Cell_ID]],'CKadeaTelcoRegistre_Maintenance'!A:A,'CKadeaTelcoRegistre_Maintenance'!D:D,"Non repertorié")</f>
        <v>Non repertorié</v>
      </c>
      <c r="H739" t="str">
        <f>_xlfn.XLOOKUP(CKadeaTelcoLogs_Reseau[[#This Row],[Cell_ID]],'CKadeaTelcoRegistre_Maintenance'!A:A,'CKadeaTelcoRegistre_Maintenance'!E:E,"Non repertorié")</f>
        <v>Non repertorié</v>
      </c>
      <c r="I739" t="str">
        <f>_xlfn.XLOOKUP(CKadeaTelcoLogs_Reseau[[#This Row],[Cell_ID]],'CKadeaTelcoRegistre_Maintenance'!A:A,'CKadeaTelcoRegistre_Maintenance'!F:F,"Non repertorié")</f>
        <v>Non repertorié</v>
      </c>
    </row>
    <row r="740" spans="1:9" ht="20.5" customHeight="1" x14ac:dyDescent="0.35">
      <c r="A740" s="1">
        <v>45210.49722222222</v>
      </c>
      <c r="B740" s="5" t="s">
        <v>232</v>
      </c>
      <c r="C740">
        <v>75</v>
      </c>
      <c r="D740" t="s">
        <v>10</v>
      </c>
      <c r="E740" t="str">
        <f>_xlfn.XLOOKUP(CKadeaTelcoLogs_Reseau[[#This Row],[Cell_ID]],'CKadeaTelcoRegistre_Maintenance'!A:A,'CKadeaTelcoRegistre_Maintenance'!B:B,"Non repertorié")</f>
        <v>Sud-Kivu</v>
      </c>
      <c r="F740">
        <f>_xlfn.XLOOKUP(CKadeaTelcoLogs_Reseau[[#This Row],[Cell_ID]],'CKadeaTelcoRegistre_Maintenance'!A:A,'CKadeaTelcoRegistre_Maintenance'!C:C,"Non repertorié")</f>
        <v>-9.3900009999999998</v>
      </c>
      <c r="G740">
        <f>_xlfn.XLOOKUP(CKadeaTelcoLogs_Reseau[[#This Row],[Cell_ID]],'CKadeaTelcoRegistre_Maintenance'!A:A,'CKadeaTelcoRegistre_Maintenance'!D:D,"Non repertorié")</f>
        <v>30.001517</v>
      </c>
      <c r="H740" t="str">
        <f>_xlfn.XLOOKUP(CKadeaTelcoLogs_Reseau[[#This Row],[Cell_ID]],'CKadeaTelcoRegistre_Maintenance'!A:A,'CKadeaTelcoRegistre_Maintenance'!E:E,"Non repertorié")</f>
        <v>3G</v>
      </c>
      <c r="I740" t="str">
        <f>_xlfn.XLOOKUP(CKadeaTelcoLogs_Reseau[[#This Row],[Cell_ID]],'CKadeaTelcoRegistre_Maintenance'!A:A,'CKadeaTelcoRegistre_Maintenance'!F:F,"Non repertorié")</f>
        <v>Nokia</v>
      </c>
    </row>
    <row r="741" spans="1:9" ht="20.5" customHeight="1" x14ac:dyDescent="0.35">
      <c r="A741" s="1">
        <v>45209.183333333334</v>
      </c>
      <c r="B741" s="5" t="s">
        <v>518</v>
      </c>
      <c r="C741">
        <v>81</v>
      </c>
      <c r="D741" t="s">
        <v>8</v>
      </c>
      <c r="E741" t="str">
        <f>_xlfn.XLOOKUP(CKadeaTelcoLogs_Reseau[[#This Row],[Cell_ID]],'CKadeaTelcoRegistre_Maintenance'!A:A,'CKadeaTelcoRegistre_Maintenance'!B:B,"Non repertorié")</f>
        <v>Non repertorié</v>
      </c>
      <c r="F741" t="str">
        <f>_xlfn.XLOOKUP(CKadeaTelcoLogs_Reseau[[#This Row],[Cell_ID]],'CKadeaTelcoRegistre_Maintenance'!A:A,'CKadeaTelcoRegistre_Maintenance'!C:C,"Non repertorié")</f>
        <v>Non repertorié</v>
      </c>
      <c r="G741" t="str">
        <f>_xlfn.XLOOKUP(CKadeaTelcoLogs_Reseau[[#This Row],[Cell_ID]],'CKadeaTelcoRegistre_Maintenance'!A:A,'CKadeaTelcoRegistre_Maintenance'!D:D,"Non repertorié")</f>
        <v>Non repertorié</v>
      </c>
      <c r="H741" t="str">
        <f>_xlfn.XLOOKUP(CKadeaTelcoLogs_Reseau[[#This Row],[Cell_ID]],'CKadeaTelcoRegistre_Maintenance'!A:A,'CKadeaTelcoRegistre_Maintenance'!E:E,"Non repertorié")</f>
        <v>Non repertorié</v>
      </c>
      <c r="I741" t="str">
        <f>_xlfn.XLOOKUP(CKadeaTelcoLogs_Reseau[[#This Row],[Cell_ID]],'CKadeaTelcoRegistre_Maintenance'!A:A,'CKadeaTelcoRegistre_Maintenance'!F:F,"Non repertorié")</f>
        <v>Non repertorié</v>
      </c>
    </row>
    <row r="742" spans="1:9" ht="20.5" customHeight="1" x14ac:dyDescent="0.35">
      <c r="A742" s="1">
        <v>45224.195138888892</v>
      </c>
      <c r="B742" s="5" t="s">
        <v>519</v>
      </c>
      <c r="C742">
        <v>81</v>
      </c>
      <c r="D742" t="s">
        <v>8</v>
      </c>
      <c r="E742" t="str">
        <f>_xlfn.XLOOKUP(CKadeaTelcoLogs_Reseau[[#This Row],[Cell_ID]],'CKadeaTelcoRegistre_Maintenance'!A:A,'CKadeaTelcoRegistre_Maintenance'!B:B,"Non repertorié")</f>
        <v>Bas-Uele</v>
      </c>
      <c r="F742">
        <f>_xlfn.XLOOKUP(CKadeaTelcoLogs_Reseau[[#This Row],[Cell_ID]],'CKadeaTelcoRegistre_Maintenance'!A:A,'CKadeaTelcoRegistre_Maintenance'!C:C,"Non repertorié")</f>
        <v>-1.500685</v>
      </c>
      <c r="G742">
        <f>_xlfn.XLOOKUP(CKadeaTelcoLogs_Reseau[[#This Row],[Cell_ID]],'CKadeaTelcoRegistre_Maintenance'!A:A,'CKadeaTelcoRegistre_Maintenance'!D:D,"Non repertorié")</f>
        <v>26.563376000000002</v>
      </c>
      <c r="H742" t="str">
        <f>_xlfn.XLOOKUP(CKadeaTelcoLogs_Reseau[[#This Row],[Cell_ID]],'CKadeaTelcoRegistre_Maintenance'!A:A,'CKadeaTelcoRegistre_Maintenance'!E:E,"Non repertorié")</f>
        <v>5G</v>
      </c>
      <c r="I742" t="str">
        <f>_xlfn.XLOOKUP(CKadeaTelcoLogs_Reseau[[#This Row],[Cell_ID]],'CKadeaTelcoRegistre_Maintenance'!A:A,'CKadeaTelcoRegistre_Maintenance'!F:F,"Non repertorié")</f>
        <v>Nokia</v>
      </c>
    </row>
    <row r="743" spans="1:9" ht="20.5" customHeight="1" x14ac:dyDescent="0.35">
      <c r="A743" s="1">
        <v>45223.293749999997</v>
      </c>
      <c r="B743" s="5" t="s">
        <v>431</v>
      </c>
      <c r="C743">
        <v>42</v>
      </c>
      <c r="D743" t="s">
        <v>10</v>
      </c>
      <c r="E743" t="str">
        <f>_xlfn.XLOOKUP(CKadeaTelcoLogs_Reseau[[#This Row],[Cell_ID]],'CKadeaTelcoRegistre_Maintenance'!A:A,'CKadeaTelcoRegistre_Maintenance'!B:B,"Non repertorié")</f>
        <v>Haut-Katanga</v>
      </c>
      <c r="F743">
        <f>_xlfn.XLOOKUP(CKadeaTelcoLogs_Reseau[[#This Row],[Cell_ID]],'CKadeaTelcoRegistre_Maintenance'!A:A,'CKadeaTelcoRegistre_Maintenance'!C:C,"Non repertorié")</f>
        <v>-4.4958720000000003</v>
      </c>
      <c r="G743">
        <f>_xlfn.XLOOKUP(CKadeaTelcoLogs_Reseau[[#This Row],[Cell_ID]],'CKadeaTelcoRegistre_Maintenance'!A:A,'CKadeaTelcoRegistre_Maintenance'!D:D,"Non repertorié")</f>
        <v>18.514112000000001</v>
      </c>
      <c r="H743" t="str">
        <f>_xlfn.XLOOKUP(CKadeaTelcoLogs_Reseau[[#This Row],[Cell_ID]],'CKadeaTelcoRegistre_Maintenance'!A:A,'CKadeaTelcoRegistre_Maintenance'!E:E,"Non repertorié")</f>
        <v>4G</v>
      </c>
      <c r="I743" t="str">
        <f>_xlfn.XLOOKUP(CKadeaTelcoLogs_Reseau[[#This Row],[Cell_ID]],'CKadeaTelcoRegistre_Maintenance'!A:A,'CKadeaTelcoRegistre_Maintenance'!F:F,"Non repertorié")</f>
        <v>Nokia</v>
      </c>
    </row>
    <row r="744" spans="1:9" ht="20.5" customHeight="1" x14ac:dyDescent="0.35">
      <c r="A744" s="1">
        <v>45207.124305555553</v>
      </c>
      <c r="B744" s="5" t="s">
        <v>520</v>
      </c>
      <c r="C744">
        <v>77</v>
      </c>
      <c r="D744" t="s">
        <v>10</v>
      </c>
      <c r="E744" t="str">
        <f>_xlfn.XLOOKUP(CKadeaTelcoLogs_Reseau[[#This Row],[Cell_ID]],'CKadeaTelcoRegistre_Maintenance'!A:A,'CKadeaTelcoRegistre_Maintenance'!B:B,"Non repertorié")</f>
        <v>Non repertorié</v>
      </c>
      <c r="F744" t="str">
        <f>_xlfn.XLOOKUP(CKadeaTelcoLogs_Reseau[[#This Row],[Cell_ID]],'CKadeaTelcoRegistre_Maintenance'!A:A,'CKadeaTelcoRegistre_Maintenance'!C:C,"Non repertorié")</f>
        <v>Non repertorié</v>
      </c>
      <c r="G744" t="str">
        <f>_xlfn.XLOOKUP(CKadeaTelcoLogs_Reseau[[#This Row],[Cell_ID]],'CKadeaTelcoRegistre_Maintenance'!A:A,'CKadeaTelcoRegistre_Maintenance'!D:D,"Non repertorié")</f>
        <v>Non repertorié</v>
      </c>
      <c r="H744" t="str">
        <f>_xlfn.XLOOKUP(CKadeaTelcoLogs_Reseau[[#This Row],[Cell_ID]],'CKadeaTelcoRegistre_Maintenance'!A:A,'CKadeaTelcoRegistre_Maintenance'!E:E,"Non repertorié")</f>
        <v>Non repertorié</v>
      </c>
      <c r="I744" t="str">
        <f>_xlfn.XLOOKUP(CKadeaTelcoLogs_Reseau[[#This Row],[Cell_ID]],'CKadeaTelcoRegistre_Maintenance'!A:A,'CKadeaTelcoRegistre_Maintenance'!F:F,"Non repertorié")</f>
        <v>Non repertorié</v>
      </c>
    </row>
    <row r="745" spans="1:9" ht="20.5" customHeight="1" x14ac:dyDescent="0.35">
      <c r="A745" s="1">
        <v>45213.145138888889</v>
      </c>
      <c r="B745" s="5" t="s">
        <v>427</v>
      </c>
      <c r="C745">
        <v>105</v>
      </c>
      <c r="D745" t="s">
        <v>8</v>
      </c>
      <c r="E745" t="str">
        <f>_xlfn.XLOOKUP(CKadeaTelcoLogs_Reseau[[#This Row],[Cell_ID]],'CKadeaTelcoRegistre_Maintenance'!A:A,'CKadeaTelcoRegistre_Maintenance'!B:B,"Non repertorié")</f>
        <v>Kwilu</v>
      </c>
      <c r="F745">
        <f>_xlfn.XLOOKUP(CKadeaTelcoLogs_Reseau[[#This Row],[Cell_ID]],'CKadeaTelcoRegistre_Maintenance'!A:A,'CKadeaTelcoRegistre_Maintenance'!C:C,"Non repertorié")</f>
        <v>-10.939712999999999</v>
      </c>
      <c r="G745">
        <f>_xlfn.XLOOKUP(CKadeaTelcoLogs_Reseau[[#This Row],[Cell_ID]],'CKadeaTelcoRegistre_Maintenance'!A:A,'CKadeaTelcoRegistre_Maintenance'!D:D,"Non repertorié")</f>
        <v>18.276230999999999</v>
      </c>
      <c r="H745" t="str">
        <f>_xlfn.XLOOKUP(CKadeaTelcoLogs_Reseau[[#This Row],[Cell_ID]],'CKadeaTelcoRegistre_Maintenance'!A:A,'CKadeaTelcoRegistre_Maintenance'!E:E,"Non repertorié")</f>
        <v>4G</v>
      </c>
      <c r="I745" t="str">
        <f>_xlfn.XLOOKUP(CKadeaTelcoLogs_Reseau[[#This Row],[Cell_ID]],'CKadeaTelcoRegistre_Maintenance'!A:A,'CKadeaTelcoRegistre_Maintenance'!F:F,"Non repertorié")</f>
        <v>ZTE</v>
      </c>
    </row>
    <row r="746" spans="1:9" ht="20.5" customHeight="1" x14ac:dyDescent="0.35">
      <c r="A746" s="1">
        <v>45219.793749999997</v>
      </c>
      <c r="B746" s="5" t="s">
        <v>521</v>
      </c>
      <c r="C746">
        <v>43</v>
      </c>
      <c r="D746" t="s">
        <v>8</v>
      </c>
      <c r="E746" t="str">
        <f>_xlfn.XLOOKUP(CKadeaTelcoLogs_Reseau[[#This Row],[Cell_ID]],'CKadeaTelcoRegistre_Maintenance'!A:A,'CKadeaTelcoRegistre_Maintenance'!B:B,"Non repertorié")</f>
        <v>Non repertorié</v>
      </c>
      <c r="F746" t="str">
        <f>_xlfn.XLOOKUP(CKadeaTelcoLogs_Reseau[[#This Row],[Cell_ID]],'CKadeaTelcoRegistre_Maintenance'!A:A,'CKadeaTelcoRegistre_Maintenance'!C:C,"Non repertorié")</f>
        <v>Non repertorié</v>
      </c>
      <c r="G746" t="str">
        <f>_xlfn.XLOOKUP(CKadeaTelcoLogs_Reseau[[#This Row],[Cell_ID]],'CKadeaTelcoRegistre_Maintenance'!A:A,'CKadeaTelcoRegistre_Maintenance'!D:D,"Non repertorié")</f>
        <v>Non repertorié</v>
      </c>
      <c r="H746" t="str">
        <f>_xlfn.XLOOKUP(CKadeaTelcoLogs_Reseau[[#This Row],[Cell_ID]],'CKadeaTelcoRegistre_Maintenance'!A:A,'CKadeaTelcoRegistre_Maintenance'!E:E,"Non repertorié")</f>
        <v>Non repertorié</v>
      </c>
      <c r="I746" t="str">
        <f>_xlfn.XLOOKUP(CKadeaTelcoLogs_Reseau[[#This Row],[Cell_ID]],'CKadeaTelcoRegistre_Maintenance'!A:A,'CKadeaTelcoRegistre_Maintenance'!F:F,"Non repertorié")</f>
        <v>Non repertorié</v>
      </c>
    </row>
    <row r="747" spans="1:9" ht="20.5" customHeight="1" x14ac:dyDescent="0.35">
      <c r="A747" s="1">
        <v>45209.907638888886</v>
      </c>
      <c r="B747" s="5" t="s">
        <v>522</v>
      </c>
      <c r="C747">
        <v>99</v>
      </c>
      <c r="D747" t="s">
        <v>10</v>
      </c>
      <c r="E747" t="str">
        <f>_xlfn.XLOOKUP(CKadeaTelcoLogs_Reseau[[#This Row],[Cell_ID]],'CKadeaTelcoRegistre_Maintenance'!A:A,'CKadeaTelcoRegistre_Maintenance'!B:B,"Non repertorié")</f>
        <v>Kasai</v>
      </c>
      <c r="F747">
        <f>_xlfn.XLOOKUP(CKadeaTelcoLogs_Reseau[[#This Row],[Cell_ID]],'CKadeaTelcoRegistre_Maintenance'!A:A,'CKadeaTelcoRegistre_Maintenance'!C:C,"Non repertorié")</f>
        <v>-7.6757720000000003</v>
      </c>
      <c r="G747">
        <f>_xlfn.XLOOKUP(CKadeaTelcoLogs_Reseau[[#This Row],[Cell_ID]],'CKadeaTelcoRegistre_Maintenance'!A:A,'CKadeaTelcoRegistre_Maintenance'!D:D,"Non repertorié")</f>
        <v>30.222971000000001</v>
      </c>
      <c r="H747" t="str">
        <f>_xlfn.XLOOKUP(CKadeaTelcoLogs_Reseau[[#This Row],[Cell_ID]],'CKadeaTelcoRegistre_Maintenance'!A:A,'CKadeaTelcoRegistre_Maintenance'!E:E,"Non repertorié")</f>
        <v>5G</v>
      </c>
      <c r="I747" t="str">
        <f>_xlfn.XLOOKUP(CKadeaTelcoLogs_Reseau[[#This Row],[Cell_ID]],'CKadeaTelcoRegistre_Maintenance'!A:A,'CKadeaTelcoRegistre_Maintenance'!F:F,"Non repertorié")</f>
        <v>Ericsson</v>
      </c>
    </row>
    <row r="748" spans="1:9" ht="20.5" customHeight="1" x14ac:dyDescent="0.35">
      <c r="A748" s="1">
        <v>45221.96597222222</v>
      </c>
      <c r="B748" s="5" t="s">
        <v>523</v>
      </c>
      <c r="C748">
        <v>84</v>
      </c>
      <c r="D748" t="s">
        <v>10</v>
      </c>
      <c r="E748" t="str">
        <f>_xlfn.XLOOKUP(CKadeaTelcoLogs_Reseau[[#This Row],[Cell_ID]],'CKadeaTelcoRegistre_Maintenance'!A:A,'CKadeaTelcoRegistre_Maintenance'!B:B,"Non repertorié")</f>
        <v>Non repertorié</v>
      </c>
      <c r="F748" t="str">
        <f>_xlfn.XLOOKUP(CKadeaTelcoLogs_Reseau[[#This Row],[Cell_ID]],'CKadeaTelcoRegistre_Maintenance'!A:A,'CKadeaTelcoRegistre_Maintenance'!C:C,"Non repertorié")</f>
        <v>Non repertorié</v>
      </c>
      <c r="G748" t="str">
        <f>_xlfn.XLOOKUP(CKadeaTelcoLogs_Reseau[[#This Row],[Cell_ID]],'CKadeaTelcoRegistre_Maintenance'!A:A,'CKadeaTelcoRegistre_Maintenance'!D:D,"Non repertorié")</f>
        <v>Non repertorié</v>
      </c>
      <c r="H748" t="str">
        <f>_xlfn.XLOOKUP(CKadeaTelcoLogs_Reseau[[#This Row],[Cell_ID]],'CKadeaTelcoRegistre_Maintenance'!A:A,'CKadeaTelcoRegistre_Maintenance'!E:E,"Non repertorié")</f>
        <v>Non repertorié</v>
      </c>
      <c r="I748" t="str">
        <f>_xlfn.XLOOKUP(CKadeaTelcoLogs_Reseau[[#This Row],[Cell_ID]],'CKadeaTelcoRegistre_Maintenance'!A:A,'CKadeaTelcoRegistre_Maintenance'!F:F,"Non repertorié")</f>
        <v>Non repertorié</v>
      </c>
    </row>
    <row r="749" spans="1:9" ht="20.5" customHeight="1" x14ac:dyDescent="0.35">
      <c r="A749" s="1">
        <v>45203.03125</v>
      </c>
      <c r="B749" s="5" t="s">
        <v>14</v>
      </c>
      <c r="C749">
        <v>36</v>
      </c>
      <c r="D749" t="s">
        <v>10</v>
      </c>
      <c r="E749" t="str">
        <f>_xlfn.XLOOKUP(CKadeaTelcoLogs_Reseau[[#This Row],[Cell_ID]],'CKadeaTelcoRegistre_Maintenance'!A:A,'CKadeaTelcoRegistre_Maintenance'!B:B,"Non repertorié")</f>
        <v>Non repertorié</v>
      </c>
      <c r="F749" t="str">
        <f>_xlfn.XLOOKUP(CKadeaTelcoLogs_Reseau[[#This Row],[Cell_ID]],'CKadeaTelcoRegistre_Maintenance'!A:A,'CKadeaTelcoRegistre_Maintenance'!C:C,"Non repertorié")</f>
        <v>Non repertorié</v>
      </c>
      <c r="G749" t="str">
        <f>_xlfn.XLOOKUP(CKadeaTelcoLogs_Reseau[[#This Row],[Cell_ID]],'CKadeaTelcoRegistre_Maintenance'!A:A,'CKadeaTelcoRegistre_Maintenance'!D:D,"Non repertorié")</f>
        <v>Non repertorié</v>
      </c>
      <c r="H749" t="str">
        <f>_xlfn.XLOOKUP(CKadeaTelcoLogs_Reseau[[#This Row],[Cell_ID]],'CKadeaTelcoRegistre_Maintenance'!A:A,'CKadeaTelcoRegistre_Maintenance'!E:E,"Non repertorié")</f>
        <v>Non repertorié</v>
      </c>
      <c r="I749" t="str">
        <f>_xlfn.XLOOKUP(CKadeaTelcoLogs_Reseau[[#This Row],[Cell_ID]],'CKadeaTelcoRegistre_Maintenance'!A:A,'CKadeaTelcoRegistre_Maintenance'!F:F,"Non repertorié")</f>
        <v>Non repertorié</v>
      </c>
    </row>
    <row r="750" spans="1:9" ht="20.5" customHeight="1" x14ac:dyDescent="0.35">
      <c r="A750" s="1">
        <v>45204.916666666664</v>
      </c>
      <c r="B750" s="5" t="s">
        <v>524</v>
      </c>
      <c r="C750">
        <v>64</v>
      </c>
      <c r="D750" t="s">
        <v>10</v>
      </c>
      <c r="E750" t="str">
        <f>_xlfn.XLOOKUP(CKadeaTelcoLogs_Reseau[[#This Row],[Cell_ID]],'CKadeaTelcoRegistre_Maintenance'!A:A,'CKadeaTelcoRegistre_Maintenance'!B:B,"Non repertorié")</f>
        <v>Non repertorié</v>
      </c>
      <c r="F750" t="str">
        <f>_xlfn.XLOOKUP(CKadeaTelcoLogs_Reseau[[#This Row],[Cell_ID]],'CKadeaTelcoRegistre_Maintenance'!A:A,'CKadeaTelcoRegistre_Maintenance'!C:C,"Non repertorié")</f>
        <v>Non repertorié</v>
      </c>
      <c r="G750" t="str">
        <f>_xlfn.XLOOKUP(CKadeaTelcoLogs_Reseau[[#This Row],[Cell_ID]],'CKadeaTelcoRegistre_Maintenance'!A:A,'CKadeaTelcoRegistre_Maintenance'!D:D,"Non repertorié")</f>
        <v>Non repertorié</v>
      </c>
      <c r="H750" t="str">
        <f>_xlfn.XLOOKUP(CKadeaTelcoLogs_Reseau[[#This Row],[Cell_ID]],'CKadeaTelcoRegistre_Maintenance'!A:A,'CKadeaTelcoRegistre_Maintenance'!E:E,"Non repertorié")</f>
        <v>Non repertorié</v>
      </c>
      <c r="I750" t="str">
        <f>_xlfn.XLOOKUP(CKadeaTelcoLogs_Reseau[[#This Row],[Cell_ID]],'CKadeaTelcoRegistre_Maintenance'!A:A,'CKadeaTelcoRegistre_Maintenance'!F:F,"Non repertorié")</f>
        <v>Non repertorié</v>
      </c>
    </row>
    <row r="751" spans="1:9" ht="20.5" customHeight="1" x14ac:dyDescent="0.35">
      <c r="A751" s="1">
        <v>45205.640277777777</v>
      </c>
      <c r="B751" s="5" t="s">
        <v>150</v>
      </c>
      <c r="C751">
        <v>52</v>
      </c>
      <c r="D751" t="s">
        <v>5</v>
      </c>
      <c r="E751" t="str">
        <f>_xlfn.XLOOKUP(CKadeaTelcoLogs_Reseau[[#This Row],[Cell_ID]],'CKadeaTelcoRegistre_Maintenance'!A:A,'CKadeaTelcoRegistre_Maintenance'!B:B,"Non repertorié")</f>
        <v>Non repertorié</v>
      </c>
      <c r="F751" t="str">
        <f>_xlfn.XLOOKUP(CKadeaTelcoLogs_Reseau[[#This Row],[Cell_ID]],'CKadeaTelcoRegistre_Maintenance'!A:A,'CKadeaTelcoRegistre_Maintenance'!C:C,"Non repertorié")</f>
        <v>Non repertorié</v>
      </c>
      <c r="G751" t="str">
        <f>_xlfn.XLOOKUP(CKadeaTelcoLogs_Reseau[[#This Row],[Cell_ID]],'CKadeaTelcoRegistre_Maintenance'!A:A,'CKadeaTelcoRegistre_Maintenance'!D:D,"Non repertorié")</f>
        <v>Non repertorié</v>
      </c>
      <c r="H751" t="str">
        <f>_xlfn.XLOOKUP(CKadeaTelcoLogs_Reseau[[#This Row],[Cell_ID]],'CKadeaTelcoRegistre_Maintenance'!A:A,'CKadeaTelcoRegistre_Maintenance'!E:E,"Non repertorié")</f>
        <v>Non repertorié</v>
      </c>
      <c r="I751" t="str">
        <f>_xlfn.XLOOKUP(CKadeaTelcoLogs_Reseau[[#This Row],[Cell_ID]],'CKadeaTelcoRegistre_Maintenance'!A:A,'CKadeaTelcoRegistre_Maintenance'!F:F,"Non repertorié")</f>
        <v>Non repertorié</v>
      </c>
    </row>
    <row r="752" spans="1:9" ht="20.5" customHeight="1" x14ac:dyDescent="0.35">
      <c r="A752" s="1">
        <v>45216.701388888891</v>
      </c>
      <c r="B752" s="5" t="s">
        <v>132</v>
      </c>
      <c r="C752">
        <v>80</v>
      </c>
      <c r="D752" t="s">
        <v>5</v>
      </c>
      <c r="E752" t="str">
        <f>_xlfn.XLOOKUP(CKadeaTelcoLogs_Reseau[[#This Row],[Cell_ID]],'CKadeaTelcoRegistre_Maintenance'!A:A,'CKadeaTelcoRegistre_Maintenance'!B:B,"Non repertorié")</f>
        <v>Tshuapa</v>
      </c>
      <c r="F752">
        <f>_xlfn.XLOOKUP(CKadeaTelcoLogs_Reseau[[#This Row],[Cell_ID]],'CKadeaTelcoRegistre_Maintenance'!A:A,'CKadeaTelcoRegistre_Maintenance'!C:C,"Non repertorié")</f>
        <v>-11.622688999999999</v>
      </c>
      <c r="G752">
        <f>_xlfn.XLOOKUP(CKadeaTelcoLogs_Reseau[[#This Row],[Cell_ID]],'CKadeaTelcoRegistre_Maintenance'!A:A,'CKadeaTelcoRegistre_Maintenance'!D:D,"Non repertorié")</f>
        <v>18.483874</v>
      </c>
      <c r="H752" t="str">
        <f>_xlfn.XLOOKUP(CKadeaTelcoLogs_Reseau[[#This Row],[Cell_ID]],'CKadeaTelcoRegistre_Maintenance'!A:A,'CKadeaTelcoRegistre_Maintenance'!E:E,"Non repertorié")</f>
        <v>5G</v>
      </c>
      <c r="I752" t="str">
        <f>_xlfn.XLOOKUP(CKadeaTelcoLogs_Reseau[[#This Row],[Cell_ID]],'CKadeaTelcoRegistre_Maintenance'!A:A,'CKadeaTelcoRegistre_Maintenance'!F:F,"Non repertorié")</f>
        <v>ZTE</v>
      </c>
    </row>
    <row r="753" spans="1:9" ht="20.5" customHeight="1" x14ac:dyDescent="0.35">
      <c r="A753" s="1">
        <v>45226.969444444447</v>
      </c>
      <c r="B753" s="5" t="s">
        <v>155</v>
      </c>
      <c r="C753">
        <v>68</v>
      </c>
      <c r="D753" t="s">
        <v>5</v>
      </c>
      <c r="E753" t="str">
        <f>_xlfn.XLOOKUP(CKadeaTelcoLogs_Reseau[[#This Row],[Cell_ID]],'CKadeaTelcoRegistre_Maintenance'!A:A,'CKadeaTelcoRegistre_Maintenance'!B:B,"Non repertorié")</f>
        <v>Tshopo</v>
      </c>
      <c r="F753">
        <f>_xlfn.XLOOKUP(CKadeaTelcoLogs_Reseau[[#This Row],[Cell_ID]],'CKadeaTelcoRegistre_Maintenance'!A:A,'CKadeaTelcoRegistre_Maintenance'!C:C,"Non repertorié")</f>
        <v>3.0603760000000002</v>
      </c>
      <c r="G753">
        <f>_xlfn.XLOOKUP(CKadeaTelcoLogs_Reseau[[#This Row],[Cell_ID]],'CKadeaTelcoRegistre_Maintenance'!A:A,'CKadeaTelcoRegistre_Maintenance'!D:D,"Non repertorié")</f>
        <v>19.708034000000001</v>
      </c>
      <c r="H753" t="str">
        <f>_xlfn.XLOOKUP(CKadeaTelcoLogs_Reseau[[#This Row],[Cell_ID]],'CKadeaTelcoRegistre_Maintenance'!A:A,'CKadeaTelcoRegistre_Maintenance'!E:E,"Non repertorié")</f>
        <v>3G</v>
      </c>
      <c r="I753" t="str">
        <f>_xlfn.XLOOKUP(CKadeaTelcoLogs_Reseau[[#This Row],[Cell_ID]],'CKadeaTelcoRegistre_Maintenance'!A:A,'CKadeaTelcoRegistre_Maintenance'!F:F,"Non repertorié")</f>
        <v>ZTE</v>
      </c>
    </row>
    <row r="754" spans="1:9" ht="20.5" customHeight="1" x14ac:dyDescent="0.35">
      <c r="A754" s="1">
        <v>45205.463888888888</v>
      </c>
      <c r="B754" s="5" t="s">
        <v>525</v>
      </c>
      <c r="C754">
        <v>103</v>
      </c>
      <c r="D754" t="s">
        <v>5</v>
      </c>
      <c r="E754" t="str">
        <f>_xlfn.XLOOKUP(CKadeaTelcoLogs_Reseau[[#This Row],[Cell_ID]],'CKadeaTelcoRegistre_Maintenance'!A:A,'CKadeaTelcoRegistre_Maintenance'!B:B,"Non repertorié")</f>
        <v>Nord-Kivu</v>
      </c>
      <c r="F754">
        <f>_xlfn.XLOOKUP(CKadeaTelcoLogs_Reseau[[#This Row],[Cell_ID]],'CKadeaTelcoRegistre_Maintenance'!A:A,'CKadeaTelcoRegistre_Maintenance'!C:C,"Non repertorié")</f>
        <v>-0.17258100000000001</v>
      </c>
      <c r="G754">
        <f>_xlfn.XLOOKUP(CKadeaTelcoLogs_Reseau[[#This Row],[Cell_ID]],'CKadeaTelcoRegistre_Maintenance'!A:A,'CKadeaTelcoRegistre_Maintenance'!D:D,"Non repertorié")</f>
        <v>23.775555000000001</v>
      </c>
      <c r="H754" t="str">
        <f>_xlfn.XLOOKUP(CKadeaTelcoLogs_Reseau[[#This Row],[Cell_ID]],'CKadeaTelcoRegistre_Maintenance'!A:A,'CKadeaTelcoRegistre_Maintenance'!E:E,"Non repertorié")</f>
        <v>5G</v>
      </c>
      <c r="I754" t="str">
        <f>_xlfn.XLOOKUP(CKadeaTelcoLogs_Reseau[[#This Row],[Cell_ID]],'CKadeaTelcoRegistre_Maintenance'!A:A,'CKadeaTelcoRegistre_Maintenance'!F:F,"Non repertorié")</f>
        <v>Nokia</v>
      </c>
    </row>
    <row r="755" spans="1:9" ht="20.5" customHeight="1" x14ac:dyDescent="0.35">
      <c r="A755" s="1">
        <v>45223.365277777775</v>
      </c>
      <c r="B755" s="5" t="s">
        <v>526</v>
      </c>
      <c r="C755">
        <v>104</v>
      </c>
      <c r="D755" t="s">
        <v>8</v>
      </c>
      <c r="E755" t="str">
        <f>_xlfn.XLOOKUP(CKadeaTelcoLogs_Reseau[[#This Row],[Cell_ID]],'CKadeaTelcoRegistre_Maintenance'!A:A,'CKadeaTelcoRegistre_Maintenance'!B:B,"Non repertorié")</f>
        <v>Non repertorié</v>
      </c>
      <c r="F755" t="str">
        <f>_xlfn.XLOOKUP(CKadeaTelcoLogs_Reseau[[#This Row],[Cell_ID]],'CKadeaTelcoRegistre_Maintenance'!A:A,'CKadeaTelcoRegistre_Maintenance'!C:C,"Non repertorié")</f>
        <v>Non repertorié</v>
      </c>
      <c r="G755" t="str">
        <f>_xlfn.XLOOKUP(CKadeaTelcoLogs_Reseau[[#This Row],[Cell_ID]],'CKadeaTelcoRegistre_Maintenance'!A:A,'CKadeaTelcoRegistre_Maintenance'!D:D,"Non repertorié")</f>
        <v>Non repertorié</v>
      </c>
      <c r="H755" t="str">
        <f>_xlfn.XLOOKUP(CKadeaTelcoLogs_Reseau[[#This Row],[Cell_ID]],'CKadeaTelcoRegistre_Maintenance'!A:A,'CKadeaTelcoRegistre_Maintenance'!E:E,"Non repertorié")</f>
        <v>Non repertorié</v>
      </c>
      <c r="I755" t="str">
        <f>_xlfn.XLOOKUP(CKadeaTelcoLogs_Reseau[[#This Row],[Cell_ID]],'CKadeaTelcoRegistre_Maintenance'!A:A,'CKadeaTelcoRegistre_Maintenance'!F:F,"Non repertorié")</f>
        <v>Non repertorié</v>
      </c>
    </row>
    <row r="756" spans="1:9" ht="20.5" customHeight="1" x14ac:dyDescent="0.35">
      <c r="A756" s="1">
        <v>45228.15902777778</v>
      </c>
      <c r="B756" s="5" t="s">
        <v>399</v>
      </c>
      <c r="C756">
        <v>30</v>
      </c>
      <c r="D756" t="s">
        <v>5</v>
      </c>
      <c r="E756" t="str">
        <f>_xlfn.XLOOKUP(CKadeaTelcoLogs_Reseau[[#This Row],[Cell_ID]],'CKadeaTelcoRegistre_Maintenance'!A:A,'CKadeaTelcoRegistre_Maintenance'!B:B,"Non repertorié")</f>
        <v>Kwilu</v>
      </c>
      <c r="F756">
        <f>_xlfn.XLOOKUP(CKadeaTelcoLogs_Reseau[[#This Row],[Cell_ID]],'CKadeaTelcoRegistre_Maintenance'!A:A,'CKadeaTelcoRegistre_Maintenance'!C:C,"Non repertorié")</f>
        <v>0.62055499999999997</v>
      </c>
      <c r="G756">
        <f>_xlfn.XLOOKUP(CKadeaTelcoLogs_Reseau[[#This Row],[Cell_ID]],'CKadeaTelcoRegistre_Maintenance'!A:A,'CKadeaTelcoRegistre_Maintenance'!D:D,"Non repertorié")</f>
        <v>21.222035000000002</v>
      </c>
      <c r="H756" t="str">
        <f>_xlfn.XLOOKUP(CKadeaTelcoLogs_Reseau[[#This Row],[Cell_ID]],'CKadeaTelcoRegistre_Maintenance'!A:A,'CKadeaTelcoRegistre_Maintenance'!E:E,"Non repertorié")</f>
        <v>5G</v>
      </c>
      <c r="I756" t="str">
        <f>_xlfn.XLOOKUP(CKadeaTelcoLogs_Reseau[[#This Row],[Cell_ID]],'CKadeaTelcoRegistre_Maintenance'!A:A,'CKadeaTelcoRegistre_Maintenance'!F:F,"Non repertorié")</f>
        <v>Nokia</v>
      </c>
    </row>
    <row r="757" spans="1:9" ht="20.5" customHeight="1" x14ac:dyDescent="0.35">
      <c r="A757" s="1">
        <v>45228.01458333333</v>
      </c>
      <c r="B757" s="5" t="s">
        <v>111</v>
      </c>
      <c r="C757">
        <v>98</v>
      </c>
      <c r="D757" t="s">
        <v>5</v>
      </c>
      <c r="E757" t="str">
        <f>_xlfn.XLOOKUP(CKadeaTelcoLogs_Reseau[[#This Row],[Cell_ID]],'CKadeaTelcoRegistre_Maintenance'!A:A,'CKadeaTelcoRegistre_Maintenance'!B:B,"Non repertorié")</f>
        <v>Non repertorié</v>
      </c>
      <c r="F757" t="str">
        <f>_xlfn.XLOOKUP(CKadeaTelcoLogs_Reseau[[#This Row],[Cell_ID]],'CKadeaTelcoRegistre_Maintenance'!A:A,'CKadeaTelcoRegistre_Maintenance'!C:C,"Non repertorié")</f>
        <v>Non repertorié</v>
      </c>
      <c r="G757" t="str">
        <f>_xlfn.XLOOKUP(CKadeaTelcoLogs_Reseau[[#This Row],[Cell_ID]],'CKadeaTelcoRegistre_Maintenance'!A:A,'CKadeaTelcoRegistre_Maintenance'!D:D,"Non repertorié")</f>
        <v>Non repertorié</v>
      </c>
      <c r="H757" t="str">
        <f>_xlfn.XLOOKUP(CKadeaTelcoLogs_Reseau[[#This Row],[Cell_ID]],'CKadeaTelcoRegistre_Maintenance'!A:A,'CKadeaTelcoRegistre_Maintenance'!E:E,"Non repertorié")</f>
        <v>Non repertorié</v>
      </c>
      <c r="I757" t="str">
        <f>_xlfn.XLOOKUP(CKadeaTelcoLogs_Reseau[[#This Row],[Cell_ID]],'CKadeaTelcoRegistre_Maintenance'!A:A,'CKadeaTelcoRegistre_Maintenance'!F:F,"Non repertorié")</f>
        <v>Non repertorié</v>
      </c>
    </row>
    <row r="758" spans="1:9" ht="20.5" customHeight="1" x14ac:dyDescent="0.35">
      <c r="A758" s="1">
        <v>45225.553472222222</v>
      </c>
      <c r="B758" s="5" t="s">
        <v>527</v>
      </c>
      <c r="C758">
        <v>120</v>
      </c>
      <c r="D758" t="s">
        <v>5</v>
      </c>
      <c r="E758" t="str">
        <f>_xlfn.XLOOKUP(CKadeaTelcoLogs_Reseau[[#This Row],[Cell_ID]],'CKadeaTelcoRegistre_Maintenance'!A:A,'CKadeaTelcoRegistre_Maintenance'!B:B,"Non repertorié")</f>
        <v>Non repertorié</v>
      </c>
      <c r="F758" t="str">
        <f>_xlfn.XLOOKUP(CKadeaTelcoLogs_Reseau[[#This Row],[Cell_ID]],'CKadeaTelcoRegistre_Maintenance'!A:A,'CKadeaTelcoRegistre_Maintenance'!C:C,"Non repertorié")</f>
        <v>Non repertorié</v>
      </c>
      <c r="G758" t="str">
        <f>_xlfn.XLOOKUP(CKadeaTelcoLogs_Reseau[[#This Row],[Cell_ID]],'CKadeaTelcoRegistre_Maintenance'!A:A,'CKadeaTelcoRegistre_Maintenance'!D:D,"Non repertorié")</f>
        <v>Non repertorié</v>
      </c>
      <c r="H758" t="str">
        <f>_xlfn.XLOOKUP(CKadeaTelcoLogs_Reseau[[#This Row],[Cell_ID]],'CKadeaTelcoRegistre_Maintenance'!A:A,'CKadeaTelcoRegistre_Maintenance'!E:E,"Non repertorié")</f>
        <v>Non repertorié</v>
      </c>
      <c r="I758" t="str">
        <f>_xlfn.XLOOKUP(CKadeaTelcoLogs_Reseau[[#This Row],[Cell_ID]],'CKadeaTelcoRegistre_Maintenance'!A:A,'CKadeaTelcoRegistre_Maintenance'!F:F,"Non repertorié")</f>
        <v>Non repertorié</v>
      </c>
    </row>
    <row r="759" spans="1:9" ht="20.5" customHeight="1" x14ac:dyDescent="0.35">
      <c r="A759" s="1">
        <v>45216.094444444447</v>
      </c>
      <c r="B759" s="5" t="s">
        <v>528</v>
      </c>
      <c r="C759">
        <v>74</v>
      </c>
      <c r="D759" t="s">
        <v>5</v>
      </c>
      <c r="E759" t="str">
        <f>_xlfn.XLOOKUP(CKadeaTelcoLogs_Reseau[[#This Row],[Cell_ID]],'CKadeaTelcoRegistre_Maintenance'!A:A,'CKadeaTelcoRegistre_Maintenance'!B:B,"Non repertorié")</f>
        <v>Lomami</v>
      </c>
      <c r="F759">
        <f>_xlfn.XLOOKUP(CKadeaTelcoLogs_Reseau[[#This Row],[Cell_ID]],'CKadeaTelcoRegistre_Maintenance'!A:A,'CKadeaTelcoRegistre_Maintenance'!C:C,"Non repertorié")</f>
        <v>4.8265669999999998</v>
      </c>
      <c r="G759">
        <f>_xlfn.XLOOKUP(CKadeaTelcoLogs_Reseau[[#This Row],[Cell_ID]],'CKadeaTelcoRegistre_Maintenance'!A:A,'CKadeaTelcoRegistre_Maintenance'!D:D,"Non repertorié")</f>
        <v>28.535277000000001</v>
      </c>
      <c r="H759" t="str">
        <f>_xlfn.XLOOKUP(CKadeaTelcoLogs_Reseau[[#This Row],[Cell_ID]],'CKadeaTelcoRegistre_Maintenance'!A:A,'CKadeaTelcoRegistre_Maintenance'!E:E,"Non repertorié")</f>
        <v>3G</v>
      </c>
      <c r="I759" t="str">
        <f>_xlfn.XLOOKUP(CKadeaTelcoLogs_Reseau[[#This Row],[Cell_ID]],'CKadeaTelcoRegistre_Maintenance'!A:A,'CKadeaTelcoRegistre_Maintenance'!F:F,"Non repertorié")</f>
        <v>Huawei</v>
      </c>
    </row>
    <row r="760" spans="1:9" ht="20.5" customHeight="1" x14ac:dyDescent="0.35">
      <c r="A760" s="1">
        <v>45222.777777777781</v>
      </c>
      <c r="B760" s="5" t="s">
        <v>529</v>
      </c>
      <c r="C760">
        <v>102</v>
      </c>
      <c r="D760" t="s">
        <v>10</v>
      </c>
      <c r="E760" t="str">
        <f>_xlfn.XLOOKUP(CKadeaTelcoLogs_Reseau[[#This Row],[Cell_ID]],'CKadeaTelcoRegistre_Maintenance'!A:A,'CKadeaTelcoRegistre_Maintenance'!B:B,"Non repertorié")</f>
        <v>Haut-Lomami</v>
      </c>
      <c r="F760">
        <f>_xlfn.XLOOKUP(CKadeaTelcoLogs_Reseau[[#This Row],[Cell_ID]],'CKadeaTelcoRegistre_Maintenance'!A:A,'CKadeaTelcoRegistre_Maintenance'!C:C,"Non repertorié")</f>
        <v>-1.3938550000000001</v>
      </c>
      <c r="G760">
        <f>_xlfn.XLOOKUP(CKadeaTelcoLogs_Reseau[[#This Row],[Cell_ID]],'CKadeaTelcoRegistre_Maintenance'!A:A,'CKadeaTelcoRegistre_Maintenance'!D:D,"Non repertorié")</f>
        <v>15.097554000000001</v>
      </c>
      <c r="H760" t="str">
        <f>_xlfn.XLOOKUP(CKadeaTelcoLogs_Reseau[[#This Row],[Cell_ID]],'CKadeaTelcoRegistre_Maintenance'!A:A,'CKadeaTelcoRegistre_Maintenance'!E:E,"Non repertorié")</f>
        <v>4G</v>
      </c>
      <c r="I760" t="str">
        <f>_xlfn.XLOOKUP(CKadeaTelcoLogs_Reseau[[#This Row],[Cell_ID]],'CKadeaTelcoRegistre_Maintenance'!A:A,'CKadeaTelcoRegistre_Maintenance'!F:F,"Non repertorié")</f>
        <v>Huawei</v>
      </c>
    </row>
    <row r="761" spans="1:9" ht="20.5" customHeight="1" x14ac:dyDescent="0.35">
      <c r="A761" s="1">
        <v>45202.645138888889</v>
      </c>
      <c r="B761" s="5" t="s">
        <v>530</v>
      </c>
      <c r="C761">
        <v>106</v>
      </c>
      <c r="D761" t="s">
        <v>10</v>
      </c>
      <c r="E761" t="str">
        <f>_xlfn.XLOOKUP(CKadeaTelcoLogs_Reseau[[#This Row],[Cell_ID]],'CKadeaTelcoRegistre_Maintenance'!A:A,'CKadeaTelcoRegistre_Maintenance'!B:B,"Non repertorié")</f>
        <v>Kongo-Central</v>
      </c>
      <c r="F761">
        <f>_xlfn.XLOOKUP(CKadeaTelcoLogs_Reseau[[#This Row],[Cell_ID]],'CKadeaTelcoRegistre_Maintenance'!A:A,'CKadeaTelcoRegistre_Maintenance'!C:C,"Non repertorié")</f>
        <v>1.981107</v>
      </c>
      <c r="G761">
        <f>_xlfn.XLOOKUP(CKadeaTelcoLogs_Reseau[[#This Row],[Cell_ID]],'CKadeaTelcoRegistre_Maintenance'!A:A,'CKadeaTelcoRegistre_Maintenance'!D:D,"Non repertorié")</f>
        <v>23.932569000000001</v>
      </c>
      <c r="H761" t="str">
        <f>_xlfn.XLOOKUP(CKadeaTelcoLogs_Reseau[[#This Row],[Cell_ID]],'CKadeaTelcoRegistre_Maintenance'!A:A,'CKadeaTelcoRegistre_Maintenance'!E:E,"Non repertorié")</f>
        <v>3G</v>
      </c>
      <c r="I761" t="str">
        <f>_xlfn.XLOOKUP(CKadeaTelcoLogs_Reseau[[#This Row],[Cell_ID]],'CKadeaTelcoRegistre_Maintenance'!A:A,'CKadeaTelcoRegistre_Maintenance'!F:F,"Non repertorié")</f>
        <v>Nokia</v>
      </c>
    </row>
    <row r="762" spans="1:9" ht="20.5" customHeight="1" x14ac:dyDescent="0.35">
      <c r="A762" s="1">
        <v>45216.460416666669</v>
      </c>
      <c r="B762" s="5" t="s">
        <v>531</v>
      </c>
      <c r="C762">
        <v>36</v>
      </c>
      <c r="D762" t="s">
        <v>10</v>
      </c>
      <c r="E762" t="str">
        <f>_xlfn.XLOOKUP(CKadeaTelcoLogs_Reseau[[#This Row],[Cell_ID]],'CKadeaTelcoRegistre_Maintenance'!A:A,'CKadeaTelcoRegistre_Maintenance'!B:B,"Non repertorié")</f>
        <v>Nord-Kivu</v>
      </c>
      <c r="F762">
        <f>_xlfn.XLOOKUP(CKadeaTelcoLogs_Reseau[[#This Row],[Cell_ID]],'CKadeaTelcoRegistre_Maintenance'!A:A,'CKadeaTelcoRegistre_Maintenance'!C:C,"Non repertorié")</f>
        <v>-11.231472</v>
      </c>
      <c r="G762">
        <f>_xlfn.XLOOKUP(CKadeaTelcoLogs_Reseau[[#This Row],[Cell_ID]],'CKadeaTelcoRegistre_Maintenance'!A:A,'CKadeaTelcoRegistre_Maintenance'!D:D,"Non repertorié")</f>
        <v>25.388874000000001</v>
      </c>
      <c r="H762" t="str">
        <f>_xlfn.XLOOKUP(CKadeaTelcoLogs_Reseau[[#This Row],[Cell_ID]],'CKadeaTelcoRegistre_Maintenance'!A:A,'CKadeaTelcoRegistre_Maintenance'!E:E,"Non repertorié")</f>
        <v>4G</v>
      </c>
      <c r="I762" t="str">
        <f>_xlfn.XLOOKUP(CKadeaTelcoLogs_Reseau[[#This Row],[Cell_ID]],'CKadeaTelcoRegistre_Maintenance'!A:A,'CKadeaTelcoRegistre_Maintenance'!F:F,"Non repertorié")</f>
        <v>Huawei</v>
      </c>
    </row>
    <row r="763" spans="1:9" ht="20.5" customHeight="1" x14ac:dyDescent="0.35">
      <c r="A763" s="1">
        <v>45215.756944444445</v>
      </c>
      <c r="B763" s="5" t="s">
        <v>532</v>
      </c>
      <c r="C763">
        <v>24</v>
      </c>
      <c r="D763" t="s">
        <v>10</v>
      </c>
      <c r="E763" t="str">
        <f>_xlfn.XLOOKUP(CKadeaTelcoLogs_Reseau[[#This Row],[Cell_ID]],'CKadeaTelcoRegistre_Maintenance'!A:A,'CKadeaTelcoRegistre_Maintenance'!B:B,"Non repertorié")</f>
        <v>Non repertorié</v>
      </c>
      <c r="F763" t="str">
        <f>_xlfn.XLOOKUP(CKadeaTelcoLogs_Reseau[[#This Row],[Cell_ID]],'CKadeaTelcoRegistre_Maintenance'!A:A,'CKadeaTelcoRegistre_Maintenance'!C:C,"Non repertorié")</f>
        <v>Non repertorié</v>
      </c>
      <c r="G763" t="str">
        <f>_xlfn.XLOOKUP(CKadeaTelcoLogs_Reseau[[#This Row],[Cell_ID]],'CKadeaTelcoRegistre_Maintenance'!A:A,'CKadeaTelcoRegistre_Maintenance'!D:D,"Non repertorié")</f>
        <v>Non repertorié</v>
      </c>
      <c r="H763" t="str">
        <f>_xlfn.XLOOKUP(CKadeaTelcoLogs_Reseau[[#This Row],[Cell_ID]],'CKadeaTelcoRegistre_Maintenance'!A:A,'CKadeaTelcoRegistre_Maintenance'!E:E,"Non repertorié")</f>
        <v>Non repertorié</v>
      </c>
      <c r="I763" t="str">
        <f>_xlfn.XLOOKUP(CKadeaTelcoLogs_Reseau[[#This Row],[Cell_ID]],'CKadeaTelcoRegistre_Maintenance'!A:A,'CKadeaTelcoRegistre_Maintenance'!F:F,"Non repertorié")</f>
        <v>Non repertorié</v>
      </c>
    </row>
    <row r="764" spans="1:9" ht="20.5" customHeight="1" x14ac:dyDescent="0.35">
      <c r="A764" s="1">
        <v>45211.219444444447</v>
      </c>
      <c r="B764" s="5" t="s">
        <v>533</v>
      </c>
      <c r="C764">
        <v>5</v>
      </c>
      <c r="D764" t="s">
        <v>5</v>
      </c>
      <c r="E764" t="str">
        <f>_xlfn.XLOOKUP(CKadeaTelcoLogs_Reseau[[#This Row],[Cell_ID]],'CKadeaTelcoRegistre_Maintenance'!A:A,'CKadeaTelcoRegistre_Maintenance'!B:B,"Non repertorié")</f>
        <v>Nord-Kivu</v>
      </c>
      <c r="F764">
        <f>_xlfn.XLOOKUP(CKadeaTelcoLogs_Reseau[[#This Row],[Cell_ID]],'CKadeaTelcoRegistre_Maintenance'!A:A,'CKadeaTelcoRegistre_Maintenance'!C:C,"Non repertorié")</f>
        <v>-8.9586360000000003</v>
      </c>
      <c r="G764">
        <f>_xlfn.XLOOKUP(CKadeaTelcoLogs_Reseau[[#This Row],[Cell_ID]],'CKadeaTelcoRegistre_Maintenance'!A:A,'CKadeaTelcoRegistre_Maintenance'!D:D,"Non repertorié")</f>
        <v>17.157720000000001</v>
      </c>
      <c r="H764" t="str">
        <f>_xlfn.XLOOKUP(CKadeaTelcoLogs_Reseau[[#This Row],[Cell_ID]],'CKadeaTelcoRegistre_Maintenance'!A:A,'CKadeaTelcoRegistre_Maintenance'!E:E,"Non repertorié")</f>
        <v>3G</v>
      </c>
      <c r="I764" t="str">
        <f>_xlfn.XLOOKUP(CKadeaTelcoLogs_Reseau[[#This Row],[Cell_ID]],'CKadeaTelcoRegistre_Maintenance'!A:A,'CKadeaTelcoRegistre_Maintenance'!F:F,"Non repertorié")</f>
        <v>Nokia</v>
      </c>
    </row>
    <row r="765" spans="1:9" ht="20.5" customHeight="1" x14ac:dyDescent="0.35">
      <c r="A765" s="1">
        <v>45224.164583333331</v>
      </c>
      <c r="B765" s="5" t="s">
        <v>534</v>
      </c>
      <c r="C765">
        <v>57</v>
      </c>
      <c r="D765" t="s">
        <v>8</v>
      </c>
      <c r="E765" t="str">
        <f>_xlfn.XLOOKUP(CKadeaTelcoLogs_Reseau[[#This Row],[Cell_ID]],'CKadeaTelcoRegistre_Maintenance'!A:A,'CKadeaTelcoRegistre_Maintenance'!B:B,"Non repertorié")</f>
        <v>Non repertorié</v>
      </c>
      <c r="F765" t="str">
        <f>_xlfn.XLOOKUP(CKadeaTelcoLogs_Reseau[[#This Row],[Cell_ID]],'CKadeaTelcoRegistre_Maintenance'!A:A,'CKadeaTelcoRegistre_Maintenance'!C:C,"Non repertorié")</f>
        <v>Non repertorié</v>
      </c>
      <c r="G765" t="str">
        <f>_xlfn.XLOOKUP(CKadeaTelcoLogs_Reseau[[#This Row],[Cell_ID]],'CKadeaTelcoRegistre_Maintenance'!A:A,'CKadeaTelcoRegistre_Maintenance'!D:D,"Non repertorié")</f>
        <v>Non repertorié</v>
      </c>
      <c r="H765" t="str">
        <f>_xlfn.XLOOKUP(CKadeaTelcoLogs_Reseau[[#This Row],[Cell_ID]],'CKadeaTelcoRegistre_Maintenance'!A:A,'CKadeaTelcoRegistre_Maintenance'!E:E,"Non repertorié")</f>
        <v>Non repertorié</v>
      </c>
      <c r="I765" t="str">
        <f>_xlfn.XLOOKUP(CKadeaTelcoLogs_Reseau[[#This Row],[Cell_ID]],'CKadeaTelcoRegistre_Maintenance'!A:A,'CKadeaTelcoRegistre_Maintenance'!F:F,"Non repertorié")</f>
        <v>Non repertorié</v>
      </c>
    </row>
    <row r="766" spans="1:9" ht="20.5" customHeight="1" x14ac:dyDescent="0.35">
      <c r="A766" s="1">
        <v>45218.906944444447</v>
      </c>
      <c r="B766" s="5" t="s">
        <v>228</v>
      </c>
      <c r="C766">
        <v>8</v>
      </c>
      <c r="D766" t="s">
        <v>10</v>
      </c>
      <c r="E766" t="str">
        <f>_xlfn.XLOOKUP(CKadeaTelcoLogs_Reseau[[#This Row],[Cell_ID]],'CKadeaTelcoRegistre_Maintenance'!A:A,'CKadeaTelcoRegistre_Maintenance'!B:B,"Non repertorié")</f>
        <v>Non repertorié</v>
      </c>
      <c r="F766" t="str">
        <f>_xlfn.XLOOKUP(CKadeaTelcoLogs_Reseau[[#This Row],[Cell_ID]],'CKadeaTelcoRegistre_Maintenance'!A:A,'CKadeaTelcoRegistre_Maintenance'!C:C,"Non repertorié")</f>
        <v>Non repertorié</v>
      </c>
      <c r="G766" t="str">
        <f>_xlfn.XLOOKUP(CKadeaTelcoLogs_Reseau[[#This Row],[Cell_ID]],'CKadeaTelcoRegistre_Maintenance'!A:A,'CKadeaTelcoRegistre_Maintenance'!D:D,"Non repertorié")</f>
        <v>Non repertorié</v>
      </c>
      <c r="H766" t="str">
        <f>_xlfn.XLOOKUP(CKadeaTelcoLogs_Reseau[[#This Row],[Cell_ID]],'CKadeaTelcoRegistre_Maintenance'!A:A,'CKadeaTelcoRegistre_Maintenance'!E:E,"Non repertorié")</f>
        <v>Non repertorié</v>
      </c>
      <c r="I766" t="str">
        <f>_xlfn.XLOOKUP(CKadeaTelcoLogs_Reseau[[#This Row],[Cell_ID]],'CKadeaTelcoRegistre_Maintenance'!A:A,'CKadeaTelcoRegistre_Maintenance'!F:F,"Non repertorié")</f>
        <v>Non repertorié</v>
      </c>
    </row>
    <row r="767" spans="1:9" ht="20.5" customHeight="1" x14ac:dyDescent="0.35">
      <c r="A767" s="1">
        <v>45203.324305555558</v>
      </c>
      <c r="B767" s="5" t="s">
        <v>535</v>
      </c>
      <c r="C767">
        <v>34</v>
      </c>
      <c r="D767" t="s">
        <v>5</v>
      </c>
      <c r="E767" t="str">
        <f>_xlfn.XLOOKUP(CKadeaTelcoLogs_Reseau[[#This Row],[Cell_ID]],'CKadeaTelcoRegistre_Maintenance'!A:A,'CKadeaTelcoRegistre_Maintenance'!B:B,"Non repertorié")</f>
        <v>Non repertorié</v>
      </c>
      <c r="F767" t="str">
        <f>_xlfn.XLOOKUP(CKadeaTelcoLogs_Reseau[[#This Row],[Cell_ID]],'CKadeaTelcoRegistre_Maintenance'!A:A,'CKadeaTelcoRegistre_Maintenance'!C:C,"Non repertorié")</f>
        <v>Non repertorié</v>
      </c>
      <c r="G767" t="str">
        <f>_xlfn.XLOOKUP(CKadeaTelcoLogs_Reseau[[#This Row],[Cell_ID]],'CKadeaTelcoRegistre_Maintenance'!A:A,'CKadeaTelcoRegistre_Maintenance'!D:D,"Non repertorié")</f>
        <v>Non repertorié</v>
      </c>
      <c r="H767" t="str">
        <f>_xlfn.XLOOKUP(CKadeaTelcoLogs_Reseau[[#This Row],[Cell_ID]],'CKadeaTelcoRegistre_Maintenance'!A:A,'CKadeaTelcoRegistre_Maintenance'!E:E,"Non repertorié")</f>
        <v>Non repertorié</v>
      </c>
      <c r="I767" t="str">
        <f>_xlfn.XLOOKUP(CKadeaTelcoLogs_Reseau[[#This Row],[Cell_ID]],'CKadeaTelcoRegistre_Maintenance'!A:A,'CKadeaTelcoRegistre_Maintenance'!F:F,"Non repertorié")</f>
        <v>Non repertorié</v>
      </c>
    </row>
    <row r="768" spans="1:9" ht="20.5" customHeight="1" x14ac:dyDescent="0.35">
      <c r="A768" s="1">
        <v>45216.001388888886</v>
      </c>
      <c r="B768" s="5" t="s">
        <v>536</v>
      </c>
      <c r="C768">
        <v>74</v>
      </c>
      <c r="D768" t="s">
        <v>10</v>
      </c>
      <c r="E768" t="str">
        <f>_xlfn.XLOOKUP(CKadeaTelcoLogs_Reseau[[#This Row],[Cell_ID]],'CKadeaTelcoRegistre_Maintenance'!A:A,'CKadeaTelcoRegistre_Maintenance'!B:B,"Non repertorié")</f>
        <v>Non repertorié</v>
      </c>
      <c r="F768" t="str">
        <f>_xlfn.XLOOKUP(CKadeaTelcoLogs_Reseau[[#This Row],[Cell_ID]],'CKadeaTelcoRegistre_Maintenance'!A:A,'CKadeaTelcoRegistre_Maintenance'!C:C,"Non repertorié")</f>
        <v>Non repertorié</v>
      </c>
      <c r="G768" t="str">
        <f>_xlfn.XLOOKUP(CKadeaTelcoLogs_Reseau[[#This Row],[Cell_ID]],'CKadeaTelcoRegistre_Maintenance'!A:A,'CKadeaTelcoRegistre_Maintenance'!D:D,"Non repertorié")</f>
        <v>Non repertorié</v>
      </c>
      <c r="H768" t="str">
        <f>_xlfn.XLOOKUP(CKadeaTelcoLogs_Reseau[[#This Row],[Cell_ID]],'CKadeaTelcoRegistre_Maintenance'!A:A,'CKadeaTelcoRegistre_Maintenance'!E:E,"Non repertorié")</f>
        <v>Non repertorié</v>
      </c>
      <c r="I768" t="str">
        <f>_xlfn.XLOOKUP(CKadeaTelcoLogs_Reseau[[#This Row],[Cell_ID]],'CKadeaTelcoRegistre_Maintenance'!A:A,'CKadeaTelcoRegistre_Maintenance'!F:F,"Non repertorié")</f>
        <v>Non repertorié</v>
      </c>
    </row>
    <row r="769" spans="1:9" ht="20.5" customHeight="1" x14ac:dyDescent="0.35">
      <c r="A769" s="1">
        <v>45227.010416666664</v>
      </c>
      <c r="B769" s="5" t="s">
        <v>537</v>
      </c>
      <c r="C769">
        <v>49</v>
      </c>
      <c r="D769" t="s">
        <v>10</v>
      </c>
      <c r="E769" t="str">
        <f>_xlfn.XLOOKUP(CKadeaTelcoLogs_Reseau[[#This Row],[Cell_ID]],'CKadeaTelcoRegistre_Maintenance'!A:A,'CKadeaTelcoRegistre_Maintenance'!B:B,"Non repertorié")</f>
        <v>Non repertorié</v>
      </c>
      <c r="F769" t="str">
        <f>_xlfn.XLOOKUP(CKadeaTelcoLogs_Reseau[[#This Row],[Cell_ID]],'CKadeaTelcoRegistre_Maintenance'!A:A,'CKadeaTelcoRegistre_Maintenance'!C:C,"Non repertorié")</f>
        <v>Non repertorié</v>
      </c>
      <c r="G769" t="str">
        <f>_xlfn.XLOOKUP(CKadeaTelcoLogs_Reseau[[#This Row],[Cell_ID]],'CKadeaTelcoRegistre_Maintenance'!A:A,'CKadeaTelcoRegistre_Maintenance'!D:D,"Non repertorié")</f>
        <v>Non repertorié</v>
      </c>
      <c r="H769" t="str">
        <f>_xlfn.XLOOKUP(CKadeaTelcoLogs_Reseau[[#This Row],[Cell_ID]],'CKadeaTelcoRegistre_Maintenance'!A:A,'CKadeaTelcoRegistre_Maintenance'!E:E,"Non repertorié")</f>
        <v>Non repertorié</v>
      </c>
      <c r="I769" t="str">
        <f>_xlfn.XLOOKUP(CKadeaTelcoLogs_Reseau[[#This Row],[Cell_ID]],'CKadeaTelcoRegistre_Maintenance'!A:A,'CKadeaTelcoRegistre_Maintenance'!F:F,"Non repertorié")</f>
        <v>Non repertorié</v>
      </c>
    </row>
    <row r="770" spans="1:9" ht="20.5" customHeight="1" x14ac:dyDescent="0.35">
      <c r="A770" s="1">
        <v>45201.640972222223</v>
      </c>
      <c r="B770" s="5" t="s">
        <v>55</v>
      </c>
      <c r="C770">
        <v>86</v>
      </c>
      <c r="D770" t="s">
        <v>10</v>
      </c>
      <c r="E770" t="str">
        <f>_xlfn.XLOOKUP(CKadeaTelcoLogs_Reseau[[#This Row],[Cell_ID]],'CKadeaTelcoRegistre_Maintenance'!A:A,'CKadeaTelcoRegistre_Maintenance'!B:B,"Non repertorié")</f>
        <v>Non repertorié</v>
      </c>
      <c r="F770" t="str">
        <f>_xlfn.XLOOKUP(CKadeaTelcoLogs_Reseau[[#This Row],[Cell_ID]],'CKadeaTelcoRegistre_Maintenance'!A:A,'CKadeaTelcoRegistre_Maintenance'!C:C,"Non repertorié")</f>
        <v>Non repertorié</v>
      </c>
      <c r="G770" t="str">
        <f>_xlfn.XLOOKUP(CKadeaTelcoLogs_Reseau[[#This Row],[Cell_ID]],'CKadeaTelcoRegistre_Maintenance'!A:A,'CKadeaTelcoRegistre_Maintenance'!D:D,"Non repertorié")</f>
        <v>Non repertorié</v>
      </c>
      <c r="H770" t="str">
        <f>_xlfn.XLOOKUP(CKadeaTelcoLogs_Reseau[[#This Row],[Cell_ID]],'CKadeaTelcoRegistre_Maintenance'!A:A,'CKadeaTelcoRegistre_Maintenance'!E:E,"Non repertorié")</f>
        <v>Non repertorié</v>
      </c>
      <c r="I770" t="str">
        <f>_xlfn.XLOOKUP(CKadeaTelcoLogs_Reseau[[#This Row],[Cell_ID]],'CKadeaTelcoRegistre_Maintenance'!A:A,'CKadeaTelcoRegistre_Maintenance'!F:F,"Non repertorié")</f>
        <v>Non repertorié</v>
      </c>
    </row>
    <row r="771" spans="1:9" ht="20.5" customHeight="1" x14ac:dyDescent="0.35">
      <c r="A771" s="1">
        <v>45212.174305555556</v>
      </c>
      <c r="B771" s="5" t="s">
        <v>538</v>
      </c>
      <c r="C771">
        <v>112</v>
      </c>
      <c r="D771" t="s">
        <v>10</v>
      </c>
      <c r="E771" t="str">
        <f>_xlfn.XLOOKUP(CKadeaTelcoLogs_Reseau[[#This Row],[Cell_ID]],'CKadeaTelcoRegistre_Maintenance'!A:A,'CKadeaTelcoRegistre_Maintenance'!B:B,"Non repertorié")</f>
        <v>Non repertorié</v>
      </c>
      <c r="F771" t="str">
        <f>_xlfn.XLOOKUP(CKadeaTelcoLogs_Reseau[[#This Row],[Cell_ID]],'CKadeaTelcoRegistre_Maintenance'!A:A,'CKadeaTelcoRegistre_Maintenance'!C:C,"Non repertorié")</f>
        <v>Non repertorié</v>
      </c>
      <c r="G771" t="str">
        <f>_xlfn.XLOOKUP(CKadeaTelcoLogs_Reseau[[#This Row],[Cell_ID]],'CKadeaTelcoRegistre_Maintenance'!A:A,'CKadeaTelcoRegistre_Maintenance'!D:D,"Non repertorié")</f>
        <v>Non repertorié</v>
      </c>
      <c r="H771" t="str">
        <f>_xlfn.XLOOKUP(CKadeaTelcoLogs_Reseau[[#This Row],[Cell_ID]],'CKadeaTelcoRegistre_Maintenance'!A:A,'CKadeaTelcoRegistre_Maintenance'!E:E,"Non repertorié")</f>
        <v>Non repertorié</v>
      </c>
      <c r="I771" t="str">
        <f>_xlfn.XLOOKUP(CKadeaTelcoLogs_Reseau[[#This Row],[Cell_ID]],'CKadeaTelcoRegistre_Maintenance'!A:A,'CKadeaTelcoRegistre_Maintenance'!F:F,"Non repertorié")</f>
        <v>Non repertorié</v>
      </c>
    </row>
    <row r="772" spans="1:9" ht="20.5" customHeight="1" x14ac:dyDescent="0.35">
      <c r="A772" s="1">
        <v>45229.065972222219</v>
      </c>
      <c r="B772" s="5" t="s">
        <v>69</v>
      </c>
      <c r="C772">
        <v>93</v>
      </c>
      <c r="D772" t="s">
        <v>5</v>
      </c>
      <c r="E772" t="str">
        <f>_xlfn.XLOOKUP(CKadeaTelcoLogs_Reseau[[#This Row],[Cell_ID]],'CKadeaTelcoRegistre_Maintenance'!A:A,'CKadeaTelcoRegistre_Maintenance'!B:B,"Non repertorié")</f>
        <v>Nord-Kivu</v>
      </c>
      <c r="F772">
        <f>_xlfn.XLOOKUP(CKadeaTelcoLogs_Reseau[[#This Row],[Cell_ID]],'CKadeaTelcoRegistre_Maintenance'!A:A,'CKadeaTelcoRegistre_Maintenance'!C:C,"Non repertorié")</f>
        <v>0.82868600000000003</v>
      </c>
      <c r="G772">
        <f>_xlfn.XLOOKUP(CKadeaTelcoLogs_Reseau[[#This Row],[Cell_ID]],'CKadeaTelcoRegistre_Maintenance'!A:A,'CKadeaTelcoRegistre_Maintenance'!D:D,"Non repertorié")</f>
        <v>26.958843999999999</v>
      </c>
      <c r="H772" t="str">
        <f>_xlfn.XLOOKUP(CKadeaTelcoLogs_Reseau[[#This Row],[Cell_ID]],'CKadeaTelcoRegistre_Maintenance'!A:A,'CKadeaTelcoRegistre_Maintenance'!E:E,"Non repertorié")</f>
        <v>5G</v>
      </c>
      <c r="I772" t="str">
        <f>_xlfn.XLOOKUP(CKadeaTelcoLogs_Reseau[[#This Row],[Cell_ID]],'CKadeaTelcoRegistre_Maintenance'!A:A,'CKadeaTelcoRegistre_Maintenance'!F:F,"Non repertorié")</f>
        <v>ZTE</v>
      </c>
    </row>
    <row r="773" spans="1:9" ht="20.5" customHeight="1" x14ac:dyDescent="0.35">
      <c r="A773" s="1">
        <v>45225.949305555558</v>
      </c>
      <c r="B773" s="5" t="s">
        <v>539</v>
      </c>
      <c r="C773">
        <v>117</v>
      </c>
      <c r="D773" t="s">
        <v>5</v>
      </c>
      <c r="E773" t="str">
        <f>_xlfn.XLOOKUP(CKadeaTelcoLogs_Reseau[[#This Row],[Cell_ID]],'CKadeaTelcoRegistre_Maintenance'!A:A,'CKadeaTelcoRegistre_Maintenance'!B:B,"Non repertorié")</f>
        <v>Non repertorié</v>
      </c>
      <c r="F773" t="str">
        <f>_xlfn.XLOOKUP(CKadeaTelcoLogs_Reseau[[#This Row],[Cell_ID]],'CKadeaTelcoRegistre_Maintenance'!A:A,'CKadeaTelcoRegistre_Maintenance'!C:C,"Non repertorié")</f>
        <v>Non repertorié</v>
      </c>
      <c r="G773" t="str">
        <f>_xlfn.XLOOKUP(CKadeaTelcoLogs_Reseau[[#This Row],[Cell_ID]],'CKadeaTelcoRegistre_Maintenance'!A:A,'CKadeaTelcoRegistre_Maintenance'!D:D,"Non repertorié")</f>
        <v>Non repertorié</v>
      </c>
      <c r="H773" t="str">
        <f>_xlfn.XLOOKUP(CKadeaTelcoLogs_Reseau[[#This Row],[Cell_ID]],'CKadeaTelcoRegistre_Maintenance'!A:A,'CKadeaTelcoRegistre_Maintenance'!E:E,"Non repertorié")</f>
        <v>Non repertorié</v>
      </c>
      <c r="I773" t="str">
        <f>_xlfn.XLOOKUP(CKadeaTelcoLogs_Reseau[[#This Row],[Cell_ID]],'CKadeaTelcoRegistre_Maintenance'!A:A,'CKadeaTelcoRegistre_Maintenance'!F:F,"Non repertorié")</f>
        <v>Non repertorié</v>
      </c>
    </row>
    <row r="774" spans="1:9" ht="20.5" customHeight="1" x14ac:dyDescent="0.35">
      <c r="A774" s="1">
        <v>45220.551388888889</v>
      </c>
      <c r="B774" s="5" t="s">
        <v>540</v>
      </c>
      <c r="C774">
        <v>6</v>
      </c>
      <c r="D774" t="s">
        <v>5</v>
      </c>
      <c r="E774" t="str">
        <f>_xlfn.XLOOKUP(CKadeaTelcoLogs_Reseau[[#This Row],[Cell_ID]],'CKadeaTelcoRegistre_Maintenance'!A:A,'CKadeaTelcoRegistre_Maintenance'!B:B,"Non repertorié")</f>
        <v>Non repertorié</v>
      </c>
      <c r="F774" t="str">
        <f>_xlfn.XLOOKUP(CKadeaTelcoLogs_Reseau[[#This Row],[Cell_ID]],'CKadeaTelcoRegistre_Maintenance'!A:A,'CKadeaTelcoRegistre_Maintenance'!C:C,"Non repertorié")</f>
        <v>Non repertorié</v>
      </c>
      <c r="G774" t="str">
        <f>_xlfn.XLOOKUP(CKadeaTelcoLogs_Reseau[[#This Row],[Cell_ID]],'CKadeaTelcoRegistre_Maintenance'!A:A,'CKadeaTelcoRegistre_Maintenance'!D:D,"Non repertorié")</f>
        <v>Non repertorié</v>
      </c>
      <c r="H774" t="str">
        <f>_xlfn.XLOOKUP(CKadeaTelcoLogs_Reseau[[#This Row],[Cell_ID]],'CKadeaTelcoRegistre_Maintenance'!A:A,'CKadeaTelcoRegistre_Maintenance'!E:E,"Non repertorié")</f>
        <v>Non repertorié</v>
      </c>
      <c r="I774" t="str">
        <f>_xlfn.XLOOKUP(CKadeaTelcoLogs_Reseau[[#This Row],[Cell_ID]],'CKadeaTelcoRegistre_Maintenance'!A:A,'CKadeaTelcoRegistre_Maintenance'!F:F,"Non repertorié")</f>
        <v>Non repertorié</v>
      </c>
    </row>
    <row r="775" spans="1:9" ht="20.5" customHeight="1" x14ac:dyDescent="0.35">
      <c r="A775" s="1">
        <v>45210.30972222222</v>
      </c>
      <c r="B775" s="5" t="s">
        <v>334</v>
      </c>
      <c r="C775">
        <v>47</v>
      </c>
      <c r="D775" t="s">
        <v>8</v>
      </c>
      <c r="E775" t="str">
        <f>_xlfn.XLOOKUP(CKadeaTelcoLogs_Reseau[[#This Row],[Cell_ID]],'CKadeaTelcoRegistre_Maintenance'!A:A,'CKadeaTelcoRegistre_Maintenance'!B:B,"Non repertorié")</f>
        <v>Non repertorié</v>
      </c>
      <c r="F775" t="str">
        <f>_xlfn.XLOOKUP(CKadeaTelcoLogs_Reseau[[#This Row],[Cell_ID]],'CKadeaTelcoRegistre_Maintenance'!A:A,'CKadeaTelcoRegistre_Maintenance'!C:C,"Non repertorié")</f>
        <v>Non repertorié</v>
      </c>
      <c r="G775" t="str">
        <f>_xlfn.XLOOKUP(CKadeaTelcoLogs_Reseau[[#This Row],[Cell_ID]],'CKadeaTelcoRegistre_Maintenance'!A:A,'CKadeaTelcoRegistre_Maintenance'!D:D,"Non repertorié")</f>
        <v>Non repertorié</v>
      </c>
      <c r="H775" t="str">
        <f>_xlfn.XLOOKUP(CKadeaTelcoLogs_Reseau[[#This Row],[Cell_ID]],'CKadeaTelcoRegistre_Maintenance'!A:A,'CKadeaTelcoRegistre_Maintenance'!E:E,"Non repertorié")</f>
        <v>Non repertorié</v>
      </c>
      <c r="I775" t="str">
        <f>_xlfn.XLOOKUP(CKadeaTelcoLogs_Reseau[[#This Row],[Cell_ID]],'CKadeaTelcoRegistre_Maintenance'!A:A,'CKadeaTelcoRegistre_Maintenance'!F:F,"Non repertorié")</f>
        <v>Non repertorié</v>
      </c>
    </row>
    <row r="776" spans="1:9" ht="20.5" customHeight="1" x14ac:dyDescent="0.35">
      <c r="A776" s="1">
        <v>45229.972222222219</v>
      </c>
      <c r="B776" s="5" t="s">
        <v>462</v>
      </c>
      <c r="C776">
        <v>5</v>
      </c>
      <c r="D776" t="s">
        <v>10</v>
      </c>
      <c r="E776" t="str">
        <f>_xlfn.XLOOKUP(CKadeaTelcoLogs_Reseau[[#This Row],[Cell_ID]],'CKadeaTelcoRegistre_Maintenance'!A:A,'CKadeaTelcoRegistre_Maintenance'!B:B,"Non repertorié")</f>
        <v>Nord-Ubangi</v>
      </c>
      <c r="F776">
        <f>_xlfn.XLOOKUP(CKadeaTelcoLogs_Reseau[[#This Row],[Cell_ID]],'CKadeaTelcoRegistre_Maintenance'!A:A,'CKadeaTelcoRegistre_Maintenance'!C:C,"Non repertorié")</f>
        <v>-8.4985189999999999</v>
      </c>
      <c r="G776">
        <f>_xlfn.XLOOKUP(CKadeaTelcoLogs_Reseau[[#This Row],[Cell_ID]],'CKadeaTelcoRegistre_Maintenance'!A:A,'CKadeaTelcoRegistre_Maintenance'!D:D,"Non repertorié")</f>
        <v>12.929456999999999</v>
      </c>
      <c r="H776" t="str">
        <f>_xlfn.XLOOKUP(CKadeaTelcoLogs_Reseau[[#This Row],[Cell_ID]],'CKadeaTelcoRegistre_Maintenance'!A:A,'CKadeaTelcoRegistre_Maintenance'!E:E,"Non repertorié")</f>
        <v>4G</v>
      </c>
      <c r="I776" t="str">
        <f>_xlfn.XLOOKUP(CKadeaTelcoLogs_Reseau[[#This Row],[Cell_ID]],'CKadeaTelcoRegistre_Maintenance'!A:A,'CKadeaTelcoRegistre_Maintenance'!F:F,"Non repertorié")</f>
        <v>Ericsson</v>
      </c>
    </row>
    <row r="777" spans="1:9" ht="20.5" customHeight="1" x14ac:dyDescent="0.35">
      <c r="A777" s="1">
        <v>45208.10833333333</v>
      </c>
      <c r="B777" s="5" t="s">
        <v>541</v>
      </c>
      <c r="C777">
        <v>102</v>
      </c>
      <c r="D777" t="s">
        <v>8</v>
      </c>
      <c r="E777" t="str">
        <f>_xlfn.XLOOKUP(CKadeaTelcoLogs_Reseau[[#This Row],[Cell_ID]],'CKadeaTelcoRegistre_Maintenance'!A:A,'CKadeaTelcoRegistre_Maintenance'!B:B,"Non repertorié")</f>
        <v>Sud-Kivu</v>
      </c>
      <c r="F777">
        <f>_xlfn.XLOOKUP(CKadeaTelcoLogs_Reseau[[#This Row],[Cell_ID]],'CKadeaTelcoRegistre_Maintenance'!A:A,'CKadeaTelcoRegistre_Maintenance'!C:C,"Non repertorié")</f>
        <v>-1.4700059999999999</v>
      </c>
      <c r="G777">
        <f>_xlfn.XLOOKUP(CKadeaTelcoLogs_Reseau[[#This Row],[Cell_ID]],'CKadeaTelcoRegistre_Maintenance'!A:A,'CKadeaTelcoRegistre_Maintenance'!D:D,"Non repertorié")</f>
        <v>18.680958</v>
      </c>
      <c r="H777" t="str">
        <f>_xlfn.XLOOKUP(CKadeaTelcoLogs_Reseau[[#This Row],[Cell_ID]],'CKadeaTelcoRegistre_Maintenance'!A:A,'CKadeaTelcoRegistre_Maintenance'!E:E,"Non repertorié")</f>
        <v>3G</v>
      </c>
      <c r="I777" t="str">
        <f>_xlfn.XLOOKUP(CKadeaTelcoLogs_Reseau[[#This Row],[Cell_ID]],'CKadeaTelcoRegistre_Maintenance'!A:A,'CKadeaTelcoRegistre_Maintenance'!F:F,"Non repertorié")</f>
        <v>Huawei</v>
      </c>
    </row>
    <row r="778" spans="1:9" ht="20.5" customHeight="1" x14ac:dyDescent="0.35">
      <c r="A778" s="1">
        <v>45211.147222222222</v>
      </c>
      <c r="B778" s="5" t="s">
        <v>542</v>
      </c>
      <c r="C778">
        <v>89</v>
      </c>
      <c r="D778" t="s">
        <v>8</v>
      </c>
      <c r="E778" t="str">
        <f>_xlfn.XLOOKUP(CKadeaTelcoLogs_Reseau[[#This Row],[Cell_ID]],'CKadeaTelcoRegistre_Maintenance'!A:A,'CKadeaTelcoRegistre_Maintenance'!B:B,"Non repertorié")</f>
        <v>Non repertorié</v>
      </c>
      <c r="F778" t="str">
        <f>_xlfn.XLOOKUP(CKadeaTelcoLogs_Reseau[[#This Row],[Cell_ID]],'CKadeaTelcoRegistre_Maintenance'!A:A,'CKadeaTelcoRegistre_Maintenance'!C:C,"Non repertorié")</f>
        <v>Non repertorié</v>
      </c>
      <c r="G778" t="str">
        <f>_xlfn.XLOOKUP(CKadeaTelcoLogs_Reseau[[#This Row],[Cell_ID]],'CKadeaTelcoRegistre_Maintenance'!A:A,'CKadeaTelcoRegistre_Maintenance'!D:D,"Non repertorié")</f>
        <v>Non repertorié</v>
      </c>
      <c r="H778" t="str">
        <f>_xlfn.XLOOKUP(CKadeaTelcoLogs_Reseau[[#This Row],[Cell_ID]],'CKadeaTelcoRegistre_Maintenance'!A:A,'CKadeaTelcoRegistre_Maintenance'!E:E,"Non repertorié")</f>
        <v>Non repertorié</v>
      </c>
      <c r="I778" t="str">
        <f>_xlfn.XLOOKUP(CKadeaTelcoLogs_Reseau[[#This Row],[Cell_ID]],'CKadeaTelcoRegistre_Maintenance'!A:A,'CKadeaTelcoRegistre_Maintenance'!F:F,"Non repertorié")</f>
        <v>Non repertorié</v>
      </c>
    </row>
    <row r="779" spans="1:9" ht="20.5" customHeight="1" x14ac:dyDescent="0.35">
      <c r="A779" s="1">
        <v>45221.049305555556</v>
      </c>
      <c r="B779" s="5" t="s">
        <v>331</v>
      </c>
      <c r="C779">
        <v>53</v>
      </c>
      <c r="D779" t="s">
        <v>8</v>
      </c>
      <c r="E779" t="str">
        <f>_xlfn.XLOOKUP(CKadeaTelcoLogs_Reseau[[#This Row],[Cell_ID]],'CKadeaTelcoRegistre_Maintenance'!A:A,'CKadeaTelcoRegistre_Maintenance'!B:B,"Non repertorié")</f>
        <v>Lualaba</v>
      </c>
      <c r="F779">
        <f>_xlfn.XLOOKUP(CKadeaTelcoLogs_Reseau[[#This Row],[Cell_ID]],'CKadeaTelcoRegistre_Maintenance'!A:A,'CKadeaTelcoRegistre_Maintenance'!C:C,"Non repertorié")</f>
        <v>1.286548</v>
      </c>
      <c r="G779">
        <f>_xlfn.XLOOKUP(CKadeaTelcoLogs_Reseau[[#This Row],[Cell_ID]],'CKadeaTelcoRegistre_Maintenance'!A:A,'CKadeaTelcoRegistre_Maintenance'!D:D,"Non repertorié")</f>
        <v>29.823702999999998</v>
      </c>
      <c r="H779" t="str">
        <f>_xlfn.XLOOKUP(CKadeaTelcoLogs_Reseau[[#This Row],[Cell_ID]],'CKadeaTelcoRegistre_Maintenance'!A:A,'CKadeaTelcoRegistre_Maintenance'!E:E,"Non repertorié")</f>
        <v>4G</v>
      </c>
      <c r="I779" t="str">
        <f>_xlfn.XLOOKUP(CKadeaTelcoLogs_Reseau[[#This Row],[Cell_ID]],'CKadeaTelcoRegistre_Maintenance'!A:A,'CKadeaTelcoRegistre_Maintenance'!F:F,"Non repertorié")</f>
        <v>ZTE</v>
      </c>
    </row>
    <row r="780" spans="1:9" ht="20.5" customHeight="1" x14ac:dyDescent="0.35">
      <c r="A780" s="1">
        <v>45207.668055555558</v>
      </c>
      <c r="B780" s="5" t="s">
        <v>543</v>
      </c>
      <c r="C780">
        <v>113</v>
      </c>
      <c r="D780" t="s">
        <v>5</v>
      </c>
      <c r="E780" t="str">
        <f>_xlfn.XLOOKUP(CKadeaTelcoLogs_Reseau[[#This Row],[Cell_ID]],'CKadeaTelcoRegistre_Maintenance'!A:A,'CKadeaTelcoRegistre_Maintenance'!B:B,"Non repertorié")</f>
        <v>Kongo-Central</v>
      </c>
      <c r="F780">
        <f>_xlfn.XLOOKUP(CKadeaTelcoLogs_Reseau[[#This Row],[Cell_ID]],'CKadeaTelcoRegistre_Maintenance'!A:A,'CKadeaTelcoRegistre_Maintenance'!C:C,"Non repertorié")</f>
        <v>-7.1587569999999996</v>
      </c>
      <c r="G780">
        <f>_xlfn.XLOOKUP(CKadeaTelcoLogs_Reseau[[#This Row],[Cell_ID]],'CKadeaTelcoRegistre_Maintenance'!A:A,'CKadeaTelcoRegistre_Maintenance'!D:D,"Non repertorié")</f>
        <v>18.975141000000001</v>
      </c>
      <c r="H780" t="str">
        <f>_xlfn.XLOOKUP(CKadeaTelcoLogs_Reseau[[#This Row],[Cell_ID]],'CKadeaTelcoRegistre_Maintenance'!A:A,'CKadeaTelcoRegistre_Maintenance'!E:E,"Non repertorié")</f>
        <v>5G</v>
      </c>
      <c r="I780" t="str">
        <f>_xlfn.XLOOKUP(CKadeaTelcoLogs_Reseau[[#This Row],[Cell_ID]],'CKadeaTelcoRegistre_Maintenance'!A:A,'CKadeaTelcoRegistre_Maintenance'!F:F,"Non repertorié")</f>
        <v>Ericsson</v>
      </c>
    </row>
    <row r="781" spans="1:9" ht="20.5" customHeight="1" x14ac:dyDescent="0.35">
      <c r="A781" s="1">
        <v>45230.50277777778</v>
      </c>
      <c r="B781" s="5" t="s">
        <v>388</v>
      </c>
      <c r="C781">
        <v>99</v>
      </c>
      <c r="D781" t="s">
        <v>5</v>
      </c>
      <c r="E781" t="str">
        <f>_xlfn.XLOOKUP(CKadeaTelcoLogs_Reseau[[#This Row],[Cell_ID]],'CKadeaTelcoRegistre_Maintenance'!A:A,'CKadeaTelcoRegistre_Maintenance'!B:B,"Non repertorié")</f>
        <v>Equateur</v>
      </c>
      <c r="F781">
        <f>_xlfn.XLOOKUP(CKadeaTelcoLogs_Reseau[[#This Row],[Cell_ID]],'CKadeaTelcoRegistre_Maintenance'!A:A,'CKadeaTelcoRegistre_Maintenance'!C:C,"Non repertorié")</f>
        <v>-5.7200150000000001</v>
      </c>
      <c r="G781">
        <f>_xlfn.XLOOKUP(CKadeaTelcoLogs_Reseau[[#This Row],[Cell_ID]],'CKadeaTelcoRegistre_Maintenance'!A:A,'CKadeaTelcoRegistre_Maintenance'!D:D,"Non repertorié")</f>
        <v>25.022109</v>
      </c>
      <c r="H781" t="str">
        <f>_xlfn.XLOOKUP(CKadeaTelcoLogs_Reseau[[#This Row],[Cell_ID]],'CKadeaTelcoRegistre_Maintenance'!A:A,'CKadeaTelcoRegistre_Maintenance'!E:E,"Non repertorié")</f>
        <v>5G</v>
      </c>
      <c r="I781" t="str">
        <f>_xlfn.XLOOKUP(CKadeaTelcoLogs_Reseau[[#This Row],[Cell_ID]],'CKadeaTelcoRegistre_Maintenance'!A:A,'CKadeaTelcoRegistre_Maintenance'!F:F,"Non repertorié")</f>
        <v>ZTE</v>
      </c>
    </row>
    <row r="782" spans="1:9" ht="20.5" customHeight="1" x14ac:dyDescent="0.35">
      <c r="A782" s="1">
        <v>45228.621527777781</v>
      </c>
      <c r="B782" s="5" t="s">
        <v>68</v>
      </c>
      <c r="C782">
        <v>98</v>
      </c>
      <c r="D782" t="s">
        <v>10</v>
      </c>
      <c r="E782" t="str">
        <f>_xlfn.XLOOKUP(CKadeaTelcoLogs_Reseau[[#This Row],[Cell_ID]],'CKadeaTelcoRegistre_Maintenance'!A:A,'CKadeaTelcoRegistre_Maintenance'!B:B,"Non repertorié")</f>
        <v>Kwango</v>
      </c>
      <c r="F782">
        <f>_xlfn.XLOOKUP(CKadeaTelcoLogs_Reseau[[#This Row],[Cell_ID]],'CKadeaTelcoRegistre_Maintenance'!A:A,'CKadeaTelcoRegistre_Maintenance'!C:C,"Non repertorié")</f>
        <v>-10.963041</v>
      </c>
      <c r="G782">
        <f>_xlfn.XLOOKUP(CKadeaTelcoLogs_Reseau[[#This Row],[Cell_ID]],'CKadeaTelcoRegistre_Maintenance'!A:A,'CKadeaTelcoRegistre_Maintenance'!D:D,"Non repertorié")</f>
        <v>12.269857</v>
      </c>
      <c r="H782" t="str">
        <f>_xlfn.XLOOKUP(CKadeaTelcoLogs_Reseau[[#This Row],[Cell_ID]],'CKadeaTelcoRegistre_Maintenance'!A:A,'CKadeaTelcoRegistre_Maintenance'!E:E,"Non repertorié")</f>
        <v>4G</v>
      </c>
      <c r="I782" t="str">
        <f>_xlfn.XLOOKUP(CKadeaTelcoLogs_Reseau[[#This Row],[Cell_ID]],'CKadeaTelcoRegistre_Maintenance'!A:A,'CKadeaTelcoRegistre_Maintenance'!F:F,"Non repertorié")</f>
        <v>Huawei</v>
      </c>
    </row>
    <row r="783" spans="1:9" ht="20.5" customHeight="1" x14ac:dyDescent="0.35">
      <c r="A783" s="1">
        <v>45209.388888888891</v>
      </c>
      <c r="B783" s="5" t="s">
        <v>544</v>
      </c>
      <c r="C783">
        <v>44</v>
      </c>
      <c r="D783" t="s">
        <v>5</v>
      </c>
      <c r="E783" t="str">
        <f>_xlfn.XLOOKUP(CKadeaTelcoLogs_Reseau[[#This Row],[Cell_ID]],'CKadeaTelcoRegistre_Maintenance'!A:A,'CKadeaTelcoRegistre_Maintenance'!B:B,"Non repertorié")</f>
        <v>Non repertorié</v>
      </c>
      <c r="F783" t="str">
        <f>_xlfn.XLOOKUP(CKadeaTelcoLogs_Reseau[[#This Row],[Cell_ID]],'CKadeaTelcoRegistre_Maintenance'!A:A,'CKadeaTelcoRegistre_Maintenance'!C:C,"Non repertorié")</f>
        <v>Non repertorié</v>
      </c>
      <c r="G783" t="str">
        <f>_xlfn.XLOOKUP(CKadeaTelcoLogs_Reseau[[#This Row],[Cell_ID]],'CKadeaTelcoRegistre_Maintenance'!A:A,'CKadeaTelcoRegistre_Maintenance'!D:D,"Non repertorié")</f>
        <v>Non repertorié</v>
      </c>
      <c r="H783" t="str">
        <f>_xlfn.XLOOKUP(CKadeaTelcoLogs_Reseau[[#This Row],[Cell_ID]],'CKadeaTelcoRegistre_Maintenance'!A:A,'CKadeaTelcoRegistre_Maintenance'!E:E,"Non repertorié")</f>
        <v>Non repertorié</v>
      </c>
      <c r="I783" t="str">
        <f>_xlfn.XLOOKUP(CKadeaTelcoLogs_Reseau[[#This Row],[Cell_ID]],'CKadeaTelcoRegistre_Maintenance'!A:A,'CKadeaTelcoRegistre_Maintenance'!F:F,"Non repertorié")</f>
        <v>Non repertorié</v>
      </c>
    </row>
    <row r="784" spans="1:9" ht="20.5" customHeight="1" x14ac:dyDescent="0.35">
      <c r="A784" s="1">
        <v>45202.728472222225</v>
      </c>
      <c r="B784" s="5" t="s">
        <v>472</v>
      </c>
      <c r="C784">
        <v>18</v>
      </c>
      <c r="D784" t="s">
        <v>5</v>
      </c>
      <c r="E784" t="str">
        <f>_xlfn.XLOOKUP(CKadeaTelcoLogs_Reseau[[#This Row],[Cell_ID]],'CKadeaTelcoRegistre_Maintenance'!A:A,'CKadeaTelcoRegistre_Maintenance'!B:B,"Non repertorié")</f>
        <v>Non repertorié</v>
      </c>
      <c r="F784" t="str">
        <f>_xlfn.XLOOKUP(CKadeaTelcoLogs_Reseau[[#This Row],[Cell_ID]],'CKadeaTelcoRegistre_Maintenance'!A:A,'CKadeaTelcoRegistre_Maintenance'!C:C,"Non repertorié")</f>
        <v>Non repertorié</v>
      </c>
      <c r="G784" t="str">
        <f>_xlfn.XLOOKUP(CKadeaTelcoLogs_Reseau[[#This Row],[Cell_ID]],'CKadeaTelcoRegistre_Maintenance'!A:A,'CKadeaTelcoRegistre_Maintenance'!D:D,"Non repertorié")</f>
        <v>Non repertorié</v>
      </c>
      <c r="H784" t="str">
        <f>_xlfn.XLOOKUP(CKadeaTelcoLogs_Reseau[[#This Row],[Cell_ID]],'CKadeaTelcoRegistre_Maintenance'!A:A,'CKadeaTelcoRegistre_Maintenance'!E:E,"Non repertorié")</f>
        <v>Non repertorié</v>
      </c>
      <c r="I784" t="str">
        <f>_xlfn.XLOOKUP(CKadeaTelcoLogs_Reseau[[#This Row],[Cell_ID]],'CKadeaTelcoRegistre_Maintenance'!A:A,'CKadeaTelcoRegistre_Maintenance'!F:F,"Non repertorié")</f>
        <v>Non repertorié</v>
      </c>
    </row>
    <row r="785" spans="1:9" ht="20.5" customHeight="1" x14ac:dyDescent="0.35">
      <c r="A785" s="1">
        <v>45200.466666666667</v>
      </c>
      <c r="B785" s="5" t="s">
        <v>545</v>
      </c>
      <c r="C785">
        <v>31</v>
      </c>
      <c r="D785" t="s">
        <v>8</v>
      </c>
      <c r="E785" t="str">
        <f>_xlfn.XLOOKUP(CKadeaTelcoLogs_Reseau[[#This Row],[Cell_ID]],'CKadeaTelcoRegistre_Maintenance'!A:A,'CKadeaTelcoRegistre_Maintenance'!B:B,"Non repertorié")</f>
        <v>Lomami</v>
      </c>
      <c r="F785">
        <f>_xlfn.XLOOKUP(CKadeaTelcoLogs_Reseau[[#This Row],[Cell_ID]],'CKadeaTelcoRegistre_Maintenance'!A:A,'CKadeaTelcoRegistre_Maintenance'!C:C,"Non repertorié")</f>
        <v>-9.5619429999999994</v>
      </c>
      <c r="G785">
        <f>_xlfn.XLOOKUP(CKadeaTelcoLogs_Reseau[[#This Row],[Cell_ID]],'CKadeaTelcoRegistre_Maintenance'!A:A,'CKadeaTelcoRegistre_Maintenance'!D:D,"Non repertorié")</f>
        <v>21.445726000000001</v>
      </c>
      <c r="H785" t="str">
        <f>_xlfn.XLOOKUP(CKadeaTelcoLogs_Reseau[[#This Row],[Cell_ID]],'CKadeaTelcoRegistre_Maintenance'!A:A,'CKadeaTelcoRegistre_Maintenance'!E:E,"Non repertorié")</f>
        <v>4G</v>
      </c>
      <c r="I785" t="str">
        <f>_xlfn.XLOOKUP(CKadeaTelcoLogs_Reseau[[#This Row],[Cell_ID]],'CKadeaTelcoRegistre_Maintenance'!A:A,'CKadeaTelcoRegistre_Maintenance'!F:F,"Non repertorié")</f>
        <v>Nokia</v>
      </c>
    </row>
    <row r="786" spans="1:9" ht="20.5" customHeight="1" x14ac:dyDescent="0.35">
      <c r="A786" s="1">
        <v>45226.209027777775</v>
      </c>
      <c r="B786" s="5" t="s">
        <v>462</v>
      </c>
      <c r="C786">
        <v>81</v>
      </c>
      <c r="D786" t="s">
        <v>10</v>
      </c>
      <c r="E786" t="str">
        <f>_xlfn.XLOOKUP(CKadeaTelcoLogs_Reseau[[#This Row],[Cell_ID]],'CKadeaTelcoRegistre_Maintenance'!A:A,'CKadeaTelcoRegistre_Maintenance'!B:B,"Non repertorié")</f>
        <v>Nord-Ubangi</v>
      </c>
      <c r="F786">
        <f>_xlfn.XLOOKUP(CKadeaTelcoLogs_Reseau[[#This Row],[Cell_ID]],'CKadeaTelcoRegistre_Maintenance'!A:A,'CKadeaTelcoRegistre_Maintenance'!C:C,"Non repertorié")</f>
        <v>-8.4985189999999999</v>
      </c>
      <c r="G786">
        <f>_xlfn.XLOOKUP(CKadeaTelcoLogs_Reseau[[#This Row],[Cell_ID]],'CKadeaTelcoRegistre_Maintenance'!A:A,'CKadeaTelcoRegistre_Maintenance'!D:D,"Non repertorié")</f>
        <v>12.929456999999999</v>
      </c>
      <c r="H786" t="str">
        <f>_xlfn.XLOOKUP(CKadeaTelcoLogs_Reseau[[#This Row],[Cell_ID]],'CKadeaTelcoRegistre_Maintenance'!A:A,'CKadeaTelcoRegistre_Maintenance'!E:E,"Non repertorié")</f>
        <v>4G</v>
      </c>
      <c r="I786" t="str">
        <f>_xlfn.XLOOKUP(CKadeaTelcoLogs_Reseau[[#This Row],[Cell_ID]],'CKadeaTelcoRegistre_Maintenance'!A:A,'CKadeaTelcoRegistre_Maintenance'!F:F,"Non repertorié")</f>
        <v>Ericsson</v>
      </c>
    </row>
    <row r="787" spans="1:9" ht="20.5" customHeight="1" x14ac:dyDescent="0.35">
      <c r="A787" s="1">
        <v>45230.537499999999</v>
      </c>
      <c r="B787" s="5" t="s">
        <v>546</v>
      </c>
      <c r="C787">
        <v>33</v>
      </c>
      <c r="D787" t="s">
        <v>8</v>
      </c>
      <c r="E787" t="str">
        <f>_xlfn.XLOOKUP(CKadeaTelcoLogs_Reseau[[#This Row],[Cell_ID]],'CKadeaTelcoRegistre_Maintenance'!A:A,'CKadeaTelcoRegistre_Maintenance'!B:B,"Non repertorié")</f>
        <v>Non repertorié</v>
      </c>
      <c r="F787" t="str">
        <f>_xlfn.XLOOKUP(CKadeaTelcoLogs_Reseau[[#This Row],[Cell_ID]],'CKadeaTelcoRegistre_Maintenance'!A:A,'CKadeaTelcoRegistre_Maintenance'!C:C,"Non repertorié")</f>
        <v>Non repertorié</v>
      </c>
      <c r="G787" t="str">
        <f>_xlfn.XLOOKUP(CKadeaTelcoLogs_Reseau[[#This Row],[Cell_ID]],'CKadeaTelcoRegistre_Maintenance'!A:A,'CKadeaTelcoRegistre_Maintenance'!D:D,"Non repertorié")</f>
        <v>Non repertorié</v>
      </c>
      <c r="H787" t="str">
        <f>_xlfn.XLOOKUP(CKadeaTelcoLogs_Reseau[[#This Row],[Cell_ID]],'CKadeaTelcoRegistre_Maintenance'!A:A,'CKadeaTelcoRegistre_Maintenance'!E:E,"Non repertorié")</f>
        <v>Non repertorié</v>
      </c>
      <c r="I787" t="str">
        <f>_xlfn.XLOOKUP(CKadeaTelcoLogs_Reseau[[#This Row],[Cell_ID]],'CKadeaTelcoRegistre_Maintenance'!A:A,'CKadeaTelcoRegistre_Maintenance'!F:F,"Non repertorié")</f>
        <v>Non repertorié</v>
      </c>
    </row>
    <row r="788" spans="1:9" ht="20.5" customHeight="1" x14ac:dyDescent="0.35">
      <c r="A788" s="1">
        <v>45214.740972222222</v>
      </c>
      <c r="B788" s="5" t="s">
        <v>245</v>
      </c>
      <c r="C788">
        <v>8</v>
      </c>
      <c r="D788" t="s">
        <v>5</v>
      </c>
      <c r="E788" t="str">
        <f>_xlfn.XLOOKUP(CKadeaTelcoLogs_Reseau[[#This Row],[Cell_ID]],'CKadeaTelcoRegistre_Maintenance'!A:A,'CKadeaTelcoRegistre_Maintenance'!B:B,"Non repertorié")</f>
        <v>Nord-Kivu</v>
      </c>
      <c r="F788">
        <f>_xlfn.XLOOKUP(CKadeaTelcoLogs_Reseau[[#This Row],[Cell_ID]],'CKadeaTelcoRegistre_Maintenance'!A:A,'CKadeaTelcoRegistre_Maintenance'!C:C,"Non repertorié")</f>
        <v>-10.846306999999999</v>
      </c>
      <c r="G788">
        <f>_xlfn.XLOOKUP(CKadeaTelcoLogs_Reseau[[#This Row],[Cell_ID]],'CKadeaTelcoRegistre_Maintenance'!A:A,'CKadeaTelcoRegistre_Maintenance'!D:D,"Non repertorié")</f>
        <v>19.201827999999999</v>
      </c>
      <c r="H788" t="str">
        <f>_xlfn.XLOOKUP(CKadeaTelcoLogs_Reseau[[#This Row],[Cell_ID]],'CKadeaTelcoRegistre_Maintenance'!A:A,'CKadeaTelcoRegistre_Maintenance'!E:E,"Non repertorié")</f>
        <v>4G</v>
      </c>
      <c r="I788" t="str">
        <f>_xlfn.XLOOKUP(CKadeaTelcoLogs_Reseau[[#This Row],[Cell_ID]],'CKadeaTelcoRegistre_Maintenance'!A:A,'CKadeaTelcoRegistre_Maintenance'!F:F,"Non repertorié")</f>
        <v>Ericsson</v>
      </c>
    </row>
    <row r="789" spans="1:9" ht="20.5" customHeight="1" x14ac:dyDescent="0.35">
      <c r="A789" s="1">
        <v>45217.29583333333</v>
      </c>
      <c r="B789" s="5" t="s">
        <v>547</v>
      </c>
      <c r="C789">
        <v>119</v>
      </c>
      <c r="D789" t="s">
        <v>5</v>
      </c>
      <c r="E789" t="str">
        <f>_xlfn.XLOOKUP(CKadeaTelcoLogs_Reseau[[#This Row],[Cell_ID]],'CKadeaTelcoRegistre_Maintenance'!A:A,'CKadeaTelcoRegistre_Maintenance'!B:B,"Non repertorié")</f>
        <v>Non repertorié</v>
      </c>
      <c r="F789" t="str">
        <f>_xlfn.XLOOKUP(CKadeaTelcoLogs_Reseau[[#This Row],[Cell_ID]],'CKadeaTelcoRegistre_Maintenance'!A:A,'CKadeaTelcoRegistre_Maintenance'!C:C,"Non repertorié")</f>
        <v>Non repertorié</v>
      </c>
      <c r="G789" t="str">
        <f>_xlfn.XLOOKUP(CKadeaTelcoLogs_Reseau[[#This Row],[Cell_ID]],'CKadeaTelcoRegistre_Maintenance'!A:A,'CKadeaTelcoRegistre_Maintenance'!D:D,"Non repertorié")</f>
        <v>Non repertorié</v>
      </c>
      <c r="H789" t="str">
        <f>_xlfn.XLOOKUP(CKadeaTelcoLogs_Reseau[[#This Row],[Cell_ID]],'CKadeaTelcoRegistre_Maintenance'!A:A,'CKadeaTelcoRegistre_Maintenance'!E:E,"Non repertorié")</f>
        <v>Non repertorié</v>
      </c>
      <c r="I789" t="str">
        <f>_xlfn.XLOOKUP(CKadeaTelcoLogs_Reseau[[#This Row],[Cell_ID]],'CKadeaTelcoRegistre_Maintenance'!A:A,'CKadeaTelcoRegistre_Maintenance'!F:F,"Non repertorié")</f>
        <v>Non repertorié</v>
      </c>
    </row>
    <row r="790" spans="1:9" ht="20.5" customHeight="1" x14ac:dyDescent="0.35">
      <c r="A790" s="1">
        <v>45214.160416666666</v>
      </c>
      <c r="B790" s="5" t="s">
        <v>435</v>
      </c>
      <c r="C790">
        <v>108</v>
      </c>
      <c r="D790" t="s">
        <v>10</v>
      </c>
      <c r="E790" t="str">
        <f>_xlfn.XLOOKUP(CKadeaTelcoLogs_Reseau[[#This Row],[Cell_ID]],'CKadeaTelcoRegistre_Maintenance'!A:A,'CKadeaTelcoRegistre_Maintenance'!B:B,"Non repertorié")</f>
        <v>Mongala</v>
      </c>
      <c r="F790">
        <f>_xlfn.XLOOKUP(CKadeaTelcoLogs_Reseau[[#This Row],[Cell_ID]],'CKadeaTelcoRegistre_Maintenance'!A:A,'CKadeaTelcoRegistre_Maintenance'!C:C,"Non repertorié")</f>
        <v>-11.407966</v>
      </c>
      <c r="G790">
        <f>_xlfn.XLOOKUP(CKadeaTelcoLogs_Reseau[[#This Row],[Cell_ID]],'CKadeaTelcoRegistre_Maintenance'!A:A,'CKadeaTelcoRegistre_Maintenance'!D:D,"Non repertorié")</f>
        <v>28.378274000000001</v>
      </c>
      <c r="H790" t="str">
        <f>_xlfn.XLOOKUP(CKadeaTelcoLogs_Reseau[[#This Row],[Cell_ID]],'CKadeaTelcoRegistre_Maintenance'!A:A,'CKadeaTelcoRegistre_Maintenance'!E:E,"Non repertorié")</f>
        <v>4G</v>
      </c>
      <c r="I790" t="str">
        <f>_xlfn.XLOOKUP(CKadeaTelcoLogs_Reseau[[#This Row],[Cell_ID]],'CKadeaTelcoRegistre_Maintenance'!A:A,'CKadeaTelcoRegistre_Maintenance'!F:F,"Non repertorié")</f>
        <v>ZTE</v>
      </c>
    </row>
    <row r="791" spans="1:9" ht="20.5" customHeight="1" x14ac:dyDescent="0.35">
      <c r="A791" s="1">
        <v>45225.171527777777</v>
      </c>
      <c r="B791" s="5" t="s">
        <v>548</v>
      </c>
      <c r="C791">
        <v>104</v>
      </c>
      <c r="D791" t="s">
        <v>8</v>
      </c>
      <c r="E791" t="str">
        <f>_xlfn.XLOOKUP(CKadeaTelcoLogs_Reseau[[#This Row],[Cell_ID]],'CKadeaTelcoRegistre_Maintenance'!A:A,'CKadeaTelcoRegistre_Maintenance'!B:B,"Non repertorié")</f>
        <v>Kongo-Central</v>
      </c>
      <c r="F791">
        <f>_xlfn.XLOOKUP(CKadeaTelcoLogs_Reseau[[#This Row],[Cell_ID]],'CKadeaTelcoRegistre_Maintenance'!A:A,'CKadeaTelcoRegistre_Maintenance'!C:C,"Non repertorié")</f>
        <v>1.2463919999999999</v>
      </c>
      <c r="G791">
        <f>_xlfn.XLOOKUP(CKadeaTelcoLogs_Reseau[[#This Row],[Cell_ID]],'CKadeaTelcoRegistre_Maintenance'!A:A,'CKadeaTelcoRegistre_Maintenance'!D:D,"Non repertorié")</f>
        <v>13.266916999999999</v>
      </c>
      <c r="H791" t="str">
        <f>_xlfn.XLOOKUP(CKadeaTelcoLogs_Reseau[[#This Row],[Cell_ID]],'CKadeaTelcoRegistre_Maintenance'!A:A,'CKadeaTelcoRegistre_Maintenance'!E:E,"Non repertorié")</f>
        <v>5G</v>
      </c>
      <c r="I791" t="str">
        <f>_xlfn.XLOOKUP(CKadeaTelcoLogs_Reseau[[#This Row],[Cell_ID]],'CKadeaTelcoRegistre_Maintenance'!A:A,'CKadeaTelcoRegistre_Maintenance'!F:F,"Non repertorié")</f>
        <v>Huawei</v>
      </c>
    </row>
    <row r="792" spans="1:9" ht="20.5" customHeight="1" x14ac:dyDescent="0.35">
      <c r="A792" s="1">
        <v>45200.078472222223</v>
      </c>
      <c r="B792" s="5" t="s">
        <v>238</v>
      </c>
      <c r="C792">
        <v>40</v>
      </c>
      <c r="D792" t="s">
        <v>5</v>
      </c>
      <c r="E792" t="str">
        <f>_xlfn.XLOOKUP(CKadeaTelcoLogs_Reseau[[#This Row],[Cell_ID]],'CKadeaTelcoRegistre_Maintenance'!A:A,'CKadeaTelcoRegistre_Maintenance'!B:B,"Non repertorié")</f>
        <v>Kasai</v>
      </c>
      <c r="F792">
        <f>_xlfn.XLOOKUP(CKadeaTelcoLogs_Reseau[[#This Row],[Cell_ID]],'CKadeaTelcoRegistre_Maintenance'!A:A,'CKadeaTelcoRegistre_Maintenance'!C:C,"Non repertorié")</f>
        <v>-10.165072</v>
      </c>
      <c r="G792">
        <f>_xlfn.XLOOKUP(CKadeaTelcoLogs_Reseau[[#This Row],[Cell_ID]],'CKadeaTelcoRegistre_Maintenance'!A:A,'CKadeaTelcoRegistre_Maintenance'!D:D,"Non repertorié")</f>
        <v>29.428024000000001</v>
      </c>
      <c r="H792" t="str">
        <f>_xlfn.XLOOKUP(CKadeaTelcoLogs_Reseau[[#This Row],[Cell_ID]],'CKadeaTelcoRegistre_Maintenance'!A:A,'CKadeaTelcoRegistre_Maintenance'!E:E,"Non repertorié")</f>
        <v>5G</v>
      </c>
      <c r="I792" t="str">
        <f>_xlfn.XLOOKUP(CKadeaTelcoLogs_Reseau[[#This Row],[Cell_ID]],'CKadeaTelcoRegistre_Maintenance'!A:A,'CKadeaTelcoRegistre_Maintenance'!F:F,"Non repertorié")</f>
        <v>Huawei</v>
      </c>
    </row>
    <row r="793" spans="1:9" ht="20.5" customHeight="1" x14ac:dyDescent="0.35">
      <c r="A793" s="1">
        <v>45224.297222222223</v>
      </c>
      <c r="B793" s="5" t="s">
        <v>549</v>
      </c>
      <c r="C793">
        <v>12</v>
      </c>
      <c r="D793" t="s">
        <v>10</v>
      </c>
      <c r="E793" t="str">
        <f>_xlfn.XLOOKUP(CKadeaTelcoLogs_Reseau[[#This Row],[Cell_ID]],'CKadeaTelcoRegistre_Maintenance'!A:A,'CKadeaTelcoRegistre_Maintenance'!B:B,"Non repertorié")</f>
        <v>Non repertorié</v>
      </c>
      <c r="F793" t="str">
        <f>_xlfn.XLOOKUP(CKadeaTelcoLogs_Reseau[[#This Row],[Cell_ID]],'CKadeaTelcoRegistre_Maintenance'!A:A,'CKadeaTelcoRegistre_Maintenance'!C:C,"Non repertorié")</f>
        <v>Non repertorié</v>
      </c>
      <c r="G793" t="str">
        <f>_xlfn.XLOOKUP(CKadeaTelcoLogs_Reseau[[#This Row],[Cell_ID]],'CKadeaTelcoRegistre_Maintenance'!A:A,'CKadeaTelcoRegistre_Maintenance'!D:D,"Non repertorié")</f>
        <v>Non repertorié</v>
      </c>
      <c r="H793" t="str">
        <f>_xlfn.XLOOKUP(CKadeaTelcoLogs_Reseau[[#This Row],[Cell_ID]],'CKadeaTelcoRegistre_Maintenance'!A:A,'CKadeaTelcoRegistre_Maintenance'!E:E,"Non repertorié")</f>
        <v>Non repertorié</v>
      </c>
      <c r="I793" t="str">
        <f>_xlfn.XLOOKUP(CKadeaTelcoLogs_Reseau[[#This Row],[Cell_ID]],'CKadeaTelcoRegistre_Maintenance'!A:A,'CKadeaTelcoRegistre_Maintenance'!F:F,"Non repertorié")</f>
        <v>Non repertorié</v>
      </c>
    </row>
    <row r="794" spans="1:9" ht="20.5" customHeight="1" x14ac:dyDescent="0.35">
      <c r="A794" s="1">
        <v>45206.515972222223</v>
      </c>
      <c r="B794" s="5" t="s">
        <v>550</v>
      </c>
      <c r="C794">
        <v>108</v>
      </c>
      <c r="D794" t="s">
        <v>5</v>
      </c>
      <c r="E794" t="str">
        <f>_xlfn.XLOOKUP(CKadeaTelcoLogs_Reseau[[#This Row],[Cell_ID]],'CKadeaTelcoRegistre_Maintenance'!A:A,'CKadeaTelcoRegistre_Maintenance'!B:B,"Non repertorié")</f>
        <v>Kinshasa</v>
      </c>
      <c r="F794">
        <f>_xlfn.XLOOKUP(CKadeaTelcoLogs_Reseau[[#This Row],[Cell_ID]],'CKadeaTelcoRegistre_Maintenance'!A:A,'CKadeaTelcoRegistre_Maintenance'!C:C,"Non repertorié")</f>
        <v>-10.227569000000001</v>
      </c>
      <c r="G794">
        <f>_xlfn.XLOOKUP(CKadeaTelcoLogs_Reseau[[#This Row],[Cell_ID]],'CKadeaTelcoRegistre_Maintenance'!A:A,'CKadeaTelcoRegistre_Maintenance'!D:D,"Non repertorié")</f>
        <v>18.887930999999998</v>
      </c>
      <c r="H794" t="str">
        <f>_xlfn.XLOOKUP(CKadeaTelcoLogs_Reseau[[#This Row],[Cell_ID]],'CKadeaTelcoRegistre_Maintenance'!A:A,'CKadeaTelcoRegistre_Maintenance'!E:E,"Non repertorié")</f>
        <v>3G</v>
      </c>
      <c r="I794" t="str">
        <f>_xlfn.XLOOKUP(CKadeaTelcoLogs_Reseau[[#This Row],[Cell_ID]],'CKadeaTelcoRegistre_Maintenance'!A:A,'CKadeaTelcoRegistre_Maintenance'!F:F,"Non repertorié")</f>
        <v>ZTE</v>
      </c>
    </row>
    <row r="795" spans="1:9" ht="20.5" customHeight="1" x14ac:dyDescent="0.35">
      <c r="A795" s="1">
        <v>45221.861805555556</v>
      </c>
      <c r="B795" s="5" t="s">
        <v>551</v>
      </c>
      <c r="C795">
        <v>65</v>
      </c>
      <c r="D795" t="s">
        <v>5</v>
      </c>
      <c r="E795" t="str">
        <f>_xlfn.XLOOKUP(CKadeaTelcoLogs_Reseau[[#This Row],[Cell_ID]],'CKadeaTelcoRegistre_Maintenance'!A:A,'CKadeaTelcoRegistre_Maintenance'!B:B,"Non repertorié")</f>
        <v>Tanganyika</v>
      </c>
      <c r="F795">
        <f>_xlfn.XLOOKUP(CKadeaTelcoLogs_Reseau[[#This Row],[Cell_ID]],'CKadeaTelcoRegistre_Maintenance'!A:A,'CKadeaTelcoRegistre_Maintenance'!C:C,"Non repertorié")</f>
        <v>-3.9148719999999999</v>
      </c>
      <c r="G795">
        <f>_xlfn.XLOOKUP(CKadeaTelcoLogs_Reseau[[#This Row],[Cell_ID]],'CKadeaTelcoRegistre_Maintenance'!A:A,'CKadeaTelcoRegistre_Maintenance'!D:D,"Non repertorié")</f>
        <v>12.260933</v>
      </c>
      <c r="H795" t="str">
        <f>_xlfn.XLOOKUP(CKadeaTelcoLogs_Reseau[[#This Row],[Cell_ID]],'CKadeaTelcoRegistre_Maintenance'!A:A,'CKadeaTelcoRegistre_Maintenance'!E:E,"Non repertorié")</f>
        <v>4G</v>
      </c>
      <c r="I795" t="str">
        <f>_xlfn.XLOOKUP(CKadeaTelcoLogs_Reseau[[#This Row],[Cell_ID]],'CKadeaTelcoRegistre_Maintenance'!A:A,'CKadeaTelcoRegistre_Maintenance'!F:F,"Non repertorié")</f>
        <v>Ericsson</v>
      </c>
    </row>
    <row r="796" spans="1:9" ht="20.5" customHeight="1" x14ac:dyDescent="0.35">
      <c r="A796" s="1">
        <v>45202.775694444441</v>
      </c>
      <c r="B796" s="5" t="s">
        <v>530</v>
      </c>
      <c r="C796">
        <v>72</v>
      </c>
      <c r="D796" t="s">
        <v>5</v>
      </c>
      <c r="E796" t="str">
        <f>_xlfn.XLOOKUP(CKadeaTelcoLogs_Reseau[[#This Row],[Cell_ID]],'CKadeaTelcoRegistre_Maintenance'!A:A,'CKadeaTelcoRegistre_Maintenance'!B:B,"Non repertorié")</f>
        <v>Kongo-Central</v>
      </c>
      <c r="F796">
        <f>_xlfn.XLOOKUP(CKadeaTelcoLogs_Reseau[[#This Row],[Cell_ID]],'CKadeaTelcoRegistre_Maintenance'!A:A,'CKadeaTelcoRegistre_Maintenance'!C:C,"Non repertorié")</f>
        <v>1.981107</v>
      </c>
      <c r="G796">
        <f>_xlfn.XLOOKUP(CKadeaTelcoLogs_Reseau[[#This Row],[Cell_ID]],'CKadeaTelcoRegistre_Maintenance'!A:A,'CKadeaTelcoRegistre_Maintenance'!D:D,"Non repertorié")</f>
        <v>23.932569000000001</v>
      </c>
      <c r="H796" t="str">
        <f>_xlfn.XLOOKUP(CKadeaTelcoLogs_Reseau[[#This Row],[Cell_ID]],'CKadeaTelcoRegistre_Maintenance'!A:A,'CKadeaTelcoRegistre_Maintenance'!E:E,"Non repertorié")</f>
        <v>3G</v>
      </c>
      <c r="I796" t="str">
        <f>_xlfn.XLOOKUP(CKadeaTelcoLogs_Reseau[[#This Row],[Cell_ID]],'CKadeaTelcoRegistre_Maintenance'!A:A,'CKadeaTelcoRegistre_Maintenance'!F:F,"Non repertorié")</f>
        <v>Nokia</v>
      </c>
    </row>
    <row r="797" spans="1:9" ht="20.5" customHeight="1" x14ac:dyDescent="0.35">
      <c r="A797" s="1">
        <v>45208.084027777775</v>
      </c>
      <c r="B797" s="5" t="s">
        <v>552</v>
      </c>
      <c r="C797">
        <v>50</v>
      </c>
      <c r="D797" t="s">
        <v>8</v>
      </c>
      <c r="E797" t="str">
        <f>_xlfn.XLOOKUP(CKadeaTelcoLogs_Reseau[[#This Row],[Cell_ID]],'CKadeaTelcoRegistre_Maintenance'!A:A,'CKadeaTelcoRegistre_Maintenance'!B:B,"Non repertorié")</f>
        <v>Non repertorié</v>
      </c>
      <c r="F797" t="str">
        <f>_xlfn.XLOOKUP(CKadeaTelcoLogs_Reseau[[#This Row],[Cell_ID]],'CKadeaTelcoRegistre_Maintenance'!A:A,'CKadeaTelcoRegistre_Maintenance'!C:C,"Non repertorié")</f>
        <v>Non repertorié</v>
      </c>
      <c r="G797" t="str">
        <f>_xlfn.XLOOKUP(CKadeaTelcoLogs_Reseau[[#This Row],[Cell_ID]],'CKadeaTelcoRegistre_Maintenance'!A:A,'CKadeaTelcoRegistre_Maintenance'!D:D,"Non repertorié")</f>
        <v>Non repertorié</v>
      </c>
      <c r="H797" t="str">
        <f>_xlfn.XLOOKUP(CKadeaTelcoLogs_Reseau[[#This Row],[Cell_ID]],'CKadeaTelcoRegistre_Maintenance'!A:A,'CKadeaTelcoRegistre_Maintenance'!E:E,"Non repertorié")</f>
        <v>Non repertorié</v>
      </c>
      <c r="I797" t="str">
        <f>_xlfn.XLOOKUP(CKadeaTelcoLogs_Reseau[[#This Row],[Cell_ID]],'CKadeaTelcoRegistre_Maintenance'!A:A,'CKadeaTelcoRegistre_Maintenance'!F:F,"Non repertorié")</f>
        <v>Non repertorié</v>
      </c>
    </row>
    <row r="798" spans="1:9" ht="20.5" customHeight="1" x14ac:dyDescent="0.35">
      <c r="A798" s="1">
        <v>45202.289583333331</v>
      </c>
      <c r="B798" s="5" t="s">
        <v>140</v>
      </c>
      <c r="C798">
        <v>103</v>
      </c>
      <c r="D798" t="s">
        <v>8</v>
      </c>
      <c r="E798" t="str">
        <f>_xlfn.XLOOKUP(CKadeaTelcoLogs_Reseau[[#This Row],[Cell_ID]],'CKadeaTelcoRegistre_Maintenance'!A:A,'CKadeaTelcoRegistre_Maintenance'!B:B,"Non repertorié")</f>
        <v>Non repertorié</v>
      </c>
      <c r="F798" t="str">
        <f>_xlfn.XLOOKUP(CKadeaTelcoLogs_Reseau[[#This Row],[Cell_ID]],'CKadeaTelcoRegistre_Maintenance'!A:A,'CKadeaTelcoRegistre_Maintenance'!C:C,"Non repertorié")</f>
        <v>Non repertorié</v>
      </c>
      <c r="G798" t="str">
        <f>_xlfn.XLOOKUP(CKadeaTelcoLogs_Reseau[[#This Row],[Cell_ID]],'CKadeaTelcoRegistre_Maintenance'!A:A,'CKadeaTelcoRegistre_Maintenance'!D:D,"Non repertorié")</f>
        <v>Non repertorié</v>
      </c>
      <c r="H798" t="str">
        <f>_xlfn.XLOOKUP(CKadeaTelcoLogs_Reseau[[#This Row],[Cell_ID]],'CKadeaTelcoRegistre_Maintenance'!A:A,'CKadeaTelcoRegistre_Maintenance'!E:E,"Non repertorié")</f>
        <v>Non repertorié</v>
      </c>
      <c r="I798" t="str">
        <f>_xlfn.XLOOKUP(CKadeaTelcoLogs_Reseau[[#This Row],[Cell_ID]],'CKadeaTelcoRegistre_Maintenance'!A:A,'CKadeaTelcoRegistre_Maintenance'!F:F,"Non repertorié")</f>
        <v>Non repertorié</v>
      </c>
    </row>
    <row r="799" spans="1:9" ht="20.5" customHeight="1" x14ac:dyDescent="0.35">
      <c r="A799" s="1">
        <v>45220.618750000001</v>
      </c>
      <c r="B799" s="5" t="s">
        <v>541</v>
      </c>
      <c r="C799">
        <v>79</v>
      </c>
      <c r="D799" t="s">
        <v>5</v>
      </c>
      <c r="E799" t="str">
        <f>_xlfn.XLOOKUP(CKadeaTelcoLogs_Reseau[[#This Row],[Cell_ID]],'CKadeaTelcoRegistre_Maintenance'!A:A,'CKadeaTelcoRegistre_Maintenance'!B:B,"Non repertorié")</f>
        <v>Sud-Kivu</v>
      </c>
      <c r="F799">
        <f>_xlfn.XLOOKUP(CKadeaTelcoLogs_Reseau[[#This Row],[Cell_ID]],'CKadeaTelcoRegistre_Maintenance'!A:A,'CKadeaTelcoRegistre_Maintenance'!C:C,"Non repertorié")</f>
        <v>-1.4700059999999999</v>
      </c>
      <c r="G799">
        <f>_xlfn.XLOOKUP(CKadeaTelcoLogs_Reseau[[#This Row],[Cell_ID]],'CKadeaTelcoRegistre_Maintenance'!A:A,'CKadeaTelcoRegistre_Maintenance'!D:D,"Non repertorié")</f>
        <v>18.680958</v>
      </c>
      <c r="H799" t="str">
        <f>_xlfn.XLOOKUP(CKadeaTelcoLogs_Reseau[[#This Row],[Cell_ID]],'CKadeaTelcoRegistre_Maintenance'!A:A,'CKadeaTelcoRegistre_Maintenance'!E:E,"Non repertorié")</f>
        <v>3G</v>
      </c>
      <c r="I799" t="str">
        <f>_xlfn.XLOOKUP(CKadeaTelcoLogs_Reseau[[#This Row],[Cell_ID]],'CKadeaTelcoRegistre_Maintenance'!A:A,'CKadeaTelcoRegistre_Maintenance'!F:F,"Non repertorié")</f>
        <v>Huawei</v>
      </c>
    </row>
    <row r="800" spans="1:9" ht="20.5" customHeight="1" x14ac:dyDescent="0.35">
      <c r="A800" s="1">
        <v>45204.122916666667</v>
      </c>
      <c r="B800" s="5" t="s">
        <v>461</v>
      </c>
      <c r="C800">
        <v>34</v>
      </c>
      <c r="D800" t="s">
        <v>5</v>
      </c>
      <c r="E800" t="str">
        <f>_xlfn.XLOOKUP(CKadeaTelcoLogs_Reseau[[#This Row],[Cell_ID]],'CKadeaTelcoRegistre_Maintenance'!A:A,'CKadeaTelcoRegistre_Maintenance'!B:B,"Non repertorié")</f>
        <v>Equateur</v>
      </c>
      <c r="F800">
        <f>_xlfn.XLOOKUP(CKadeaTelcoLogs_Reseau[[#This Row],[Cell_ID]],'CKadeaTelcoRegistre_Maintenance'!A:A,'CKadeaTelcoRegistre_Maintenance'!C:C,"Non repertorié")</f>
        <v>-6.1490739999999997</v>
      </c>
      <c r="G800">
        <f>_xlfn.XLOOKUP(CKadeaTelcoLogs_Reseau[[#This Row],[Cell_ID]],'CKadeaTelcoRegistre_Maintenance'!A:A,'CKadeaTelcoRegistre_Maintenance'!D:D,"Non repertorié")</f>
        <v>23.304411000000002</v>
      </c>
      <c r="H800" t="str">
        <f>_xlfn.XLOOKUP(CKadeaTelcoLogs_Reseau[[#This Row],[Cell_ID]],'CKadeaTelcoRegistre_Maintenance'!A:A,'CKadeaTelcoRegistre_Maintenance'!E:E,"Non repertorié")</f>
        <v>5G</v>
      </c>
      <c r="I800" t="str">
        <f>_xlfn.XLOOKUP(CKadeaTelcoLogs_Reseau[[#This Row],[Cell_ID]],'CKadeaTelcoRegistre_Maintenance'!A:A,'CKadeaTelcoRegistre_Maintenance'!F:F,"Non repertorié")</f>
        <v>ZTE</v>
      </c>
    </row>
    <row r="801" spans="1:9" ht="20.5" customHeight="1" x14ac:dyDescent="0.35">
      <c r="A801" s="1">
        <v>45227.421527777777</v>
      </c>
      <c r="B801" s="5" t="s">
        <v>524</v>
      </c>
      <c r="C801">
        <v>25</v>
      </c>
      <c r="D801" t="s">
        <v>8</v>
      </c>
      <c r="E801" t="str">
        <f>_xlfn.XLOOKUP(CKadeaTelcoLogs_Reseau[[#This Row],[Cell_ID]],'CKadeaTelcoRegistre_Maintenance'!A:A,'CKadeaTelcoRegistre_Maintenance'!B:B,"Non repertorié")</f>
        <v>Non repertorié</v>
      </c>
      <c r="F801" t="str">
        <f>_xlfn.XLOOKUP(CKadeaTelcoLogs_Reseau[[#This Row],[Cell_ID]],'CKadeaTelcoRegistre_Maintenance'!A:A,'CKadeaTelcoRegistre_Maintenance'!C:C,"Non repertorié")</f>
        <v>Non repertorié</v>
      </c>
      <c r="G801" t="str">
        <f>_xlfn.XLOOKUP(CKadeaTelcoLogs_Reseau[[#This Row],[Cell_ID]],'CKadeaTelcoRegistre_Maintenance'!A:A,'CKadeaTelcoRegistre_Maintenance'!D:D,"Non repertorié")</f>
        <v>Non repertorié</v>
      </c>
      <c r="H801" t="str">
        <f>_xlfn.XLOOKUP(CKadeaTelcoLogs_Reseau[[#This Row],[Cell_ID]],'CKadeaTelcoRegistre_Maintenance'!A:A,'CKadeaTelcoRegistre_Maintenance'!E:E,"Non repertorié")</f>
        <v>Non repertorié</v>
      </c>
      <c r="I801" t="str">
        <f>_xlfn.XLOOKUP(CKadeaTelcoLogs_Reseau[[#This Row],[Cell_ID]],'CKadeaTelcoRegistre_Maintenance'!A:A,'CKadeaTelcoRegistre_Maintenance'!F:F,"Non repertorié")</f>
        <v>Non repertorié</v>
      </c>
    </row>
    <row r="802" spans="1:9" ht="20.5" customHeight="1" x14ac:dyDescent="0.35">
      <c r="A802" s="1">
        <v>45201.585416666669</v>
      </c>
      <c r="B802" s="5" t="s">
        <v>553</v>
      </c>
      <c r="C802">
        <v>17</v>
      </c>
      <c r="D802" t="s">
        <v>10</v>
      </c>
      <c r="E802" t="str">
        <f>_xlfn.XLOOKUP(CKadeaTelcoLogs_Reseau[[#This Row],[Cell_ID]],'CKadeaTelcoRegistre_Maintenance'!A:A,'CKadeaTelcoRegistre_Maintenance'!B:B,"Non repertorié")</f>
        <v>Non repertorié</v>
      </c>
      <c r="F802" t="str">
        <f>_xlfn.XLOOKUP(CKadeaTelcoLogs_Reseau[[#This Row],[Cell_ID]],'CKadeaTelcoRegistre_Maintenance'!A:A,'CKadeaTelcoRegistre_Maintenance'!C:C,"Non repertorié")</f>
        <v>Non repertorié</v>
      </c>
      <c r="G802" t="str">
        <f>_xlfn.XLOOKUP(CKadeaTelcoLogs_Reseau[[#This Row],[Cell_ID]],'CKadeaTelcoRegistre_Maintenance'!A:A,'CKadeaTelcoRegistre_Maintenance'!D:D,"Non repertorié")</f>
        <v>Non repertorié</v>
      </c>
      <c r="H802" t="str">
        <f>_xlfn.XLOOKUP(CKadeaTelcoLogs_Reseau[[#This Row],[Cell_ID]],'CKadeaTelcoRegistre_Maintenance'!A:A,'CKadeaTelcoRegistre_Maintenance'!E:E,"Non repertorié")</f>
        <v>Non repertorié</v>
      </c>
      <c r="I802" t="str">
        <f>_xlfn.XLOOKUP(CKadeaTelcoLogs_Reseau[[#This Row],[Cell_ID]],'CKadeaTelcoRegistre_Maintenance'!A:A,'CKadeaTelcoRegistre_Maintenance'!F:F,"Non repertorié")</f>
        <v>Non repertorié</v>
      </c>
    </row>
    <row r="803" spans="1:9" ht="20.5" customHeight="1" x14ac:dyDescent="0.35">
      <c r="A803" s="1">
        <v>45205.768750000003</v>
      </c>
      <c r="B803" s="5" t="s">
        <v>554</v>
      </c>
      <c r="C803">
        <v>36</v>
      </c>
      <c r="D803" t="s">
        <v>5</v>
      </c>
      <c r="E803" t="str">
        <f>_xlfn.XLOOKUP(CKadeaTelcoLogs_Reseau[[#This Row],[Cell_ID]],'CKadeaTelcoRegistre_Maintenance'!A:A,'CKadeaTelcoRegistre_Maintenance'!B:B,"Non repertorié")</f>
        <v>Kongo-Central</v>
      </c>
      <c r="F803">
        <f>_xlfn.XLOOKUP(CKadeaTelcoLogs_Reseau[[#This Row],[Cell_ID]],'CKadeaTelcoRegistre_Maintenance'!A:A,'CKadeaTelcoRegistre_Maintenance'!C:C,"Non repertorié")</f>
        <v>-0.469945</v>
      </c>
      <c r="G803">
        <f>_xlfn.XLOOKUP(CKadeaTelcoLogs_Reseau[[#This Row],[Cell_ID]],'CKadeaTelcoRegistre_Maintenance'!A:A,'CKadeaTelcoRegistre_Maintenance'!D:D,"Non repertorié")</f>
        <v>21.038527999999999</v>
      </c>
      <c r="H803" t="str">
        <f>_xlfn.XLOOKUP(CKadeaTelcoLogs_Reseau[[#This Row],[Cell_ID]],'CKadeaTelcoRegistre_Maintenance'!A:A,'CKadeaTelcoRegistre_Maintenance'!E:E,"Non repertorié")</f>
        <v>3G</v>
      </c>
      <c r="I803" t="str">
        <f>_xlfn.XLOOKUP(CKadeaTelcoLogs_Reseau[[#This Row],[Cell_ID]],'CKadeaTelcoRegistre_Maintenance'!A:A,'CKadeaTelcoRegistre_Maintenance'!F:F,"Non repertorié")</f>
        <v>Ericsson</v>
      </c>
    </row>
    <row r="804" spans="1:9" ht="20.5" customHeight="1" x14ac:dyDescent="0.35">
      <c r="A804" s="1">
        <v>45226.975694444445</v>
      </c>
      <c r="B804" s="5" t="s">
        <v>187</v>
      </c>
      <c r="C804">
        <v>89</v>
      </c>
      <c r="D804" t="s">
        <v>10</v>
      </c>
      <c r="E804" t="str">
        <f>_xlfn.XLOOKUP(CKadeaTelcoLogs_Reseau[[#This Row],[Cell_ID]],'CKadeaTelcoRegistre_Maintenance'!A:A,'CKadeaTelcoRegistre_Maintenance'!B:B,"Non repertorié")</f>
        <v>Non repertorié</v>
      </c>
      <c r="F804" t="str">
        <f>_xlfn.XLOOKUP(CKadeaTelcoLogs_Reseau[[#This Row],[Cell_ID]],'CKadeaTelcoRegistre_Maintenance'!A:A,'CKadeaTelcoRegistre_Maintenance'!C:C,"Non repertorié")</f>
        <v>Non repertorié</v>
      </c>
      <c r="G804" t="str">
        <f>_xlfn.XLOOKUP(CKadeaTelcoLogs_Reseau[[#This Row],[Cell_ID]],'CKadeaTelcoRegistre_Maintenance'!A:A,'CKadeaTelcoRegistre_Maintenance'!D:D,"Non repertorié")</f>
        <v>Non repertorié</v>
      </c>
      <c r="H804" t="str">
        <f>_xlfn.XLOOKUP(CKadeaTelcoLogs_Reseau[[#This Row],[Cell_ID]],'CKadeaTelcoRegistre_Maintenance'!A:A,'CKadeaTelcoRegistre_Maintenance'!E:E,"Non repertorié")</f>
        <v>Non repertorié</v>
      </c>
      <c r="I804" t="str">
        <f>_xlfn.XLOOKUP(CKadeaTelcoLogs_Reseau[[#This Row],[Cell_ID]],'CKadeaTelcoRegistre_Maintenance'!A:A,'CKadeaTelcoRegistre_Maintenance'!F:F,"Non repertorié")</f>
        <v>Non repertorié</v>
      </c>
    </row>
    <row r="805" spans="1:9" ht="20.5" customHeight="1" x14ac:dyDescent="0.35">
      <c r="A805" s="1">
        <v>45215.01666666667</v>
      </c>
      <c r="B805" s="5" t="s">
        <v>555</v>
      </c>
      <c r="C805">
        <v>35</v>
      </c>
      <c r="D805" t="s">
        <v>8</v>
      </c>
      <c r="E805" t="str">
        <f>_xlfn.XLOOKUP(CKadeaTelcoLogs_Reseau[[#This Row],[Cell_ID]],'CKadeaTelcoRegistre_Maintenance'!A:A,'CKadeaTelcoRegistre_Maintenance'!B:B,"Non repertorié")</f>
        <v>Non repertorié</v>
      </c>
      <c r="F805" t="str">
        <f>_xlfn.XLOOKUP(CKadeaTelcoLogs_Reseau[[#This Row],[Cell_ID]],'CKadeaTelcoRegistre_Maintenance'!A:A,'CKadeaTelcoRegistre_Maintenance'!C:C,"Non repertorié")</f>
        <v>Non repertorié</v>
      </c>
      <c r="G805" t="str">
        <f>_xlfn.XLOOKUP(CKadeaTelcoLogs_Reseau[[#This Row],[Cell_ID]],'CKadeaTelcoRegistre_Maintenance'!A:A,'CKadeaTelcoRegistre_Maintenance'!D:D,"Non repertorié")</f>
        <v>Non repertorié</v>
      </c>
      <c r="H805" t="str">
        <f>_xlfn.XLOOKUP(CKadeaTelcoLogs_Reseau[[#This Row],[Cell_ID]],'CKadeaTelcoRegistre_Maintenance'!A:A,'CKadeaTelcoRegistre_Maintenance'!E:E,"Non repertorié")</f>
        <v>Non repertorié</v>
      </c>
      <c r="I805" t="str">
        <f>_xlfn.XLOOKUP(CKadeaTelcoLogs_Reseau[[#This Row],[Cell_ID]],'CKadeaTelcoRegistre_Maintenance'!A:A,'CKadeaTelcoRegistre_Maintenance'!F:F,"Non repertorié")</f>
        <v>Non repertorié</v>
      </c>
    </row>
    <row r="806" spans="1:9" ht="20.5" customHeight="1" x14ac:dyDescent="0.35">
      <c r="A806" s="1">
        <v>45221.549305555556</v>
      </c>
      <c r="B806" s="5" t="s">
        <v>556</v>
      </c>
      <c r="C806">
        <v>39</v>
      </c>
      <c r="D806" t="s">
        <v>8</v>
      </c>
      <c r="E806" t="str">
        <f>_xlfn.XLOOKUP(CKadeaTelcoLogs_Reseau[[#This Row],[Cell_ID]],'CKadeaTelcoRegistre_Maintenance'!A:A,'CKadeaTelcoRegistre_Maintenance'!B:B,"Non repertorié")</f>
        <v>Non repertorié</v>
      </c>
      <c r="F806" t="str">
        <f>_xlfn.XLOOKUP(CKadeaTelcoLogs_Reseau[[#This Row],[Cell_ID]],'CKadeaTelcoRegistre_Maintenance'!A:A,'CKadeaTelcoRegistre_Maintenance'!C:C,"Non repertorié")</f>
        <v>Non repertorié</v>
      </c>
      <c r="G806" t="str">
        <f>_xlfn.XLOOKUP(CKadeaTelcoLogs_Reseau[[#This Row],[Cell_ID]],'CKadeaTelcoRegistre_Maintenance'!A:A,'CKadeaTelcoRegistre_Maintenance'!D:D,"Non repertorié")</f>
        <v>Non repertorié</v>
      </c>
      <c r="H806" t="str">
        <f>_xlfn.XLOOKUP(CKadeaTelcoLogs_Reseau[[#This Row],[Cell_ID]],'CKadeaTelcoRegistre_Maintenance'!A:A,'CKadeaTelcoRegistre_Maintenance'!E:E,"Non repertorié")</f>
        <v>Non repertorié</v>
      </c>
      <c r="I806" t="str">
        <f>_xlfn.XLOOKUP(CKadeaTelcoLogs_Reseau[[#This Row],[Cell_ID]],'CKadeaTelcoRegistre_Maintenance'!A:A,'CKadeaTelcoRegistre_Maintenance'!F:F,"Non repertorié")</f>
        <v>Non repertorié</v>
      </c>
    </row>
    <row r="807" spans="1:9" ht="20.5" customHeight="1" x14ac:dyDescent="0.35">
      <c r="A807" s="1">
        <v>45211.290277777778</v>
      </c>
      <c r="B807" s="5" t="s">
        <v>557</v>
      </c>
      <c r="C807">
        <v>73</v>
      </c>
      <c r="D807" t="s">
        <v>10</v>
      </c>
      <c r="E807" t="str">
        <f>_xlfn.XLOOKUP(CKadeaTelcoLogs_Reseau[[#This Row],[Cell_ID]],'CKadeaTelcoRegistre_Maintenance'!A:A,'CKadeaTelcoRegistre_Maintenance'!B:B,"Non repertorié")</f>
        <v>Non repertorié</v>
      </c>
      <c r="F807" t="str">
        <f>_xlfn.XLOOKUP(CKadeaTelcoLogs_Reseau[[#This Row],[Cell_ID]],'CKadeaTelcoRegistre_Maintenance'!A:A,'CKadeaTelcoRegistre_Maintenance'!C:C,"Non repertorié")</f>
        <v>Non repertorié</v>
      </c>
      <c r="G807" t="str">
        <f>_xlfn.XLOOKUP(CKadeaTelcoLogs_Reseau[[#This Row],[Cell_ID]],'CKadeaTelcoRegistre_Maintenance'!A:A,'CKadeaTelcoRegistre_Maintenance'!D:D,"Non repertorié")</f>
        <v>Non repertorié</v>
      </c>
      <c r="H807" t="str">
        <f>_xlfn.XLOOKUP(CKadeaTelcoLogs_Reseau[[#This Row],[Cell_ID]],'CKadeaTelcoRegistre_Maintenance'!A:A,'CKadeaTelcoRegistre_Maintenance'!E:E,"Non repertorié")</f>
        <v>Non repertorié</v>
      </c>
      <c r="I807" t="str">
        <f>_xlfn.XLOOKUP(CKadeaTelcoLogs_Reseau[[#This Row],[Cell_ID]],'CKadeaTelcoRegistre_Maintenance'!A:A,'CKadeaTelcoRegistre_Maintenance'!F:F,"Non repertorié")</f>
        <v>Non repertorié</v>
      </c>
    </row>
    <row r="808" spans="1:9" ht="20.5" customHeight="1" x14ac:dyDescent="0.35">
      <c r="A808" s="1">
        <v>45205.345138888886</v>
      </c>
      <c r="B808" s="5" t="s">
        <v>174</v>
      </c>
      <c r="C808">
        <v>109</v>
      </c>
      <c r="D808" t="s">
        <v>8</v>
      </c>
      <c r="E808" t="str">
        <f>_xlfn.XLOOKUP(CKadeaTelcoLogs_Reseau[[#This Row],[Cell_ID]],'CKadeaTelcoRegistre_Maintenance'!A:A,'CKadeaTelcoRegistre_Maintenance'!B:B,"Non repertorié")</f>
        <v>Lomami</v>
      </c>
      <c r="F808">
        <f>_xlfn.XLOOKUP(CKadeaTelcoLogs_Reseau[[#This Row],[Cell_ID]],'CKadeaTelcoRegistre_Maintenance'!A:A,'CKadeaTelcoRegistre_Maintenance'!C:C,"Non repertorié")</f>
        <v>-2.2681789999999999</v>
      </c>
      <c r="G808">
        <f>_xlfn.XLOOKUP(CKadeaTelcoLogs_Reseau[[#This Row],[Cell_ID]],'CKadeaTelcoRegistre_Maintenance'!A:A,'CKadeaTelcoRegistre_Maintenance'!D:D,"Non repertorié")</f>
        <v>25.699068</v>
      </c>
      <c r="H808" t="str">
        <f>_xlfn.XLOOKUP(CKadeaTelcoLogs_Reseau[[#This Row],[Cell_ID]],'CKadeaTelcoRegistre_Maintenance'!A:A,'CKadeaTelcoRegistre_Maintenance'!E:E,"Non repertorié")</f>
        <v>3G</v>
      </c>
      <c r="I808" t="str">
        <f>_xlfn.XLOOKUP(CKadeaTelcoLogs_Reseau[[#This Row],[Cell_ID]],'CKadeaTelcoRegistre_Maintenance'!A:A,'CKadeaTelcoRegistre_Maintenance'!F:F,"Non repertorié")</f>
        <v>ZTE</v>
      </c>
    </row>
    <row r="809" spans="1:9" ht="20.5" customHeight="1" x14ac:dyDescent="0.35">
      <c r="A809" s="1">
        <v>45214.168055555558</v>
      </c>
      <c r="B809" s="5" t="s">
        <v>558</v>
      </c>
      <c r="C809">
        <v>106</v>
      </c>
      <c r="D809" t="s">
        <v>5</v>
      </c>
      <c r="E809" t="str">
        <f>_xlfn.XLOOKUP(CKadeaTelcoLogs_Reseau[[#This Row],[Cell_ID]],'CKadeaTelcoRegistre_Maintenance'!A:A,'CKadeaTelcoRegistre_Maintenance'!B:B,"Non repertorié")</f>
        <v>Sud-Kivu</v>
      </c>
      <c r="F809">
        <f>_xlfn.XLOOKUP(CKadeaTelcoLogs_Reseau[[#This Row],[Cell_ID]],'CKadeaTelcoRegistre_Maintenance'!A:A,'CKadeaTelcoRegistre_Maintenance'!C:C,"Non repertorié")</f>
        <v>-11.207139</v>
      </c>
      <c r="G809">
        <f>_xlfn.XLOOKUP(CKadeaTelcoLogs_Reseau[[#This Row],[Cell_ID]],'CKadeaTelcoRegistre_Maintenance'!A:A,'CKadeaTelcoRegistre_Maintenance'!D:D,"Non repertorié")</f>
        <v>18.702511999999999</v>
      </c>
      <c r="H809" t="str">
        <f>_xlfn.XLOOKUP(CKadeaTelcoLogs_Reseau[[#This Row],[Cell_ID]],'CKadeaTelcoRegistre_Maintenance'!A:A,'CKadeaTelcoRegistre_Maintenance'!E:E,"Non repertorié")</f>
        <v>5G</v>
      </c>
      <c r="I809" t="str">
        <f>_xlfn.XLOOKUP(CKadeaTelcoLogs_Reseau[[#This Row],[Cell_ID]],'CKadeaTelcoRegistre_Maintenance'!A:A,'CKadeaTelcoRegistre_Maintenance'!F:F,"Non repertorié")</f>
        <v>Ericsson</v>
      </c>
    </row>
    <row r="810" spans="1:9" ht="20.5" customHeight="1" x14ac:dyDescent="0.35">
      <c r="A810" s="1">
        <v>45219.818749999999</v>
      </c>
      <c r="B810" s="5" t="s">
        <v>183</v>
      </c>
      <c r="C810">
        <v>99</v>
      </c>
      <c r="D810" t="s">
        <v>10</v>
      </c>
      <c r="E810" t="str">
        <f>_xlfn.XLOOKUP(CKadeaTelcoLogs_Reseau[[#This Row],[Cell_ID]],'CKadeaTelcoRegistre_Maintenance'!A:A,'CKadeaTelcoRegistre_Maintenance'!B:B,"Non repertorié")</f>
        <v>Non repertorié</v>
      </c>
      <c r="F810" t="str">
        <f>_xlfn.XLOOKUP(CKadeaTelcoLogs_Reseau[[#This Row],[Cell_ID]],'CKadeaTelcoRegistre_Maintenance'!A:A,'CKadeaTelcoRegistre_Maintenance'!C:C,"Non repertorié")</f>
        <v>Non repertorié</v>
      </c>
      <c r="G810" t="str">
        <f>_xlfn.XLOOKUP(CKadeaTelcoLogs_Reseau[[#This Row],[Cell_ID]],'CKadeaTelcoRegistre_Maintenance'!A:A,'CKadeaTelcoRegistre_Maintenance'!D:D,"Non repertorié")</f>
        <v>Non repertorié</v>
      </c>
      <c r="H810" t="str">
        <f>_xlfn.XLOOKUP(CKadeaTelcoLogs_Reseau[[#This Row],[Cell_ID]],'CKadeaTelcoRegistre_Maintenance'!A:A,'CKadeaTelcoRegistre_Maintenance'!E:E,"Non repertorié")</f>
        <v>Non repertorié</v>
      </c>
      <c r="I810" t="str">
        <f>_xlfn.XLOOKUP(CKadeaTelcoLogs_Reseau[[#This Row],[Cell_ID]],'CKadeaTelcoRegistre_Maintenance'!A:A,'CKadeaTelcoRegistre_Maintenance'!F:F,"Non repertorié")</f>
        <v>Non repertorié</v>
      </c>
    </row>
    <row r="811" spans="1:9" ht="20.5" customHeight="1" x14ac:dyDescent="0.35">
      <c r="A811" s="1">
        <v>45207.845833333333</v>
      </c>
      <c r="B811" s="5" t="s">
        <v>217</v>
      </c>
      <c r="C811">
        <v>12</v>
      </c>
      <c r="D811" t="s">
        <v>10</v>
      </c>
      <c r="E811" t="str">
        <f>_xlfn.XLOOKUP(CKadeaTelcoLogs_Reseau[[#This Row],[Cell_ID]],'CKadeaTelcoRegistre_Maintenance'!A:A,'CKadeaTelcoRegistre_Maintenance'!B:B,"Non repertorié")</f>
        <v>Non repertorié</v>
      </c>
      <c r="F811" t="str">
        <f>_xlfn.XLOOKUP(CKadeaTelcoLogs_Reseau[[#This Row],[Cell_ID]],'CKadeaTelcoRegistre_Maintenance'!A:A,'CKadeaTelcoRegistre_Maintenance'!C:C,"Non repertorié")</f>
        <v>Non repertorié</v>
      </c>
      <c r="G811" t="str">
        <f>_xlfn.XLOOKUP(CKadeaTelcoLogs_Reseau[[#This Row],[Cell_ID]],'CKadeaTelcoRegistre_Maintenance'!A:A,'CKadeaTelcoRegistre_Maintenance'!D:D,"Non repertorié")</f>
        <v>Non repertorié</v>
      </c>
      <c r="H811" t="str">
        <f>_xlfn.XLOOKUP(CKadeaTelcoLogs_Reseau[[#This Row],[Cell_ID]],'CKadeaTelcoRegistre_Maintenance'!A:A,'CKadeaTelcoRegistre_Maintenance'!E:E,"Non repertorié")</f>
        <v>Non repertorié</v>
      </c>
      <c r="I811" t="str">
        <f>_xlfn.XLOOKUP(CKadeaTelcoLogs_Reseau[[#This Row],[Cell_ID]],'CKadeaTelcoRegistre_Maintenance'!A:A,'CKadeaTelcoRegistre_Maintenance'!F:F,"Non repertorié")</f>
        <v>Non repertorié</v>
      </c>
    </row>
    <row r="812" spans="1:9" ht="20.5" customHeight="1" x14ac:dyDescent="0.35">
      <c r="A812" s="1">
        <v>45215.580555555556</v>
      </c>
      <c r="B812" s="5" t="s">
        <v>230</v>
      </c>
      <c r="C812">
        <v>102</v>
      </c>
      <c r="D812" t="s">
        <v>10</v>
      </c>
      <c r="E812" t="str">
        <f>_xlfn.XLOOKUP(CKadeaTelcoLogs_Reseau[[#This Row],[Cell_ID]],'CKadeaTelcoRegistre_Maintenance'!A:A,'CKadeaTelcoRegistre_Maintenance'!B:B,"Non repertorié")</f>
        <v>Tshopo</v>
      </c>
      <c r="F812">
        <f>_xlfn.XLOOKUP(CKadeaTelcoLogs_Reseau[[#This Row],[Cell_ID]],'CKadeaTelcoRegistre_Maintenance'!A:A,'CKadeaTelcoRegistre_Maintenance'!C:C,"Non repertorié")</f>
        <v>2.4425979999999998</v>
      </c>
      <c r="G812">
        <f>_xlfn.XLOOKUP(CKadeaTelcoLogs_Reseau[[#This Row],[Cell_ID]],'CKadeaTelcoRegistre_Maintenance'!A:A,'CKadeaTelcoRegistre_Maintenance'!D:D,"Non repertorié")</f>
        <v>24.924308</v>
      </c>
      <c r="H812" t="str">
        <f>_xlfn.XLOOKUP(CKadeaTelcoLogs_Reseau[[#This Row],[Cell_ID]],'CKadeaTelcoRegistre_Maintenance'!A:A,'CKadeaTelcoRegistre_Maintenance'!E:E,"Non repertorié")</f>
        <v>5G</v>
      </c>
      <c r="I812" t="str">
        <f>_xlfn.XLOOKUP(CKadeaTelcoLogs_Reseau[[#This Row],[Cell_ID]],'CKadeaTelcoRegistre_Maintenance'!A:A,'CKadeaTelcoRegistre_Maintenance'!F:F,"Non repertorié")</f>
        <v>Ericsson</v>
      </c>
    </row>
    <row r="813" spans="1:9" ht="20.5" customHeight="1" x14ac:dyDescent="0.35">
      <c r="A813" s="1">
        <v>45217.627083333333</v>
      </c>
      <c r="B813" s="5" t="s">
        <v>151</v>
      </c>
      <c r="C813">
        <v>33</v>
      </c>
      <c r="D813" t="s">
        <v>5</v>
      </c>
      <c r="E813" t="str">
        <f>_xlfn.XLOOKUP(CKadeaTelcoLogs_Reseau[[#This Row],[Cell_ID]],'CKadeaTelcoRegistre_Maintenance'!A:A,'CKadeaTelcoRegistre_Maintenance'!B:B,"Non repertorié")</f>
        <v>Haut-Uele</v>
      </c>
      <c r="F813">
        <f>_xlfn.XLOOKUP(CKadeaTelcoLogs_Reseau[[#This Row],[Cell_ID]],'CKadeaTelcoRegistre_Maintenance'!A:A,'CKadeaTelcoRegistre_Maintenance'!C:C,"Non repertorié")</f>
        <v>-1.8045979999999999</v>
      </c>
      <c r="G813">
        <f>_xlfn.XLOOKUP(CKadeaTelcoLogs_Reseau[[#This Row],[Cell_ID]],'CKadeaTelcoRegistre_Maintenance'!A:A,'CKadeaTelcoRegistre_Maintenance'!D:D,"Non repertorié")</f>
        <v>12.511096999999999</v>
      </c>
      <c r="H813" t="str">
        <f>_xlfn.XLOOKUP(CKadeaTelcoLogs_Reseau[[#This Row],[Cell_ID]],'CKadeaTelcoRegistre_Maintenance'!A:A,'CKadeaTelcoRegistre_Maintenance'!E:E,"Non repertorié")</f>
        <v>3G</v>
      </c>
      <c r="I813" t="str">
        <f>_xlfn.XLOOKUP(CKadeaTelcoLogs_Reseau[[#This Row],[Cell_ID]],'CKadeaTelcoRegistre_Maintenance'!A:A,'CKadeaTelcoRegistre_Maintenance'!F:F,"Non repertorié")</f>
        <v>Huawei</v>
      </c>
    </row>
    <row r="814" spans="1:9" ht="20.5" customHeight="1" x14ac:dyDescent="0.35">
      <c r="A814" s="1">
        <v>45202.35</v>
      </c>
      <c r="B814" s="5" t="s">
        <v>559</v>
      </c>
      <c r="C814">
        <v>78</v>
      </c>
      <c r="D814" t="s">
        <v>5</v>
      </c>
      <c r="E814" t="str">
        <f>_xlfn.XLOOKUP(CKadeaTelcoLogs_Reseau[[#This Row],[Cell_ID]],'CKadeaTelcoRegistre_Maintenance'!A:A,'CKadeaTelcoRegistre_Maintenance'!B:B,"Non repertorié")</f>
        <v>Mongala</v>
      </c>
      <c r="F814">
        <f>_xlfn.XLOOKUP(CKadeaTelcoLogs_Reseau[[#This Row],[Cell_ID]],'CKadeaTelcoRegistre_Maintenance'!A:A,'CKadeaTelcoRegistre_Maintenance'!C:C,"Non repertorié")</f>
        <v>4.0988100000000003</v>
      </c>
      <c r="G814">
        <f>_xlfn.XLOOKUP(CKadeaTelcoLogs_Reseau[[#This Row],[Cell_ID]],'CKadeaTelcoRegistre_Maintenance'!A:A,'CKadeaTelcoRegistre_Maintenance'!D:D,"Non repertorié")</f>
        <v>29.843810999999999</v>
      </c>
      <c r="H814" t="str">
        <f>_xlfn.XLOOKUP(CKadeaTelcoLogs_Reseau[[#This Row],[Cell_ID]],'CKadeaTelcoRegistre_Maintenance'!A:A,'CKadeaTelcoRegistre_Maintenance'!E:E,"Non repertorié")</f>
        <v>3G</v>
      </c>
      <c r="I814" t="str">
        <f>_xlfn.XLOOKUP(CKadeaTelcoLogs_Reseau[[#This Row],[Cell_ID]],'CKadeaTelcoRegistre_Maintenance'!A:A,'CKadeaTelcoRegistre_Maintenance'!F:F,"Non repertorié")</f>
        <v>Huawei</v>
      </c>
    </row>
    <row r="815" spans="1:9" ht="20.5" customHeight="1" x14ac:dyDescent="0.35">
      <c r="A815" s="1">
        <v>45204.55</v>
      </c>
      <c r="B815" s="5" t="s">
        <v>224</v>
      </c>
      <c r="C815">
        <v>113</v>
      </c>
      <c r="D815" t="s">
        <v>8</v>
      </c>
      <c r="E815" t="str">
        <f>_xlfn.XLOOKUP(CKadeaTelcoLogs_Reseau[[#This Row],[Cell_ID]],'CKadeaTelcoRegistre_Maintenance'!A:A,'CKadeaTelcoRegistre_Maintenance'!B:B,"Non repertorié")</f>
        <v>Kongo-Central</v>
      </c>
      <c r="F815">
        <f>_xlfn.XLOOKUP(CKadeaTelcoLogs_Reseau[[#This Row],[Cell_ID]],'CKadeaTelcoRegistre_Maintenance'!A:A,'CKadeaTelcoRegistre_Maintenance'!C:C,"Non repertorié")</f>
        <v>2.975352</v>
      </c>
      <c r="G815">
        <f>_xlfn.XLOOKUP(CKadeaTelcoLogs_Reseau[[#This Row],[Cell_ID]],'CKadeaTelcoRegistre_Maintenance'!A:A,'CKadeaTelcoRegistre_Maintenance'!D:D,"Non repertorié")</f>
        <v>22.535886000000001</v>
      </c>
      <c r="H815" t="str">
        <f>_xlfn.XLOOKUP(CKadeaTelcoLogs_Reseau[[#This Row],[Cell_ID]],'CKadeaTelcoRegistre_Maintenance'!A:A,'CKadeaTelcoRegistre_Maintenance'!E:E,"Non repertorié")</f>
        <v>4G</v>
      </c>
      <c r="I815" t="str">
        <f>_xlfn.XLOOKUP(CKadeaTelcoLogs_Reseau[[#This Row],[Cell_ID]],'CKadeaTelcoRegistre_Maintenance'!A:A,'CKadeaTelcoRegistre_Maintenance'!F:F,"Non repertorié")</f>
        <v>Huawei</v>
      </c>
    </row>
    <row r="816" spans="1:9" ht="20.5" customHeight="1" x14ac:dyDescent="0.35">
      <c r="A816" s="1">
        <v>45220.677083333336</v>
      </c>
      <c r="B816" s="5" t="s">
        <v>560</v>
      </c>
      <c r="C816">
        <v>107</v>
      </c>
      <c r="D816" t="s">
        <v>10</v>
      </c>
      <c r="E816" t="str">
        <f>_xlfn.XLOOKUP(CKadeaTelcoLogs_Reseau[[#This Row],[Cell_ID]],'CKadeaTelcoRegistre_Maintenance'!A:A,'CKadeaTelcoRegistre_Maintenance'!B:B,"Non repertorié")</f>
        <v>Tshopo</v>
      </c>
      <c r="F816">
        <f>_xlfn.XLOOKUP(CKadeaTelcoLogs_Reseau[[#This Row],[Cell_ID]],'CKadeaTelcoRegistre_Maintenance'!A:A,'CKadeaTelcoRegistre_Maintenance'!C:C,"Non repertorié")</f>
        <v>-6.4670189999999996</v>
      </c>
      <c r="G816">
        <f>_xlfn.XLOOKUP(CKadeaTelcoLogs_Reseau[[#This Row],[Cell_ID]],'CKadeaTelcoRegistre_Maintenance'!A:A,'CKadeaTelcoRegistre_Maintenance'!D:D,"Non repertorié")</f>
        <v>29.487309</v>
      </c>
      <c r="H816" t="str">
        <f>_xlfn.XLOOKUP(CKadeaTelcoLogs_Reseau[[#This Row],[Cell_ID]],'CKadeaTelcoRegistre_Maintenance'!A:A,'CKadeaTelcoRegistre_Maintenance'!E:E,"Non repertorié")</f>
        <v>4G</v>
      </c>
      <c r="I816" t="str">
        <f>_xlfn.XLOOKUP(CKadeaTelcoLogs_Reseau[[#This Row],[Cell_ID]],'CKadeaTelcoRegistre_Maintenance'!A:A,'CKadeaTelcoRegistre_Maintenance'!F:F,"Non repertorié")</f>
        <v>ZTE</v>
      </c>
    </row>
    <row r="817" spans="1:9" ht="20.5" customHeight="1" x14ac:dyDescent="0.35">
      <c r="A817" s="1">
        <v>45220.743055555555</v>
      </c>
      <c r="B817" s="5" t="s">
        <v>383</v>
      </c>
      <c r="C817">
        <v>54</v>
      </c>
      <c r="D817" t="s">
        <v>8</v>
      </c>
      <c r="E817" t="str">
        <f>_xlfn.XLOOKUP(CKadeaTelcoLogs_Reseau[[#This Row],[Cell_ID]],'CKadeaTelcoRegistre_Maintenance'!A:A,'CKadeaTelcoRegistre_Maintenance'!B:B,"Non repertorié")</f>
        <v>Nord-Kivu</v>
      </c>
      <c r="F817">
        <f>_xlfn.XLOOKUP(CKadeaTelcoLogs_Reseau[[#This Row],[Cell_ID]],'CKadeaTelcoRegistre_Maintenance'!A:A,'CKadeaTelcoRegistre_Maintenance'!C:C,"Non repertorié")</f>
        <v>-5.42171</v>
      </c>
      <c r="G817">
        <f>_xlfn.XLOOKUP(CKadeaTelcoLogs_Reseau[[#This Row],[Cell_ID]],'CKadeaTelcoRegistre_Maintenance'!A:A,'CKadeaTelcoRegistre_Maintenance'!D:D,"Non repertorié")</f>
        <v>24.202960999999998</v>
      </c>
      <c r="H817" t="str">
        <f>_xlfn.XLOOKUP(CKadeaTelcoLogs_Reseau[[#This Row],[Cell_ID]],'CKadeaTelcoRegistre_Maintenance'!A:A,'CKadeaTelcoRegistre_Maintenance'!E:E,"Non repertorié")</f>
        <v>5G</v>
      </c>
      <c r="I817" t="str">
        <f>_xlfn.XLOOKUP(CKadeaTelcoLogs_Reseau[[#This Row],[Cell_ID]],'CKadeaTelcoRegistre_Maintenance'!A:A,'CKadeaTelcoRegistre_Maintenance'!F:F,"Non repertorié")</f>
        <v>Ericsson</v>
      </c>
    </row>
    <row r="818" spans="1:9" ht="20.5" customHeight="1" x14ac:dyDescent="0.35">
      <c r="A818" s="1">
        <v>45200.534722222219</v>
      </c>
      <c r="B818" s="5" t="s">
        <v>561</v>
      </c>
      <c r="C818">
        <v>50</v>
      </c>
      <c r="D818" t="s">
        <v>10</v>
      </c>
      <c r="E818" t="str">
        <f>_xlfn.XLOOKUP(CKadeaTelcoLogs_Reseau[[#This Row],[Cell_ID]],'CKadeaTelcoRegistre_Maintenance'!A:A,'CKadeaTelcoRegistre_Maintenance'!B:B,"Non repertorié")</f>
        <v>Tshuapa</v>
      </c>
      <c r="F818">
        <f>_xlfn.XLOOKUP(CKadeaTelcoLogs_Reseau[[#This Row],[Cell_ID]],'CKadeaTelcoRegistre_Maintenance'!A:A,'CKadeaTelcoRegistre_Maintenance'!C:C,"Non repertorié")</f>
        <v>-7.7587710000000003</v>
      </c>
      <c r="G818">
        <f>_xlfn.XLOOKUP(CKadeaTelcoLogs_Reseau[[#This Row],[Cell_ID]],'CKadeaTelcoRegistre_Maintenance'!A:A,'CKadeaTelcoRegistre_Maintenance'!D:D,"Non repertorié")</f>
        <v>17.880848</v>
      </c>
      <c r="H818" t="str">
        <f>_xlfn.XLOOKUP(CKadeaTelcoLogs_Reseau[[#This Row],[Cell_ID]],'CKadeaTelcoRegistre_Maintenance'!A:A,'CKadeaTelcoRegistre_Maintenance'!E:E,"Non repertorié")</f>
        <v>3G</v>
      </c>
      <c r="I818" t="str">
        <f>_xlfn.XLOOKUP(CKadeaTelcoLogs_Reseau[[#This Row],[Cell_ID]],'CKadeaTelcoRegistre_Maintenance'!A:A,'CKadeaTelcoRegistre_Maintenance'!F:F,"Non repertorié")</f>
        <v>Ericsson</v>
      </c>
    </row>
    <row r="819" spans="1:9" ht="20.5" customHeight="1" x14ac:dyDescent="0.35">
      <c r="A819" s="1">
        <v>45222.479166666664</v>
      </c>
      <c r="B819" s="5" t="s">
        <v>562</v>
      </c>
      <c r="C819">
        <v>112</v>
      </c>
      <c r="D819" t="s">
        <v>8</v>
      </c>
      <c r="E819" t="str">
        <f>_xlfn.XLOOKUP(CKadeaTelcoLogs_Reseau[[#This Row],[Cell_ID]],'CKadeaTelcoRegistre_Maintenance'!A:A,'CKadeaTelcoRegistre_Maintenance'!B:B,"Non repertorié")</f>
        <v>Haut-Uele</v>
      </c>
      <c r="F819">
        <f>_xlfn.XLOOKUP(CKadeaTelcoLogs_Reseau[[#This Row],[Cell_ID]],'CKadeaTelcoRegistre_Maintenance'!A:A,'CKadeaTelcoRegistre_Maintenance'!C:C,"Non repertorié")</f>
        <v>-8.8118569999999998</v>
      </c>
      <c r="G819">
        <f>_xlfn.XLOOKUP(CKadeaTelcoLogs_Reseau[[#This Row],[Cell_ID]],'CKadeaTelcoRegistre_Maintenance'!A:A,'CKadeaTelcoRegistre_Maintenance'!D:D,"Non repertorié")</f>
        <v>14.465711000000001</v>
      </c>
      <c r="H819" t="str">
        <f>_xlfn.XLOOKUP(CKadeaTelcoLogs_Reseau[[#This Row],[Cell_ID]],'CKadeaTelcoRegistre_Maintenance'!A:A,'CKadeaTelcoRegistre_Maintenance'!E:E,"Non repertorié")</f>
        <v>5G</v>
      </c>
      <c r="I819" t="str">
        <f>_xlfn.XLOOKUP(CKadeaTelcoLogs_Reseau[[#This Row],[Cell_ID]],'CKadeaTelcoRegistre_Maintenance'!A:A,'CKadeaTelcoRegistre_Maintenance'!F:F,"Non repertorié")</f>
        <v>Nokia</v>
      </c>
    </row>
    <row r="820" spans="1:9" ht="20.5" customHeight="1" x14ac:dyDescent="0.35">
      <c r="A820" s="1">
        <v>45217.640277777777</v>
      </c>
      <c r="B820" s="5" t="s">
        <v>563</v>
      </c>
      <c r="C820">
        <v>113</v>
      </c>
      <c r="D820" t="s">
        <v>10</v>
      </c>
      <c r="E820" t="str">
        <f>_xlfn.XLOOKUP(CKadeaTelcoLogs_Reseau[[#This Row],[Cell_ID]],'CKadeaTelcoRegistre_Maintenance'!A:A,'CKadeaTelcoRegistre_Maintenance'!B:B,"Non repertorié")</f>
        <v>Non repertorié</v>
      </c>
      <c r="F820" t="str">
        <f>_xlfn.XLOOKUP(CKadeaTelcoLogs_Reseau[[#This Row],[Cell_ID]],'CKadeaTelcoRegistre_Maintenance'!A:A,'CKadeaTelcoRegistre_Maintenance'!C:C,"Non repertorié")</f>
        <v>Non repertorié</v>
      </c>
      <c r="G820" t="str">
        <f>_xlfn.XLOOKUP(CKadeaTelcoLogs_Reseau[[#This Row],[Cell_ID]],'CKadeaTelcoRegistre_Maintenance'!A:A,'CKadeaTelcoRegistre_Maintenance'!D:D,"Non repertorié")</f>
        <v>Non repertorié</v>
      </c>
      <c r="H820" t="str">
        <f>_xlfn.XLOOKUP(CKadeaTelcoLogs_Reseau[[#This Row],[Cell_ID]],'CKadeaTelcoRegistre_Maintenance'!A:A,'CKadeaTelcoRegistre_Maintenance'!E:E,"Non repertorié")</f>
        <v>Non repertorié</v>
      </c>
      <c r="I820" t="str">
        <f>_xlfn.XLOOKUP(CKadeaTelcoLogs_Reseau[[#This Row],[Cell_ID]],'CKadeaTelcoRegistre_Maintenance'!A:A,'CKadeaTelcoRegistre_Maintenance'!F:F,"Non repertorié")</f>
        <v>Non repertorié</v>
      </c>
    </row>
    <row r="821" spans="1:9" ht="20.5" customHeight="1" x14ac:dyDescent="0.35">
      <c r="A821" s="1">
        <v>45229.772222222222</v>
      </c>
      <c r="B821" s="5" t="s">
        <v>443</v>
      </c>
      <c r="C821">
        <v>27</v>
      </c>
      <c r="D821" t="s">
        <v>5</v>
      </c>
      <c r="E821" t="str">
        <f>_xlfn.XLOOKUP(CKadeaTelcoLogs_Reseau[[#This Row],[Cell_ID]],'CKadeaTelcoRegistre_Maintenance'!A:A,'CKadeaTelcoRegistre_Maintenance'!B:B,"Non repertorié")</f>
        <v>Non repertorié</v>
      </c>
      <c r="F821" t="str">
        <f>_xlfn.XLOOKUP(CKadeaTelcoLogs_Reseau[[#This Row],[Cell_ID]],'CKadeaTelcoRegistre_Maintenance'!A:A,'CKadeaTelcoRegistre_Maintenance'!C:C,"Non repertorié")</f>
        <v>Non repertorié</v>
      </c>
      <c r="G821" t="str">
        <f>_xlfn.XLOOKUP(CKadeaTelcoLogs_Reseau[[#This Row],[Cell_ID]],'CKadeaTelcoRegistre_Maintenance'!A:A,'CKadeaTelcoRegistre_Maintenance'!D:D,"Non repertorié")</f>
        <v>Non repertorié</v>
      </c>
      <c r="H821" t="str">
        <f>_xlfn.XLOOKUP(CKadeaTelcoLogs_Reseau[[#This Row],[Cell_ID]],'CKadeaTelcoRegistre_Maintenance'!A:A,'CKadeaTelcoRegistre_Maintenance'!E:E,"Non repertorié")</f>
        <v>Non repertorié</v>
      </c>
      <c r="I821" t="str">
        <f>_xlfn.XLOOKUP(CKadeaTelcoLogs_Reseau[[#This Row],[Cell_ID]],'CKadeaTelcoRegistre_Maintenance'!A:A,'CKadeaTelcoRegistre_Maintenance'!F:F,"Non repertorié")</f>
        <v>Non repertorié</v>
      </c>
    </row>
    <row r="822" spans="1:9" ht="20.5" customHeight="1" x14ac:dyDescent="0.35">
      <c r="A822" s="1">
        <v>45210.511805555558</v>
      </c>
      <c r="B822" s="5" t="s">
        <v>564</v>
      </c>
      <c r="C822">
        <v>27</v>
      </c>
      <c r="D822" t="s">
        <v>8</v>
      </c>
      <c r="E822" t="str">
        <f>_xlfn.XLOOKUP(CKadeaTelcoLogs_Reseau[[#This Row],[Cell_ID]],'CKadeaTelcoRegistre_Maintenance'!A:A,'CKadeaTelcoRegistre_Maintenance'!B:B,"Non repertorié")</f>
        <v>Non repertorié</v>
      </c>
      <c r="F822" t="str">
        <f>_xlfn.XLOOKUP(CKadeaTelcoLogs_Reseau[[#This Row],[Cell_ID]],'CKadeaTelcoRegistre_Maintenance'!A:A,'CKadeaTelcoRegistre_Maintenance'!C:C,"Non repertorié")</f>
        <v>Non repertorié</v>
      </c>
      <c r="G822" t="str">
        <f>_xlfn.XLOOKUP(CKadeaTelcoLogs_Reseau[[#This Row],[Cell_ID]],'CKadeaTelcoRegistre_Maintenance'!A:A,'CKadeaTelcoRegistre_Maintenance'!D:D,"Non repertorié")</f>
        <v>Non repertorié</v>
      </c>
      <c r="H822" t="str">
        <f>_xlfn.XLOOKUP(CKadeaTelcoLogs_Reseau[[#This Row],[Cell_ID]],'CKadeaTelcoRegistre_Maintenance'!A:A,'CKadeaTelcoRegistre_Maintenance'!E:E,"Non repertorié")</f>
        <v>Non repertorié</v>
      </c>
      <c r="I822" t="str">
        <f>_xlfn.XLOOKUP(CKadeaTelcoLogs_Reseau[[#This Row],[Cell_ID]],'CKadeaTelcoRegistre_Maintenance'!A:A,'CKadeaTelcoRegistre_Maintenance'!F:F,"Non repertorié")</f>
        <v>Non repertorié</v>
      </c>
    </row>
    <row r="823" spans="1:9" ht="20.5" customHeight="1" x14ac:dyDescent="0.35">
      <c r="A823" s="1">
        <v>45205.013888888891</v>
      </c>
      <c r="B823" s="5" t="s">
        <v>36</v>
      </c>
      <c r="C823">
        <v>35</v>
      </c>
      <c r="D823" t="s">
        <v>8</v>
      </c>
      <c r="E823" t="str">
        <f>_xlfn.XLOOKUP(CKadeaTelcoLogs_Reseau[[#This Row],[Cell_ID]],'CKadeaTelcoRegistre_Maintenance'!A:A,'CKadeaTelcoRegistre_Maintenance'!B:B,"Non repertorié")</f>
        <v>Nord-Ubangi</v>
      </c>
      <c r="F823">
        <f>_xlfn.XLOOKUP(CKadeaTelcoLogs_Reseau[[#This Row],[Cell_ID]],'CKadeaTelcoRegistre_Maintenance'!A:A,'CKadeaTelcoRegistre_Maintenance'!C:C,"Non repertorié")</f>
        <v>-8.1437910000000002</v>
      </c>
      <c r="G823">
        <f>_xlfn.XLOOKUP(CKadeaTelcoLogs_Reseau[[#This Row],[Cell_ID]],'CKadeaTelcoRegistre_Maintenance'!A:A,'CKadeaTelcoRegistre_Maintenance'!D:D,"Non repertorié")</f>
        <v>28.946161</v>
      </c>
      <c r="H823" t="str">
        <f>_xlfn.XLOOKUP(CKadeaTelcoLogs_Reseau[[#This Row],[Cell_ID]],'CKadeaTelcoRegistre_Maintenance'!A:A,'CKadeaTelcoRegistre_Maintenance'!E:E,"Non repertorié")</f>
        <v>4G</v>
      </c>
      <c r="I823" t="str">
        <f>_xlfn.XLOOKUP(CKadeaTelcoLogs_Reseau[[#This Row],[Cell_ID]],'CKadeaTelcoRegistre_Maintenance'!A:A,'CKadeaTelcoRegistre_Maintenance'!F:F,"Non repertorié")</f>
        <v>ZTE</v>
      </c>
    </row>
    <row r="824" spans="1:9" ht="20.5" customHeight="1" x14ac:dyDescent="0.35">
      <c r="A824" s="1">
        <v>45226.224999999999</v>
      </c>
      <c r="B824" s="5" t="s">
        <v>565</v>
      </c>
      <c r="C824">
        <v>11</v>
      </c>
      <c r="D824" t="s">
        <v>8</v>
      </c>
      <c r="E824" t="str">
        <f>_xlfn.XLOOKUP(CKadeaTelcoLogs_Reseau[[#This Row],[Cell_ID]],'CKadeaTelcoRegistre_Maintenance'!A:A,'CKadeaTelcoRegistre_Maintenance'!B:B,"Non repertorié")</f>
        <v>Sankuru</v>
      </c>
      <c r="F824">
        <f>_xlfn.XLOOKUP(CKadeaTelcoLogs_Reseau[[#This Row],[Cell_ID]],'CKadeaTelcoRegistre_Maintenance'!A:A,'CKadeaTelcoRegistre_Maintenance'!C:C,"Non repertorié")</f>
        <v>-0.157111</v>
      </c>
      <c r="G824">
        <f>_xlfn.XLOOKUP(CKadeaTelcoLogs_Reseau[[#This Row],[Cell_ID]],'CKadeaTelcoRegistre_Maintenance'!A:A,'CKadeaTelcoRegistre_Maintenance'!D:D,"Non repertorié")</f>
        <v>25.415125</v>
      </c>
      <c r="H824" t="str">
        <f>_xlfn.XLOOKUP(CKadeaTelcoLogs_Reseau[[#This Row],[Cell_ID]],'CKadeaTelcoRegistre_Maintenance'!A:A,'CKadeaTelcoRegistre_Maintenance'!E:E,"Non repertorié")</f>
        <v>4G</v>
      </c>
      <c r="I824" t="str">
        <f>_xlfn.XLOOKUP(CKadeaTelcoLogs_Reseau[[#This Row],[Cell_ID]],'CKadeaTelcoRegistre_Maintenance'!A:A,'CKadeaTelcoRegistre_Maintenance'!F:F,"Non repertorié")</f>
        <v>Ericsson</v>
      </c>
    </row>
    <row r="825" spans="1:9" ht="20.5" customHeight="1" x14ac:dyDescent="0.35">
      <c r="A825" s="1">
        <v>45209.988888888889</v>
      </c>
      <c r="B825" s="5" t="s">
        <v>461</v>
      </c>
      <c r="C825">
        <v>51</v>
      </c>
      <c r="D825" t="s">
        <v>8</v>
      </c>
      <c r="E825" t="str">
        <f>_xlfn.XLOOKUP(CKadeaTelcoLogs_Reseau[[#This Row],[Cell_ID]],'CKadeaTelcoRegistre_Maintenance'!A:A,'CKadeaTelcoRegistre_Maintenance'!B:B,"Non repertorié")</f>
        <v>Equateur</v>
      </c>
      <c r="F825">
        <f>_xlfn.XLOOKUP(CKadeaTelcoLogs_Reseau[[#This Row],[Cell_ID]],'CKadeaTelcoRegistre_Maintenance'!A:A,'CKadeaTelcoRegistre_Maintenance'!C:C,"Non repertorié")</f>
        <v>-6.1490739999999997</v>
      </c>
      <c r="G825">
        <f>_xlfn.XLOOKUP(CKadeaTelcoLogs_Reseau[[#This Row],[Cell_ID]],'CKadeaTelcoRegistre_Maintenance'!A:A,'CKadeaTelcoRegistre_Maintenance'!D:D,"Non repertorié")</f>
        <v>23.304411000000002</v>
      </c>
      <c r="H825" t="str">
        <f>_xlfn.XLOOKUP(CKadeaTelcoLogs_Reseau[[#This Row],[Cell_ID]],'CKadeaTelcoRegistre_Maintenance'!A:A,'CKadeaTelcoRegistre_Maintenance'!E:E,"Non repertorié")</f>
        <v>5G</v>
      </c>
      <c r="I825" t="str">
        <f>_xlfn.XLOOKUP(CKadeaTelcoLogs_Reseau[[#This Row],[Cell_ID]],'CKadeaTelcoRegistre_Maintenance'!A:A,'CKadeaTelcoRegistre_Maintenance'!F:F,"Non repertorié")</f>
        <v>ZTE</v>
      </c>
    </row>
    <row r="826" spans="1:9" ht="20.5" customHeight="1" x14ac:dyDescent="0.35">
      <c r="A826" s="1">
        <v>45209.174305555556</v>
      </c>
      <c r="B826" s="5" t="s">
        <v>542</v>
      </c>
      <c r="C826">
        <v>5</v>
      </c>
      <c r="D826" t="s">
        <v>5</v>
      </c>
      <c r="E826" t="str">
        <f>_xlfn.XLOOKUP(CKadeaTelcoLogs_Reseau[[#This Row],[Cell_ID]],'CKadeaTelcoRegistre_Maintenance'!A:A,'CKadeaTelcoRegistre_Maintenance'!B:B,"Non repertorié")</f>
        <v>Non repertorié</v>
      </c>
      <c r="F826" t="str">
        <f>_xlfn.XLOOKUP(CKadeaTelcoLogs_Reseau[[#This Row],[Cell_ID]],'CKadeaTelcoRegistre_Maintenance'!A:A,'CKadeaTelcoRegistre_Maintenance'!C:C,"Non repertorié")</f>
        <v>Non repertorié</v>
      </c>
      <c r="G826" t="str">
        <f>_xlfn.XLOOKUP(CKadeaTelcoLogs_Reseau[[#This Row],[Cell_ID]],'CKadeaTelcoRegistre_Maintenance'!A:A,'CKadeaTelcoRegistre_Maintenance'!D:D,"Non repertorié")</f>
        <v>Non repertorié</v>
      </c>
      <c r="H826" t="str">
        <f>_xlfn.XLOOKUP(CKadeaTelcoLogs_Reseau[[#This Row],[Cell_ID]],'CKadeaTelcoRegistre_Maintenance'!A:A,'CKadeaTelcoRegistre_Maintenance'!E:E,"Non repertorié")</f>
        <v>Non repertorié</v>
      </c>
      <c r="I826" t="str">
        <f>_xlfn.XLOOKUP(CKadeaTelcoLogs_Reseau[[#This Row],[Cell_ID]],'CKadeaTelcoRegistre_Maintenance'!A:A,'CKadeaTelcoRegistre_Maintenance'!F:F,"Non repertorié")</f>
        <v>Non repertorié</v>
      </c>
    </row>
    <row r="827" spans="1:9" ht="20.5" customHeight="1" x14ac:dyDescent="0.35">
      <c r="A827" s="1">
        <v>45223.030555555553</v>
      </c>
      <c r="B827" s="5" t="s">
        <v>566</v>
      </c>
      <c r="C827">
        <v>59</v>
      </c>
      <c r="D827" t="s">
        <v>5</v>
      </c>
      <c r="E827" t="str">
        <f>_xlfn.XLOOKUP(CKadeaTelcoLogs_Reseau[[#This Row],[Cell_ID]],'CKadeaTelcoRegistre_Maintenance'!A:A,'CKadeaTelcoRegistre_Maintenance'!B:B,"Non repertorié")</f>
        <v>Non repertorié</v>
      </c>
      <c r="F827" t="str">
        <f>_xlfn.XLOOKUP(CKadeaTelcoLogs_Reseau[[#This Row],[Cell_ID]],'CKadeaTelcoRegistre_Maintenance'!A:A,'CKadeaTelcoRegistre_Maintenance'!C:C,"Non repertorié")</f>
        <v>Non repertorié</v>
      </c>
      <c r="G827" t="str">
        <f>_xlfn.XLOOKUP(CKadeaTelcoLogs_Reseau[[#This Row],[Cell_ID]],'CKadeaTelcoRegistre_Maintenance'!A:A,'CKadeaTelcoRegistre_Maintenance'!D:D,"Non repertorié")</f>
        <v>Non repertorié</v>
      </c>
      <c r="H827" t="str">
        <f>_xlfn.XLOOKUP(CKadeaTelcoLogs_Reseau[[#This Row],[Cell_ID]],'CKadeaTelcoRegistre_Maintenance'!A:A,'CKadeaTelcoRegistre_Maintenance'!E:E,"Non repertorié")</f>
        <v>Non repertorié</v>
      </c>
      <c r="I827" t="str">
        <f>_xlfn.XLOOKUP(CKadeaTelcoLogs_Reseau[[#This Row],[Cell_ID]],'CKadeaTelcoRegistre_Maintenance'!A:A,'CKadeaTelcoRegistre_Maintenance'!F:F,"Non repertorié")</f>
        <v>Non repertorié</v>
      </c>
    </row>
    <row r="828" spans="1:9" ht="20.5" customHeight="1" x14ac:dyDescent="0.35">
      <c r="A828" s="1">
        <v>45230.767361111109</v>
      </c>
      <c r="B828" s="5" t="s">
        <v>567</v>
      </c>
      <c r="C828">
        <v>16</v>
      </c>
      <c r="D828" t="s">
        <v>10</v>
      </c>
      <c r="E828" t="str">
        <f>_xlfn.XLOOKUP(CKadeaTelcoLogs_Reseau[[#This Row],[Cell_ID]],'CKadeaTelcoRegistre_Maintenance'!A:A,'CKadeaTelcoRegistre_Maintenance'!B:B,"Non repertorié")</f>
        <v>Non repertorié</v>
      </c>
      <c r="F828" t="str">
        <f>_xlfn.XLOOKUP(CKadeaTelcoLogs_Reseau[[#This Row],[Cell_ID]],'CKadeaTelcoRegistre_Maintenance'!A:A,'CKadeaTelcoRegistre_Maintenance'!C:C,"Non repertorié")</f>
        <v>Non repertorié</v>
      </c>
      <c r="G828" t="str">
        <f>_xlfn.XLOOKUP(CKadeaTelcoLogs_Reseau[[#This Row],[Cell_ID]],'CKadeaTelcoRegistre_Maintenance'!A:A,'CKadeaTelcoRegistre_Maintenance'!D:D,"Non repertorié")</f>
        <v>Non repertorié</v>
      </c>
      <c r="H828" t="str">
        <f>_xlfn.XLOOKUP(CKadeaTelcoLogs_Reseau[[#This Row],[Cell_ID]],'CKadeaTelcoRegistre_Maintenance'!A:A,'CKadeaTelcoRegistre_Maintenance'!E:E,"Non repertorié")</f>
        <v>Non repertorié</v>
      </c>
      <c r="I828" t="str">
        <f>_xlfn.XLOOKUP(CKadeaTelcoLogs_Reseau[[#This Row],[Cell_ID]],'CKadeaTelcoRegistre_Maintenance'!A:A,'CKadeaTelcoRegistre_Maintenance'!F:F,"Non repertorié")</f>
        <v>Non repertorié</v>
      </c>
    </row>
    <row r="829" spans="1:9" ht="20.5" customHeight="1" x14ac:dyDescent="0.35">
      <c r="A829" s="1">
        <v>45227.751388888886</v>
      </c>
      <c r="B829" s="5" t="s">
        <v>450</v>
      </c>
      <c r="C829">
        <v>42</v>
      </c>
      <c r="D829" t="s">
        <v>5</v>
      </c>
      <c r="E829" t="str">
        <f>_xlfn.XLOOKUP(CKadeaTelcoLogs_Reseau[[#This Row],[Cell_ID]],'CKadeaTelcoRegistre_Maintenance'!A:A,'CKadeaTelcoRegistre_Maintenance'!B:B,"Non repertorié")</f>
        <v>Sud-Ubangi</v>
      </c>
      <c r="F829">
        <f>_xlfn.XLOOKUP(CKadeaTelcoLogs_Reseau[[#This Row],[Cell_ID]],'CKadeaTelcoRegistre_Maintenance'!A:A,'CKadeaTelcoRegistre_Maintenance'!C:C,"Non repertorié")</f>
        <v>-12.050063</v>
      </c>
      <c r="G829">
        <f>_xlfn.XLOOKUP(CKadeaTelcoLogs_Reseau[[#This Row],[Cell_ID]],'CKadeaTelcoRegistre_Maintenance'!A:A,'CKadeaTelcoRegistre_Maintenance'!D:D,"Non repertorié")</f>
        <v>26.636987999999999</v>
      </c>
      <c r="H829" t="str">
        <f>_xlfn.XLOOKUP(CKadeaTelcoLogs_Reseau[[#This Row],[Cell_ID]],'CKadeaTelcoRegistre_Maintenance'!A:A,'CKadeaTelcoRegistre_Maintenance'!E:E,"Non repertorié")</f>
        <v>3G</v>
      </c>
      <c r="I829" t="str">
        <f>_xlfn.XLOOKUP(CKadeaTelcoLogs_Reseau[[#This Row],[Cell_ID]],'CKadeaTelcoRegistre_Maintenance'!A:A,'CKadeaTelcoRegistre_Maintenance'!F:F,"Non repertorié")</f>
        <v>Nokia</v>
      </c>
    </row>
    <row r="830" spans="1:9" ht="20.5" customHeight="1" x14ac:dyDescent="0.35">
      <c r="A830" s="1">
        <v>45205.805555555555</v>
      </c>
      <c r="B830" s="5" t="s">
        <v>568</v>
      </c>
      <c r="C830">
        <v>110</v>
      </c>
      <c r="D830" t="s">
        <v>5</v>
      </c>
      <c r="E830" t="str">
        <f>_xlfn.XLOOKUP(CKadeaTelcoLogs_Reseau[[#This Row],[Cell_ID]],'CKadeaTelcoRegistre_Maintenance'!A:A,'CKadeaTelcoRegistre_Maintenance'!B:B,"Non repertorié")</f>
        <v>Non repertorié</v>
      </c>
      <c r="F830" t="str">
        <f>_xlfn.XLOOKUP(CKadeaTelcoLogs_Reseau[[#This Row],[Cell_ID]],'CKadeaTelcoRegistre_Maintenance'!A:A,'CKadeaTelcoRegistre_Maintenance'!C:C,"Non repertorié")</f>
        <v>Non repertorié</v>
      </c>
      <c r="G830" t="str">
        <f>_xlfn.XLOOKUP(CKadeaTelcoLogs_Reseau[[#This Row],[Cell_ID]],'CKadeaTelcoRegistre_Maintenance'!A:A,'CKadeaTelcoRegistre_Maintenance'!D:D,"Non repertorié")</f>
        <v>Non repertorié</v>
      </c>
      <c r="H830" t="str">
        <f>_xlfn.XLOOKUP(CKadeaTelcoLogs_Reseau[[#This Row],[Cell_ID]],'CKadeaTelcoRegistre_Maintenance'!A:A,'CKadeaTelcoRegistre_Maintenance'!E:E,"Non repertorié")</f>
        <v>Non repertorié</v>
      </c>
      <c r="I830" t="str">
        <f>_xlfn.XLOOKUP(CKadeaTelcoLogs_Reseau[[#This Row],[Cell_ID]],'CKadeaTelcoRegistre_Maintenance'!A:A,'CKadeaTelcoRegistre_Maintenance'!F:F,"Non repertorié")</f>
        <v>Non repertorié</v>
      </c>
    </row>
    <row r="831" spans="1:9" ht="20.5" customHeight="1" x14ac:dyDescent="0.35">
      <c r="A831" s="1">
        <v>45229.801388888889</v>
      </c>
      <c r="B831" s="5" t="s">
        <v>214</v>
      </c>
      <c r="C831">
        <v>89</v>
      </c>
      <c r="D831" t="s">
        <v>5</v>
      </c>
      <c r="E831" t="str">
        <f>_xlfn.XLOOKUP(CKadeaTelcoLogs_Reseau[[#This Row],[Cell_ID]],'CKadeaTelcoRegistre_Maintenance'!A:A,'CKadeaTelcoRegistre_Maintenance'!B:B,"Non repertorié")</f>
        <v>Non repertorié</v>
      </c>
      <c r="F831" t="str">
        <f>_xlfn.XLOOKUP(CKadeaTelcoLogs_Reseau[[#This Row],[Cell_ID]],'CKadeaTelcoRegistre_Maintenance'!A:A,'CKadeaTelcoRegistre_Maintenance'!C:C,"Non repertorié")</f>
        <v>Non repertorié</v>
      </c>
      <c r="G831" t="str">
        <f>_xlfn.XLOOKUP(CKadeaTelcoLogs_Reseau[[#This Row],[Cell_ID]],'CKadeaTelcoRegistre_Maintenance'!A:A,'CKadeaTelcoRegistre_Maintenance'!D:D,"Non repertorié")</f>
        <v>Non repertorié</v>
      </c>
      <c r="H831" t="str">
        <f>_xlfn.XLOOKUP(CKadeaTelcoLogs_Reseau[[#This Row],[Cell_ID]],'CKadeaTelcoRegistre_Maintenance'!A:A,'CKadeaTelcoRegistre_Maintenance'!E:E,"Non repertorié")</f>
        <v>Non repertorié</v>
      </c>
      <c r="I831" t="str">
        <f>_xlfn.XLOOKUP(CKadeaTelcoLogs_Reseau[[#This Row],[Cell_ID]],'CKadeaTelcoRegistre_Maintenance'!A:A,'CKadeaTelcoRegistre_Maintenance'!F:F,"Non repertorié")</f>
        <v>Non repertorié</v>
      </c>
    </row>
    <row r="832" spans="1:9" ht="20.5" customHeight="1" x14ac:dyDescent="0.35">
      <c r="A832" s="1">
        <v>45220.754166666666</v>
      </c>
      <c r="B832" s="5" t="s">
        <v>142</v>
      </c>
      <c r="C832">
        <v>85</v>
      </c>
      <c r="D832" t="s">
        <v>5</v>
      </c>
      <c r="E832" t="str">
        <f>_xlfn.XLOOKUP(CKadeaTelcoLogs_Reseau[[#This Row],[Cell_ID]],'CKadeaTelcoRegistre_Maintenance'!A:A,'CKadeaTelcoRegistre_Maintenance'!B:B,"Non repertorié")</f>
        <v>Lualaba</v>
      </c>
      <c r="F832">
        <f>_xlfn.XLOOKUP(CKadeaTelcoLogs_Reseau[[#This Row],[Cell_ID]],'CKadeaTelcoRegistre_Maintenance'!A:A,'CKadeaTelcoRegistre_Maintenance'!C:C,"Non repertorié")</f>
        <v>-9.7803979999999999</v>
      </c>
      <c r="G832">
        <f>_xlfn.XLOOKUP(CKadeaTelcoLogs_Reseau[[#This Row],[Cell_ID]],'CKadeaTelcoRegistre_Maintenance'!A:A,'CKadeaTelcoRegistre_Maintenance'!D:D,"Non repertorié")</f>
        <v>17.686595000000001</v>
      </c>
      <c r="H832" t="str">
        <f>_xlfn.XLOOKUP(CKadeaTelcoLogs_Reseau[[#This Row],[Cell_ID]],'CKadeaTelcoRegistre_Maintenance'!A:A,'CKadeaTelcoRegistre_Maintenance'!E:E,"Non repertorié")</f>
        <v>4G</v>
      </c>
      <c r="I832" t="str">
        <f>_xlfn.XLOOKUP(CKadeaTelcoLogs_Reseau[[#This Row],[Cell_ID]],'CKadeaTelcoRegistre_Maintenance'!A:A,'CKadeaTelcoRegistre_Maintenance'!F:F,"Non repertorié")</f>
        <v>Ericsson</v>
      </c>
    </row>
    <row r="833" spans="1:9" ht="20.5" customHeight="1" x14ac:dyDescent="0.35">
      <c r="A833" s="1">
        <v>45229.631249999999</v>
      </c>
      <c r="B833" s="5" t="s">
        <v>569</v>
      </c>
      <c r="C833">
        <v>81</v>
      </c>
      <c r="D833" t="s">
        <v>5</v>
      </c>
      <c r="E833" t="str">
        <f>_xlfn.XLOOKUP(CKadeaTelcoLogs_Reseau[[#This Row],[Cell_ID]],'CKadeaTelcoRegistre_Maintenance'!A:A,'CKadeaTelcoRegistre_Maintenance'!B:B,"Non repertorié")</f>
        <v>Tshuapa</v>
      </c>
      <c r="F833">
        <f>_xlfn.XLOOKUP(CKadeaTelcoLogs_Reseau[[#This Row],[Cell_ID]],'CKadeaTelcoRegistre_Maintenance'!A:A,'CKadeaTelcoRegistre_Maintenance'!C:C,"Non repertorié")</f>
        <v>-10.574821</v>
      </c>
      <c r="G833">
        <f>_xlfn.XLOOKUP(CKadeaTelcoLogs_Reseau[[#This Row],[Cell_ID]],'CKadeaTelcoRegistre_Maintenance'!A:A,'CKadeaTelcoRegistre_Maintenance'!D:D,"Non repertorié")</f>
        <v>25.324966</v>
      </c>
      <c r="H833" t="str">
        <f>_xlfn.XLOOKUP(CKadeaTelcoLogs_Reseau[[#This Row],[Cell_ID]],'CKadeaTelcoRegistre_Maintenance'!A:A,'CKadeaTelcoRegistre_Maintenance'!E:E,"Non repertorié")</f>
        <v>5G</v>
      </c>
      <c r="I833" t="str">
        <f>_xlfn.XLOOKUP(CKadeaTelcoLogs_Reseau[[#This Row],[Cell_ID]],'CKadeaTelcoRegistre_Maintenance'!A:A,'CKadeaTelcoRegistre_Maintenance'!F:F,"Non repertorié")</f>
        <v>Ericsson</v>
      </c>
    </row>
    <row r="834" spans="1:9" ht="20.5" customHeight="1" x14ac:dyDescent="0.35">
      <c r="A834" s="1">
        <v>45210.961111111108</v>
      </c>
      <c r="B834" s="5" t="s">
        <v>167</v>
      </c>
      <c r="C834">
        <v>66</v>
      </c>
      <c r="D834" t="s">
        <v>5</v>
      </c>
      <c r="E834" t="str">
        <f>_xlfn.XLOOKUP(CKadeaTelcoLogs_Reseau[[#This Row],[Cell_ID]],'CKadeaTelcoRegistre_Maintenance'!A:A,'CKadeaTelcoRegistre_Maintenance'!B:B,"Non repertorié")</f>
        <v>Kinshasa</v>
      </c>
      <c r="F834">
        <f>_xlfn.XLOOKUP(CKadeaTelcoLogs_Reseau[[#This Row],[Cell_ID]],'CKadeaTelcoRegistre_Maintenance'!A:A,'CKadeaTelcoRegistre_Maintenance'!C:C,"Non repertorié")</f>
        <v>-11.991020000000001</v>
      </c>
      <c r="G834">
        <f>_xlfn.XLOOKUP(CKadeaTelcoLogs_Reseau[[#This Row],[Cell_ID]],'CKadeaTelcoRegistre_Maintenance'!A:A,'CKadeaTelcoRegistre_Maintenance'!D:D,"Non repertorié")</f>
        <v>22.514747</v>
      </c>
      <c r="H834" t="str">
        <f>_xlfn.XLOOKUP(CKadeaTelcoLogs_Reseau[[#This Row],[Cell_ID]],'CKadeaTelcoRegistre_Maintenance'!A:A,'CKadeaTelcoRegistre_Maintenance'!E:E,"Non repertorié")</f>
        <v>5G</v>
      </c>
      <c r="I834" t="str">
        <f>_xlfn.XLOOKUP(CKadeaTelcoLogs_Reseau[[#This Row],[Cell_ID]],'CKadeaTelcoRegistre_Maintenance'!A:A,'CKadeaTelcoRegistre_Maintenance'!F:F,"Non repertorié")</f>
        <v>ZTE</v>
      </c>
    </row>
    <row r="835" spans="1:9" ht="20.5" customHeight="1" x14ac:dyDescent="0.35">
      <c r="A835" s="1">
        <v>45207.472222222219</v>
      </c>
      <c r="B835" s="5" t="s">
        <v>570</v>
      </c>
      <c r="C835">
        <v>30</v>
      </c>
      <c r="D835" t="s">
        <v>10</v>
      </c>
      <c r="E835" t="str">
        <f>_xlfn.XLOOKUP(CKadeaTelcoLogs_Reseau[[#This Row],[Cell_ID]],'CKadeaTelcoRegistre_Maintenance'!A:A,'CKadeaTelcoRegistre_Maintenance'!B:B,"Non repertorié")</f>
        <v>Non repertorié</v>
      </c>
      <c r="F835" t="str">
        <f>_xlfn.XLOOKUP(CKadeaTelcoLogs_Reseau[[#This Row],[Cell_ID]],'CKadeaTelcoRegistre_Maintenance'!A:A,'CKadeaTelcoRegistre_Maintenance'!C:C,"Non repertorié")</f>
        <v>Non repertorié</v>
      </c>
      <c r="G835" t="str">
        <f>_xlfn.XLOOKUP(CKadeaTelcoLogs_Reseau[[#This Row],[Cell_ID]],'CKadeaTelcoRegistre_Maintenance'!A:A,'CKadeaTelcoRegistre_Maintenance'!D:D,"Non repertorié")</f>
        <v>Non repertorié</v>
      </c>
      <c r="H835" t="str">
        <f>_xlfn.XLOOKUP(CKadeaTelcoLogs_Reseau[[#This Row],[Cell_ID]],'CKadeaTelcoRegistre_Maintenance'!A:A,'CKadeaTelcoRegistre_Maintenance'!E:E,"Non repertorié")</f>
        <v>Non repertorié</v>
      </c>
      <c r="I835" t="str">
        <f>_xlfn.XLOOKUP(CKadeaTelcoLogs_Reseau[[#This Row],[Cell_ID]],'CKadeaTelcoRegistre_Maintenance'!A:A,'CKadeaTelcoRegistre_Maintenance'!F:F,"Non repertorié")</f>
        <v>Non repertorié</v>
      </c>
    </row>
    <row r="836" spans="1:9" ht="20.5" customHeight="1" x14ac:dyDescent="0.35">
      <c r="A836" s="1">
        <v>45205.87222222222</v>
      </c>
      <c r="B836" s="5" t="s">
        <v>571</v>
      </c>
      <c r="C836">
        <v>17</v>
      </c>
      <c r="D836" t="s">
        <v>5</v>
      </c>
      <c r="E836" t="str">
        <f>_xlfn.XLOOKUP(CKadeaTelcoLogs_Reseau[[#This Row],[Cell_ID]],'CKadeaTelcoRegistre_Maintenance'!A:A,'CKadeaTelcoRegistre_Maintenance'!B:B,"Non repertorié")</f>
        <v>Non repertorié</v>
      </c>
      <c r="F836" t="str">
        <f>_xlfn.XLOOKUP(CKadeaTelcoLogs_Reseau[[#This Row],[Cell_ID]],'CKadeaTelcoRegistre_Maintenance'!A:A,'CKadeaTelcoRegistre_Maintenance'!C:C,"Non repertorié")</f>
        <v>Non repertorié</v>
      </c>
      <c r="G836" t="str">
        <f>_xlfn.XLOOKUP(CKadeaTelcoLogs_Reseau[[#This Row],[Cell_ID]],'CKadeaTelcoRegistre_Maintenance'!A:A,'CKadeaTelcoRegistre_Maintenance'!D:D,"Non repertorié")</f>
        <v>Non repertorié</v>
      </c>
      <c r="H836" t="str">
        <f>_xlfn.XLOOKUP(CKadeaTelcoLogs_Reseau[[#This Row],[Cell_ID]],'CKadeaTelcoRegistre_Maintenance'!A:A,'CKadeaTelcoRegistre_Maintenance'!E:E,"Non repertorié")</f>
        <v>Non repertorié</v>
      </c>
      <c r="I836" t="str">
        <f>_xlfn.XLOOKUP(CKadeaTelcoLogs_Reseau[[#This Row],[Cell_ID]],'CKadeaTelcoRegistre_Maintenance'!A:A,'CKadeaTelcoRegistre_Maintenance'!F:F,"Non repertorié")</f>
        <v>Non repertorié</v>
      </c>
    </row>
    <row r="837" spans="1:9" ht="20.5" customHeight="1" x14ac:dyDescent="0.35">
      <c r="A837" s="1">
        <v>45230.119444444441</v>
      </c>
      <c r="B837" s="5" t="s">
        <v>185</v>
      </c>
      <c r="C837">
        <v>8</v>
      </c>
      <c r="D837" t="s">
        <v>8</v>
      </c>
      <c r="E837" t="str">
        <f>_xlfn.XLOOKUP(CKadeaTelcoLogs_Reseau[[#This Row],[Cell_ID]],'CKadeaTelcoRegistre_Maintenance'!A:A,'CKadeaTelcoRegistre_Maintenance'!B:B,"Non repertorié")</f>
        <v>Lualaba</v>
      </c>
      <c r="F837">
        <f>_xlfn.XLOOKUP(CKadeaTelcoLogs_Reseau[[#This Row],[Cell_ID]],'CKadeaTelcoRegistre_Maintenance'!A:A,'CKadeaTelcoRegistre_Maintenance'!C:C,"Non repertorié")</f>
        <v>-9.5243310000000001</v>
      </c>
      <c r="G837">
        <f>_xlfn.XLOOKUP(CKadeaTelcoLogs_Reseau[[#This Row],[Cell_ID]],'CKadeaTelcoRegistre_Maintenance'!A:A,'CKadeaTelcoRegistre_Maintenance'!D:D,"Non repertorié")</f>
        <v>30.541212000000002</v>
      </c>
      <c r="H837" t="str">
        <f>_xlfn.XLOOKUP(CKadeaTelcoLogs_Reseau[[#This Row],[Cell_ID]],'CKadeaTelcoRegistre_Maintenance'!A:A,'CKadeaTelcoRegistre_Maintenance'!E:E,"Non repertorié")</f>
        <v>3G</v>
      </c>
      <c r="I837" t="str">
        <f>_xlfn.XLOOKUP(CKadeaTelcoLogs_Reseau[[#This Row],[Cell_ID]],'CKadeaTelcoRegistre_Maintenance'!A:A,'CKadeaTelcoRegistre_Maintenance'!F:F,"Non repertorié")</f>
        <v>Ericsson</v>
      </c>
    </row>
    <row r="838" spans="1:9" ht="20.5" customHeight="1" x14ac:dyDescent="0.35">
      <c r="A838" s="1">
        <v>45222.902777777781</v>
      </c>
      <c r="B838" s="5" t="s">
        <v>235</v>
      </c>
      <c r="C838">
        <v>31</v>
      </c>
      <c r="D838" t="s">
        <v>10</v>
      </c>
      <c r="E838" t="str">
        <f>_xlfn.XLOOKUP(CKadeaTelcoLogs_Reseau[[#This Row],[Cell_ID]],'CKadeaTelcoRegistre_Maintenance'!A:A,'CKadeaTelcoRegistre_Maintenance'!B:B,"Non repertorié")</f>
        <v>Sankuru</v>
      </c>
      <c r="F838">
        <f>_xlfn.XLOOKUP(CKadeaTelcoLogs_Reseau[[#This Row],[Cell_ID]],'CKadeaTelcoRegistre_Maintenance'!A:A,'CKadeaTelcoRegistre_Maintenance'!C:C,"Non repertorié")</f>
        <v>-7.5969509999999998</v>
      </c>
      <c r="G838">
        <f>_xlfn.XLOOKUP(CKadeaTelcoLogs_Reseau[[#This Row],[Cell_ID]],'CKadeaTelcoRegistre_Maintenance'!A:A,'CKadeaTelcoRegistre_Maintenance'!D:D,"Non repertorié")</f>
        <v>22.153986</v>
      </c>
      <c r="H838" t="str">
        <f>_xlfn.XLOOKUP(CKadeaTelcoLogs_Reseau[[#This Row],[Cell_ID]],'CKadeaTelcoRegistre_Maintenance'!A:A,'CKadeaTelcoRegistre_Maintenance'!E:E,"Non repertorié")</f>
        <v>3G</v>
      </c>
      <c r="I838" t="str">
        <f>_xlfn.XLOOKUP(CKadeaTelcoLogs_Reseau[[#This Row],[Cell_ID]],'CKadeaTelcoRegistre_Maintenance'!A:A,'CKadeaTelcoRegistre_Maintenance'!F:F,"Non repertorié")</f>
        <v>Ericsson</v>
      </c>
    </row>
    <row r="839" spans="1:9" ht="20.5" customHeight="1" x14ac:dyDescent="0.35">
      <c r="A839" s="1">
        <v>45223.436111111114</v>
      </c>
      <c r="B839" s="5" t="s">
        <v>191</v>
      </c>
      <c r="C839">
        <v>26</v>
      </c>
      <c r="D839" t="s">
        <v>5</v>
      </c>
      <c r="E839" t="str">
        <f>_xlfn.XLOOKUP(CKadeaTelcoLogs_Reseau[[#This Row],[Cell_ID]],'CKadeaTelcoRegistre_Maintenance'!A:A,'CKadeaTelcoRegistre_Maintenance'!B:B,"Non repertorié")</f>
        <v>Bas-Uele</v>
      </c>
      <c r="F839">
        <f>_xlfn.XLOOKUP(CKadeaTelcoLogs_Reseau[[#This Row],[Cell_ID]],'CKadeaTelcoRegistre_Maintenance'!A:A,'CKadeaTelcoRegistre_Maintenance'!C:C,"Non repertorié")</f>
        <v>1.5278670000000001</v>
      </c>
      <c r="G839">
        <f>_xlfn.XLOOKUP(CKadeaTelcoLogs_Reseau[[#This Row],[Cell_ID]],'CKadeaTelcoRegistre_Maintenance'!A:A,'CKadeaTelcoRegistre_Maintenance'!D:D,"Non repertorié")</f>
        <v>13.899388999999999</v>
      </c>
      <c r="H839" t="str">
        <f>_xlfn.XLOOKUP(CKadeaTelcoLogs_Reseau[[#This Row],[Cell_ID]],'CKadeaTelcoRegistre_Maintenance'!A:A,'CKadeaTelcoRegistre_Maintenance'!E:E,"Non repertorié")</f>
        <v>3G</v>
      </c>
      <c r="I839" t="str">
        <f>_xlfn.XLOOKUP(CKadeaTelcoLogs_Reseau[[#This Row],[Cell_ID]],'CKadeaTelcoRegistre_Maintenance'!A:A,'CKadeaTelcoRegistre_Maintenance'!F:F,"Non repertorié")</f>
        <v>Huawei</v>
      </c>
    </row>
    <row r="840" spans="1:9" ht="20.5" customHeight="1" x14ac:dyDescent="0.35">
      <c r="A840" s="1">
        <v>45200.342361111114</v>
      </c>
      <c r="B840" s="5" t="s">
        <v>280</v>
      </c>
      <c r="C840">
        <v>86</v>
      </c>
      <c r="D840" t="s">
        <v>8</v>
      </c>
      <c r="E840" t="str">
        <f>_xlfn.XLOOKUP(CKadeaTelcoLogs_Reseau[[#This Row],[Cell_ID]],'CKadeaTelcoRegistre_Maintenance'!A:A,'CKadeaTelcoRegistre_Maintenance'!B:B,"Non repertorié")</f>
        <v>Haut-Lomami</v>
      </c>
      <c r="F840">
        <f>_xlfn.XLOOKUP(CKadeaTelcoLogs_Reseau[[#This Row],[Cell_ID]],'CKadeaTelcoRegistre_Maintenance'!A:A,'CKadeaTelcoRegistre_Maintenance'!C:C,"Non repertorié")</f>
        <v>2.628638</v>
      </c>
      <c r="G840">
        <f>_xlfn.XLOOKUP(CKadeaTelcoLogs_Reseau[[#This Row],[Cell_ID]],'CKadeaTelcoRegistre_Maintenance'!A:A,'CKadeaTelcoRegistre_Maintenance'!D:D,"Non repertorié")</f>
        <v>28.420582</v>
      </c>
      <c r="H840" t="str">
        <f>_xlfn.XLOOKUP(CKadeaTelcoLogs_Reseau[[#This Row],[Cell_ID]],'CKadeaTelcoRegistre_Maintenance'!A:A,'CKadeaTelcoRegistre_Maintenance'!E:E,"Non repertorié")</f>
        <v>4G</v>
      </c>
      <c r="I840" t="str">
        <f>_xlfn.XLOOKUP(CKadeaTelcoLogs_Reseau[[#This Row],[Cell_ID]],'CKadeaTelcoRegistre_Maintenance'!A:A,'CKadeaTelcoRegistre_Maintenance'!F:F,"Non repertorié")</f>
        <v>Huawei</v>
      </c>
    </row>
    <row r="841" spans="1:9" ht="20.5" customHeight="1" x14ac:dyDescent="0.35">
      <c r="A841" s="1">
        <v>45207.919444444444</v>
      </c>
      <c r="B841" s="5" t="s">
        <v>572</v>
      </c>
      <c r="C841">
        <v>42</v>
      </c>
      <c r="D841" t="s">
        <v>5</v>
      </c>
      <c r="E841" t="str">
        <f>_xlfn.XLOOKUP(CKadeaTelcoLogs_Reseau[[#This Row],[Cell_ID]],'CKadeaTelcoRegistre_Maintenance'!A:A,'CKadeaTelcoRegistre_Maintenance'!B:B,"Non repertorié")</f>
        <v>Non repertorié</v>
      </c>
      <c r="F841" t="str">
        <f>_xlfn.XLOOKUP(CKadeaTelcoLogs_Reseau[[#This Row],[Cell_ID]],'CKadeaTelcoRegistre_Maintenance'!A:A,'CKadeaTelcoRegistre_Maintenance'!C:C,"Non repertorié")</f>
        <v>Non repertorié</v>
      </c>
      <c r="G841" t="str">
        <f>_xlfn.XLOOKUP(CKadeaTelcoLogs_Reseau[[#This Row],[Cell_ID]],'CKadeaTelcoRegistre_Maintenance'!A:A,'CKadeaTelcoRegistre_Maintenance'!D:D,"Non repertorié")</f>
        <v>Non repertorié</v>
      </c>
      <c r="H841" t="str">
        <f>_xlfn.XLOOKUP(CKadeaTelcoLogs_Reseau[[#This Row],[Cell_ID]],'CKadeaTelcoRegistre_Maintenance'!A:A,'CKadeaTelcoRegistre_Maintenance'!E:E,"Non repertorié")</f>
        <v>Non repertorié</v>
      </c>
      <c r="I841" t="str">
        <f>_xlfn.XLOOKUP(CKadeaTelcoLogs_Reseau[[#This Row],[Cell_ID]],'CKadeaTelcoRegistre_Maintenance'!A:A,'CKadeaTelcoRegistre_Maintenance'!F:F,"Non repertorié")</f>
        <v>Non repertorié</v>
      </c>
    </row>
    <row r="842" spans="1:9" ht="20.5" customHeight="1" x14ac:dyDescent="0.35">
      <c r="A842" s="1">
        <v>45211.368055555555</v>
      </c>
      <c r="B842" s="5" t="s">
        <v>166</v>
      </c>
      <c r="C842">
        <v>15</v>
      </c>
      <c r="D842" t="s">
        <v>8</v>
      </c>
      <c r="E842" t="str">
        <f>_xlfn.XLOOKUP(CKadeaTelcoLogs_Reseau[[#This Row],[Cell_ID]],'CKadeaTelcoRegistre_Maintenance'!A:A,'CKadeaTelcoRegistre_Maintenance'!B:B,"Non repertorié")</f>
        <v>Non repertorié</v>
      </c>
      <c r="F842" t="str">
        <f>_xlfn.XLOOKUP(CKadeaTelcoLogs_Reseau[[#This Row],[Cell_ID]],'CKadeaTelcoRegistre_Maintenance'!A:A,'CKadeaTelcoRegistre_Maintenance'!C:C,"Non repertorié")</f>
        <v>Non repertorié</v>
      </c>
      <c r="G842" t="str">
        <f>_xlfn.XLOOKUP(CKadeaTelcoLogs_Reseau[[#This Row],[Cell_ID]],'CKadeaTelcoRegistre_Maintenance'!A:A,'CKadeaTelcoRegistre_Maintenance'!D:D,"Non repertorié")</f>
        <v>Non repertorié</v>
      </c>
      <c r="H842" t="str">
        <f>_xlfn.XLOOKUP(CKadeaTelcoLogs_Reseau[[#This Row],[Cell_ID]],'CKadeaTelcoRegistre_Maintenance'!A:A,'CKadeaTelcoRegistre_Maintenance'!E:E,"Non repertorié")</f>
        <v>Non repertorié</v>
      </c>
      <c r="I842" t="str">
        <f>_xlfn.XLOOKUP(CKadeaTelcoLogs_Reseau[[#This Row],[Cell_ID]],'CKadeaTelcoRegistre_Maintenance'!A:A,'CKadeaTelcoRegistre_Maintenance'!F:F,"Non repertorié")</f>
        <v>Non repertorié</v>
      </c>
    </row>
    <row r="843" spans="1:9" ht="20.5" customHeight="1" x14ac:dyDescent="0.35">
      <c r="A843" s="1">
        <v>45203.958333333336</v>
      </c>
      <c r="B843" s="5" t="s">
        <v>573</v>
      </c>
      <c r="C843">
        <v>65</v>
      </c>
      <c r="D843" t="s">
        <v>10</v>
      </c>
      <c r="E843" t="str">
        <f>_xlfn.XLOOKUP(CKadeaTelcoLogs_Reseau[[#This Row],[Cell_ID]],'CKadeaTelcoRegistre_Maintenance'!A:A,'CKadeaTelcoRegistre_Maintenance'!B:B,"Non repertorié")</f>
        <v>Non repertorié</v>
      </c>
      <c r="F843" t="str">
        <f>_xlfn.XLOOKUP(CKadeaTelcoLogs_Reseau[[#This Row],[Cell_ID]],'CKadeaTelcoRegistre_Maintenance'!A:A,'CKadeaTelcoRegistre_Maintenance'!C:C,"Non repertorié")</f>
        <v>Non repertorié</v>
      </c>
      <c r="G843" t="str">
        <f>_xlfn.XLOOKUP(CKadeaTelcoLogs_Reseau[[#This Row],[Cell_ID]],'CKadeaTelcoRegistre_Maintenance'!A:A,'CKadeaTelcoRegistre_Maintenance'!D:D,"Non repertorié")</f>
        <v>Non repertorié</v>
      </c>
      <c r="H843" t="str">
        <f>_xlfn.XLOOKUP(CKadeaTelcoLogs_Reseau[[#This Row],[Cell_ID]],'CKadeaTelcoRegistre_Maintenance'!A:A,'CKadeaTelcoRegistre_Maintenance'!E:E,"Non repertorié")</f>
        <v>Non repertorié</v>
      </c>
      <c r="I843" t="str">
        <f>_xlfn.XLOOKUP(CKadeaTelcoLogs_Reseau[[#This Row],[Cell_ID]],'CKadeaTelcoRegistre_Maintenance'!A:A,'CKadeaTelcoRegistre_Maintenance'!F:F,"Non repertorié")</f>
        <v>Non repertorié</v>
      </c>
    </row>
    <row r="844" spans="1:9" ht="20.5" customHeight="1" x14ac:dyDescent="0.35">
      <c r="A844" s="1">
        <v>45201.519444444442</v>
      </c>
      <c r="B844" s="5" t="s">
        <v>120</v>
      </c>
      <c r="C844">
        <v>113</v>
      </c>
      <c r="D844" t="s">
        <v>10</v>
      </c>
      <c r="E844" t="str">
        <f>_xlfn.XLOOKUP(CKadeaTelcoLogs_Reseau[[#This Row],[Cell_ID]],'CKadeaTelcoRegistre_Maintenance'!A:A,'CKadeaTelcoRegistre_Maintenance'!B:B,"Non repertorié")</f>
        <v>Non repertorié</v>
      </c>
      <c r="F844" t="str">
        <f>_xlfn.XLOOKUP(CKadeaTelcoLogs_Reseau[[#This Row],[Cell_ID]],'CKadeaTelcoRegistre_Maintenance'!A:A,'CKadeaTelcoRegistre_Maintenance'!C:C,"Non repertorié")</f>
        <v>Non repertorié</v>
      </c>
      <c r="G844" t="str">
        <f>_xlfn.XLOOKUP(CKadeaTelcoLogs_Reseau[[#This Row],[Cell_ID]],'CKadeaTelcoRegistre_Maintenance'!A:A,'CKadeaTelcoRegistre_Maintenance'!D:D,"Non repertorié")</f>
        <v>Non repertorié</v>
      </c>
      <c r="H844" t="str">
        <f>_xlfn.XLOOKUP(CKadeaTelcoLogs_Reseau[[#This Row],[Cell_ID]],'CKadeaTelcoRegistre_Maintenance'!A:A,'CKadeaTelcoRegistre_Maintenance'!E:E,"Non repertorié")</f>
        <v>Non repertorié</v>
      </c>
      <c r="I844" t="str">
        <f>_xlfn.XLOOKUP(CKadeaTelcoLogs_Reseau[[#This Row],[Cell_ID]],'CKadeaTelcoRegistre_Maintenance'!A:A,'CKadeaTelcoRegistre_Maintenance'!F:F,"Non repertorié")</f>
        <v>Non repertorié</v>
      </c>
    </row>
    <row r="845" spans="1:9" ht="20.5" customHeight="1" x14ac:dyDescent="0.35">
      <c r="A845" s="1">
        <v>45223.548611111109</v>
      </c>
      <c r="B845" s="5" t="s">
        <v>518</v>
      </c>
      <c r="C845">
        <v>19</v>
      </c>
      <c r="D845" t="s">
        <v>8</v>
      </c>
      <c r="E845" t="str">
        <f>_xlfn.XLOOKUP(CKadeaTelcoLogs_Reseau[[#This Row],[Cell_ID]],'CKadeaTelcoRegistre_Maintenance'!A:A,'CKadeaTelcoRegistre_Maintenance'!B:B,"Non repertorié")</f>
        <v>Non repertorié</v>
      </c>
      <c r="F845" t="str">
        <f>_xlfn.XLOOKUP(CKadeaTelcoLogs_Reseau[[#This Row],[Cell_ID]],'CKadeaTelcoRegistre_Maintenance'!A:A,'CKadeaTelcoRegistre_Maintenance'!C:C,"Non repertorié")</f>
        <v>Non repertorié</v>
      </c>
      <c r="G845" t="str">
        <f>_xlfn.XLOOKUP(CKadeaTelcoLogs_Reseau[[#This Row],[Cell_ID]],'CKadeaTelcoRegistre_Maintenance'!A:A,'CKadeaTelcoRegistre_Maintenance'!D:D,"Non repertorié")</f>
        <v>Non repertorié</v>
      </c>
      <c r="H845" t="str">
        <f>_xlfn.XLOOKUP(CKadeaTelcoLogs_Reseau[[#This Row],[Cell_ID]],'CKadeaTelcoRegistre_Maintenance'!A:A,'CKadeaTelcoRegistre_Maintenance'!E:E,"Non repertorié")</f>
        <v>Non repertorié</v>
      </c>
      <c r="I845" t="str">
        <f>_xlfn.XLOOKUP(CKadeaTelcoLogs_Reseau[[#This Row],[Cell_ID]],'CKadeaTelcoRegistre_Maintenance'!A:A,'CKadeaTelcoRegistre_Maintenance'!F:F,"Non repertorié")</f>
        <v>Non repertorié</v>
      </c>
    </row>
    <row r="846" spans="1:9" ht="20.5" customHeight="1" x14ac:dyDescent="0.35">
      <c r="A846" s="1">
        <v>45228.563194444447</v>
      </c>
      <c r="B846" s="5" t="s">
        <v>475</v>
      </c>
      <c r="C846">
        <v>44</v>
      </c>
      <c r="D846" t="s">
        <v>5</v>
      </c>
      <c r="E846" t="str">
        <f>_xlfn.XLOOKUP(CKadeaTelcoLogs_Reseau[[#This Row],[Cell_ID]],'CKadeaTelcoRegistre_Maintenance'!A:A,'CKadeaTelcoRegistre_Maintenance'!B:B,"Non repertorié")</f>
        <v>Tshopo</v>
      </c>
      <c r="F846">
        <f>_xlfn.XLOOKUP(CKadeaTelcoLogs_Reseau[[#This Row],[Cell_ID]],'CKadeaTelcoRegistre_Maintenance'!A:A,'CKadeaTelcoRegistre_Maintenance'!C:C,"Non repertorié")</f>
        <v>-11.265995</v>
      </c>
      <c r="G846">
        <f>_xlfn.XLOOKUP(CKadeaTelcoLogs_Reseau[[#This Row],[Cell_ID]],'CKadeaTelcoRegistre_Maintenance'!A:A,'CKadeaTelcoRegistre_Maintenance'!D:D,"Non repertorié")</f>
        <v>28.935514999999999</v>
      </c>
      <c r="H846" t="str">
        <f>_xlfn.XLOOKUP(CKadeaTelcoLogs_Reseau[[#This Row],[Cell_ID]],'CKadeaTelcoRegistre_Maintenance'!A:A,'CKadeaTelcoRegistre_Maintenance'!E:E,"Non repertorié")</f>
        <v>4G</v>
      </c>
      <c r="I846" t="str">
        <f>_xlfn.XLOOKUP(CKadeaTelcoLogs_Reseau[[#This Row],[Cell_ID]],'CKadeaTelcoRegistre_Maintenance'!A:A,'CKadeaTelcoRegistre_Maintenance'!F:F,"Non repertorié")</f>
        <v>Ericsson</v>
      </c>
    </row>
    <row r="847" spans="1:9" ht="20.5" customHeight="1" x14ac:dyDescent="0.35">
      <c r="A847" s="1">
        <v>45228.515277777777</v>
      </c>
      <c r="B847" s="5" t="s">
        <v>574</v>
      </c>
      <c r="C847">
        <v>105</v>
      </c>
      <c r="D847" t="s">
        <v>5</v>
      </c>
      <c r="E847" t="str">
        <f>_xlfn.XLOOKUP(CKadeaTelcoLogs_Reseau[[#This Row],[Cell_ID]],'CKadeaTelcoRegistre_Maintenance'!A:A,'CKadeaTelcoRegistre_Maintenance'!B:B,"Non repertorié")</f>
        <v>Tshopo</v>
      </c>
      <c r="F847">
        <f>_xlfn.XLOOKUP(CKadeaTelcoLogs_Reseau[[#This Row],[Cell_ID]],'CKadeaTelcoRegistre_Maintenance'!A:A,'CKadeaTelcoRegistre_Maintenance'!C:C,"Non repertorié")</f>
        <v>-0.919767</v>
      </c>
      <c r="G847">
        <f>_xlfn.XLOOKUP(CKadeaTelcoLogs_Reseau[[#This Row],[Cell_ID]],'CKadeaTelcoRegistre_Maintenance'!A:A,'CKadeaTelcoRegistre_Maintenance'!D:D,"Non repertorié")</f>
        <v>18.905538</v>
      </c>
      <c r="H847" t="str">
        <f>_xlfn.XLOOKUP(CKadeaTelcoLogs_Reseau[[#This Row],[Cell_ID]],'CKadeaTelcoRegistre_Maintenance'!A:A,'CKadeaTelcoRegistre_Maintenance'!E:E,"Non repertorié")</f>
        <v>5G</v>
      </c>
      <c r="I847" t="str">
        <f>_xlfn.XLOOKUP(CKadeaTelcoLogs_Reseau[[#This Row],[Cell_ID]],'CKadeaTelcoRegistre_Maintenance'!A:A,'CKadeaTelcoRegistre_Maintenance'!F:F,"Non repertorié")</f>
        <v>Ericsson</v>
      </c>
    </row>
    <row r="848" spans="1:9" ht="20.5" customHeight="1" x14ac:dyDescent="0.35">
      <c r="A848" s="1">
        <v>45217.504166666666</v>
      </c>
      <c r="B848" s="5" t="s">
        <v>305</v>
      </c>
      <c r="C848">
        <v>55</v>
      </c>
      <c r="D848" t="s">
        <v>10</v>
      </c>
      <c r="E848" t="str">
        <f>_xlfn.XLOOKUP(CKadeaTelcoLogs_Reseau[[#This Row],[Cell_ID]],'CKadeaTelcoRegistre_Maintenance'!A:A,'CKadeaTelcoRegistre_Maintenance'!B:B,"Non repertorié")</f>
        <v>Non repertorié</v>
      </c>
      <c r="F848" t="str">
        <f>_xlfn.XLOOKUP(CKadeaTelcoLogs_Reseau[[#This Row],[Cell_ID]],'CKadeaTelcoRegistre_Maintenance'!A:A,'CKadeaTelcoRegistre_Maintenance'!C:C,"Non repertorié")</f>
        <v>Non repertorié</v>
      </c>
      <c r="G848" t="str">
        <f>_xlfn.XLOOKUP(CKadeaTelcoLogs_Reseau[[#This Row],[Cell_ID]],'CKadeaTelcoRegistre_Maintenance'!A:A,'CKadeaTelcoRegistre_Maintenance'!D:D,"Non repertorié")</f>
        <v>Non repertorié</v>
      </c>
      <c r="H848" t="str">
        <f>_xlfn.XLOOKUP(CKadeaTelcoLogs_Reseau[[#This Row],[Cell_ID]],'CKadeaTelcoRegistre_Maintenance'!A:A,'CKadeaTelcoRegistre_Maintenance'!E:E,"Non repertorié")</f>
        <v>Non repertorié</v>
      </c>
      <c r="I848" t="str">
        <f>_xlfn.XLOOKUP(CKadeaTelcoLogs_Reseau[[#This Row],[Cell_ID]],'CKadeaTelcoRegistre_Maintenance'!A:A,'CKadeaTelcoRegistre_Maintenance'!F:F,"Non repertorié")</f>
        <v>Non repertorié</v>
      </c>
    </row>
    <row r="849" spans="1:9" ht="20.5" customHeight="1" x14ac:dyDescent="0.35">
      <c r="A849" s="1">
        <v>45226.659722222219</v>
      </c>
      <c r="B849" s="5" t="s">
        <v>290</v>
      </c>
      <c r="C849">
        <v>65</v>
      </c>
      <c r="D849" t="s">
        <v>8</v>
      </c>
      <c r="E849" t="str">
        <f>_xlfn.XLOOKUP(CKadeaTelcoLogs_Reseau[[#This Row],[Cell_ID]],'CKadeaTelcoRegistre_Maintenance'!A:A,'CKadeaTelcoRegistre_Maintenance'!B:B,"Non repertorié")</f>
        <v>Haut-Katanga</v>
      </c>
      <c r="F849">
        <f>_xlfn.XLOOKUP(CKadeaTelcoLogs_Reseau[[#This Row],[Cell_ID]],'CKadeaTelcoRegistre_Maintenance'!A:A,'CKadeaTelcoRegistre_Maintenance'!C:C,"Non repertorié")</f>
        <v>-11.594525000000001</v>
      </c>
      <c r="G849">
        <f>_xlfn.XLOOKUP(CKadeaTelcoLogs_Reseau[[#This Row],[Cell_ID]],'CKadeaTelcoRegistre_Maintenance'!A:A,'CKadeaTelcoRegistre_Maintenance'!D:D,"Non repertorié")</f>
        <v>29.744895</v>
      </c>
      <c r="H849" t="str">
        <f>_xlfn.XLOOKUP(CKadeaTelcoLogs_Reseau[[#This Row],[Cell_ID]],'CKadeaTelcoRegistre_Maintenance'!A:A,'CKadeaTelcoRegistre_Maintenance'!E:E,"Non repertorié")</f>
        <v>3G</v>
      </c>
      <c r="I849" t="str">
        <f>_xlfn.XLOOKUP(CKadeaTelcoLogs_Reseau[[#This Row],[Cell_ID]],'CKadeaTelcoRegistre_Maintenance'!A:A,'CKadeaTelcoRegistre_Maintenance'!F:F,"Non repertorié")</f>
        <v>ZTE</v>
      </c>
    </row>
    <row r="850" spans="1:9" ht="20.5" customHeight="1" x14ac:dyDescent="0.35">
      <c r="A850" s="1">
        <v>45227.77847222222</v>
      </c>
      <c r="B850" s="5" t="s">
        <v>432</v>
      </c>
      <c r="C850">
        <v>67</v>
      </c>
      <c r="D850" t="s">
        <v>10</v>
      </c>
      <c r="E850" t="str">
        <f>_xlfn.XLOOKUP(CKadeaTelcoLogs_Reseau[[#This Row],[Cell_ID]],'CKadeaTelcoRegistre_Maintenance'!A:A,'CKadeaTelcoRegistre_Maintenance'!B:B,"Non repertorié")</f>
        <v>Mai-Ndombe</v>
      </c>
      <c r="F850">
        <f>_xlfn.XLOOKUP(CKadeaTelcoLogs_Reseau[[#This Row],[Cell_ID]],'CKadeaTelcoRegistre_Maintenance'!A:A,'CKadeaTelcoRegistre_Maintenance'!C:C,"Non repertorié")</f>
        <v>-0.47411900000000001</v>
      </c>
      <c r="G850">
        <f>_xlfn.XLOOKUP(CKadeaTelcoLogs_Reseau[[#This Row],[Cell_ID]],'CKadeaTelcoRegistre_Maintenance'!A:A,'CKadeaTelcoRegistre_Maintenance'!D:D,"Non repertorié")</f>
        <v>27.184329000000002</v>
      </c>
      <c r="H850" t="str">
        <f>_xlfn.XLOOKUP(CKadeaTelcoLogs_Reseau[[#This Row],[Cell_ID]],'CKadeaTelcoRegistre_Maintenance'!A:A,'CKadeaTelcoRegistre_Maintenance'!E:E,"Non repertorié")</f>
        <v>5G</v>
      </c>
      <c r="I850" t="str">
        <f>_xlfn.XLOOKUP(CKadeaTelcoLogs_Reseau[[#This Row],[Cell_ID]],'CKadeaTelcoRegistre_Maintenance'!A:A,'CKadeaTelcoRegistre_Maintenance'!F:F,"Non repertorié")</f>
        <v>ZTE</v>
      </c>
    </row>
    <row r="851" spans="1:9" ht="20.5" customHeight="1" x14ac:dyDescent="0.35">
      <c r="A851" s="1">
        <v>45224.884722222225</v>
      </c>
      <c r="B851" s="5" t="s">
        <v>575</v>
      </c>
      <c r="C851">
        <v>119</v>
      </c>
      <c r="D851" t="s">
        <v>8</v>
      </c>
      <c r="E851" t="str">
        <f>_xlfn.XLOOKUP(CKadeaTelcoLogs_Reseau[[#This Row],[Cell_ID]],'CKadeaTelcoRegistre_Maintenance'!A:A,'CKadeaTelcoRegistre_Maintenance'!B:B,"Non repertorié")</f>
        <v>Non repertorié</v>
      </c>
      <c r="F851" t="str">
        <f>_xlfn.XLOOKUP(CKadeaTelcoLogs_Reseau[[#This Row],[Cell_ID]],'CKadeaTelcoRegistre_Maintenance'!A:A,'CKadeaTelcoRegistre_Maintenance'!C:C,"Non repertorié")</f>
        <v>Non repertorié</v>
      </c>
      <c r="G851" t="str">
        <f>_xlfn.XLOOKUP(CKadeaTelcoLogs_Reseau[[#This Row],[Cell_ID]],'CKadeaTelcoRegistre_Maintenance'!A:A,'CKadeaTelcoRegistre_Maintenance'!D:D,"Non repertorié")</f>
        <v>Non repertorié</v>
      </c>
      <c r="H851" t="str">
        <f>_xlfn.XLOOKUP(CKadeaTelcoLogs_Reseau[[#This Row],[Cell_ID]],'CKadeaTelcoRegistre_Maintenance'!A:A,'CKadeaTelcoRegistre_Maintenance'!E:E,"Non repertorié")</f>
        <v>Non repertorié</v>
      </c>
      <c r="I851" t="str">
        <f>_xlfn.XLOOKUP(CKadeaTelcoLogs_Reseau[[#This Row],[Cell_ID]],'CKadeaTelcoRegistre_Maintenance'!A:A,'CKadeaTelcoRegistre_Maintenance'!F:F,"Non repertorié")</f>
        <v>Non repertorié</v>
      </c>
    </row>
    <row r="852" spans="1:9" ht="20.5" customHeight="1" x14ac:dyDescent="0.35">
      <c r="A852" s="1">
        <v>45205.586111111108</v>
      </c>
      <c r="B852" s="5" t="s">
        <v>576</v>
      </c>
      <c r="C852">
        <v>89</v>
      </c>
      <c r="D852" t="s">
        <v>10</v>
      </c>
      <c r="E852" t="str">
        <f>_xlfn.XLOOKUP(CKadeaTelcoLogs_Reseau[[#This Row],[Cell_ID]],'CKadeaTelcoRegistre_Maintenance'!A:A,'CKadeaTelcoRegistre_Maintenance'!B:B,"Non repertorié")</f>
        <v>Non repertorié</v>
      </c>
      <c r="F852" t="str">
        <f>_xlfn.XLOOKUP(CKadeaTelcoLogs_Reseau[[#This Row],[Cell_ID]],'CKadeaTelcoRegistre_Maintenance'!A:A,'CKadeaTelcoRegistre_Maintenance'!C:C,"Non repertorié")</f>
        <v>Non repertorié</v>
      </c>
      <c r="G852" t="str">
        <f>_xlfn.XLOOKUP(CKadeaTelcoLogs_Reseau[[#This Row],[Cell_ID]],'CKadeaTelcoRegistre_Maintenance'!A:A,'CKadeaTelcoRegistre_Maintenance'!D:D,"Non repertorié")</f>
        <v>Non repertorié</v>
      </c>
      <c r="H852" t="str">
        <f>_xlfn.XLOOKUP(CKadeaTelcoLogs_Reseau[[#This Row],[Cell_ID]],'CKadeaTelcoRegistre_Maintenance'!A:A,'CKadeaTelcoRegistre_Maintenance'!E:E,"Non repertorié")</f>
        <v>Non repertorié</v>
      </c>
      <c r="I852" t="str">
        <f>_xlfn.XLOOKUP(CKadeaTelcoLogs_Reseau[[#This Row],[Cell_ID]],'CKadeaTelcoRegistre_Maintenance'!A:A,'CKadeaTelcoRegistre_Maintenance'!F:F,"Non repertorié")</f>
        <v>Non repertorié</v>
      </c>
    </row>
    <row r="853" spans="1:9" ht="20.5" customHeight="1" x14ac:dyDescent="0.35">
      <c r="A853" s="1">
        <v>45225.054166666669</v>
      </c>
      <c r="B853" s="5" t="s">
        <v>577</v>
      </c>
      <c r="C853">
        <v>38</v>
      </c>
      <c r="D853" t="s">
        <v>10</v>
      </c>
      <c r="E853" t="str">
        <f>_xlfn.XLOOKUP(CKadeaTelcoLogs_Reseau[[#This Row],[Cell_ID]],'CKadeaTelcoRegistre_Maintenance'!A:A,'CKadeaTelcoRegistre_Maintenance'!B:B,"Non repertorié")</f>
        <v>Lualaba</v>
      </c>
      <c r="F853">
        <f>_xlfn.XLOOKUP(CKadeaTelcoLogs_Reseau[[#This Row],[Cell_ID]],'CKadeaTelcoRegistre_Maintenance'!A:A,'CKadeaTelcoRegistre_Maintenance'!C:C,"Non repertorié")</f>
        <v>-4.2184999999999997</v>
      </c>
      <c r="G853">
        <f>_xlfn.XLOOKUP(CKadeaTelcoLogs_Reseau[[#This Row],[Cell_ID]],'CKadeaTelcoRegistre_Maintenance'!A:A,'CKadeaTelcoRegistre_Maintenance'!D:D,"Non repertorié")</f>
        <v>23.077093999999999</v>
      </c>
      <c r="H853" t="str">
        <f>_xlfn.XLOOKUP(CKadeaTelcoLogs_Reseau[[#This Row],[Cell_ID]],'CKadeaTelcoRegistre_Maintenance'!A:A,'CKadeaTelcoRegistre_Maintenance'!E:E,"Non repertorié")</f>
        <v>4G</v>
      </c>
      <c r="I853" t="str">
        <f>_xlfn.XLOOKUP(CKadeaTelcoLogs_Reseau[[#This Row],[Cell_ID]],'CKadeaTelcoRegistre_Maintenance'!A:A,'CKadeaTelcoRegistre_Maintenance'!F:F,"Non repertorié")</f>
        <v>Ericsson</v>
      </c>
    </row>
    <row r="854" spans="1:9" ht="20.5" customHeight="1" x14ac:dyDescent="0.35">
      <c r="A854" s="1">
        <v>45200.427777777775</v>
      </c>
      <c r="B854" s="5" t="s">
        <v>115</v>
      </c>
      <c r="C854">
        <v>16</v>
      </c>
      <c r="D854" t="s">
        <v>8</v>
      </c>
      <c r="E854" t="str">
        <f>_xlfn.XLOOKUP(CKadeaTelcoLogs_Reseau[[#This Row],[Cell_ID]],'CKadeaTelcoRegistre_Maintenance'!A:A,'CKadeaTelcoRegistre_Maintenance'!B:B,"Non repertorié")</f>
        <v>Non repertorié</v>
      </c>
      <c r="F854" t="str">
        <f>_xlfn.XLOOKUP(CKadeaTelcoLogs_Reseau[[#This Row],[Cell_ID]],'CKadeaTelcoRegistre_Maintenance'!A:A,'CKadeaTelcoRegistre_Maintenance'!C:C,"Non repertorié")</f>
        <v>Non repertorié</v>
      </c>
      <c r="G854" t="str">
        <f>_xlfn.XLOOKUP(CKadeaTelcoLogs_Reseau[[#This Row],[Cell_ID]],'CKadeaTelcoRegistre_Maintenance'!A:A,'CKadeaTelcoRegistre_Maintenance'!D:D,"Non repertorié")</f>
        <v>Non repertorié</v>
      </c>
      <c r="H854" t="str">
        <f>_xlfn.XLOOKUP(CKadeaTelcoLogs_Reseau[[#This Row],[Cell_ID]],'CKadeaTelcoRegistre_Maintenance'!A:A,'CKadeaTelcoRegistre_Maintenance'!E:E,"Non repertorié")</f>
        <v>Non repertorié</v>
      </c>
      <c r="I854" t="str">
        <f>_xlfn.XLOOKUP(CKadeaTelcoLogs_Reseau[[#This Row],[Cell_ID]],'CKadeaTelcoRegistre_Maintenance'!A:A,'CKadeaTelcoRegistre_Maintenance'!F:F,"Non repertorié")</f>
        <v>Non repertorié</v>
      </c>
    </row>
    <row r="855" spans="1:9" ht="20.5" customHeight="1" x14ac:dyDescent="0.35">
      <c r="A855" s="1">
        <v>45230.12777777778</v>
      </c>
      <c r="B855" s="5" t="s">
        <v>487</v>
      </c>
      <c r="C855">
        <v>87</v>
      </c>
      <c r="D855" t="s">
        <v>10</v>
      </c>
      <c r="E855" t="str">
        <f>_xlfn.XLOOKUP(CKadeaTelcoLogs_Reseau[[#This Row],[Cell_ID]],'CKadeaTelcoRegistre_Maintenance'!A:A,'CKadeaTelcoRegistre_Maintenance'!B:B,"Non repertorié")</f>
        <v>Haut-Katanga</v>
      </c>
      <c r="F855">
        <f>_xlfn.XLOOKUP(CKadeaTelcoLogs_Reseau[[#This Row],[Cell_ID]],'CKadeaTelcoRegistre_Maintenance'!A:A,'CKadeaTelcoRegistre_Maintenance'!C:C,"Non repertorié")</f>
        <v>-10.945031</v>
      </c>
      <c r="G855">
        <f>_xlfn.XLOOKUP(CKadeaTelcoLogs_Reseau[[#This Row],[Cell_ID]],'CKadeaTelcoRegistre_Maintenance'!A:A,'CKadeaTelcoRegistre_Maintenance'!D:D,"Non repertorié")</f>
        <v>27.922274000000002</v>
      </c>
      <c r="H855" t="str">
        <f>_xlfn.XLOOKUP(CKadeaTelcoLogs_Reseau[[#This Row],[Cell_ID]],'CKadeaTelcoRegistre_Maintenance'!A:A,'CKadeaTelcoRegistre_Maintenance'!E:E,"Non repertorié")</f>
        <v>4G</v>
      </c>
      <c r="I855" t="str">
        <f>_xlfn.XLOOKUP(CKadeaTelcoLogs_Reseau[[#This Row],[Cell_ID]],'CKadeaTelcoRegistre_Maintenance'!A:A,'CKadeaTelcoRegistre_Maintenance'!F:F,"Non repertorié")</f>
        <v>Ericsson</v>
      </c>
    </row>
    <row r="856" spans="1:9" ht="20.5" customHeight="1" x14ac:dyDescent="0.35">
      <c r="A856" s="1">
        <v>45210.24722222222</v>
      </c>
      <c r="B856" s="5" t="s">
        <v>557</v>
      </c>
      <c r="C856">
        <v>74</v>
      </c>
      <c r="D856" t="s">
        <v>5</v>
      </c>
      <c r="E856" t="str">
        <f>_xlfn.XLOOKUP(CKadeaTelcoLogs_Reseau[[#This Row],[Cell_ID]],'CKadeaTelcoRegistre_Maintenance'!A:A,'CKadeaTelcoRegistre_Maintenance'!B:B,"Non repertorié")</f>
        <v>Non repertorié</v>
      </c>
      <c r="F856" t="str">
        <f>_xlfn.XLOOKUP(CKadeaTelcoLogs_Reseau[[#This Row],[Cell_ID]],'CKadeaTelcoRegistre_Maintenance'!A:A,'CKadeaTelcoRegistre_Maintenance'!C:C,"Non repertorié")</f>
        <v>Non repertorié</v>
      </c>
      <c r="G856" t="str">
        <f>_xlfn.XLOOKUP(CKadeaTelcoLogs_Reseau[[#This Row],[Cell_ID]],'CKadeaTelcoRegistre_Maintenance'!A:A,'CKadeaTelcoRegistre_Maintenance'!D:D,"Non repertorié")</f>
        <v>Non repertorié</v>
      </c>
      <c r="H856" t="str">
        <f>_xlfn.XLOOKUP(CKadeaTelcoLogs_Reseau[[#This Row],[Cell_ID]],'CKadeaTelcoRegistre_Maintenance'!A:A,'CKadeaTelcoRegistre_Maintenance'!E:E,"Non repertorié")</f>
        <v>Non repertorié</v>
      </c>
      <c r="I856" t="str">
        <f>_xlfn.XLOOKUP(CKadeaTelcoLogs_Reseau[[#This Row],[Cell_ID]],'CKadeaTelcoRegistre_Maintenance'!A:A,'CKadeaTelcoRegistre_Maintenance'!F:F,"Non repertorié")</f>
        <v>Non repertorié</v>
      </c>
    </row>
    <row r="857" spans="1:9" ht="20.5" customHeight="1" x14ac:dyDescent="0.35">
      <c r="A857" s="1">
        <v>45212.240277777775</v>
      </c>
      <c r="B857" s="5" t="s">
        <v>349</v>
      </c>
      <c r="C857">
        <v>54</v>
      </c>
      <c r="D857" t="s">
        <v>8</v>
      </c>
      <c r="E857" t="str">
        <f>_xlfn.XLOOKUP(CKadeaTelcoLogs_Reseau[[#This Row],[Cell_ID]],'CKadeaTelcoRegistre_Maintenance'!A:A,'CKadeaTelcoRegistre_Maintenance'!B:B,"Non repertorié")</f>
        <v>Non repertorié</v>
      </c>
      <c r="F857" t="str">
        <f>_xlfn.XLOOKUP(CKadeaTelcoLogs_Reseau[[#This Row],[Cell_ID]],'CKadeaTelcoRegistre_Maintenance'!A:A,'CKadeaTelcoRegistre_Maintenance'!C:C,"Non repertorié")</f>
        <v>Non repertorié</v>
      </c>
      <c r="G857" t="str">
        <f>_xlfn.XLOOKUP(CKadeaTelcoLogs_Reseau[[#This Row],[Cell_ID]],'CKadeaTelcoRegistre_Maintenance'!A:A,'CKadeaTelcoRegistre_Maintenance'!D:D,"Non repertorié")</f>
        <v>Non repertorié</v>
      </c>
      <c r="H857" t="str">
        <f>_xlfn.XLOOKUP(CKadeaTelcoLogs_Reseau[[#This Row],[Cell_ID]],'CKadeaTelcoRegistre_Maintenance'!A:A,'CKadeaTelcoRegistre_Maintenance'!E:E,"Non repertorié")</f>
        <v>Non repertorié</v>
      </c>
      <c r="I857" t="str">
        <f>_xlfn.XLOOKUP(CKadeaTelcoLogs_Reseau[[#This Row],[Cell_ID]],'CKadeaTelcoRegistre_Maintenance'!A:A,'CKadeaTelcoRegistre_Maintenance'!F:F,"Non repertorié")</f>
        <v>Non repertorié</v>
      </c>
    </row>
    <row r="858" spans="1:9" ht="20.5" customHeight="1" x14ac:dyDescent="0.35">
      <c r="A858" s="1">
        <v>45202.747916666667</v>
      </c>
      <c r="B858" s="5" t="s">
        <v>148</v>
      </c>
      <c r="C858">
        <v>28</v>
      </c>
      <c r="D858" t="s">
        <v>8</v>
      </c>
      <c r="E858" t="str">
        <f>_xlfn.XLOOKUP(CKadeaTelcoLogs_Reseau[[#This Row],[Cell_ID]],'CKadeaTelcoRegistre_Maintenance'!A:A,'CKadeaTelcoRegistre_Maintenance'!B:B,"Non repertorié")</f>
        <v>Kasai-Central</v>
      </c>
      <c r="F858">
        <f>_xlfn.XLOOKUP(CKadeaTelcoLogs_Reseau[[#This Row],[Cell_ID]],'CKadeaTelcoRegistre_Maintenance'!A:A,'CKadeaTelcoRegistre_Maintenance'!C:C,"Non repertorié")</f>
        <v>-3.111418</v>
      </c>
      <c r="G858">
        <f>_xlfn.XLOOKUP(CKadeaTelcoLogs_Reseau[[#This Row],[Cell_ID]],'CKadeaTelcoRegistre_Maintenance'!A:A,'CKadeaTelcoRegistre_Maintenance'!D:D,"Non repertorié")</f>
        <v>14.144854</v>
      </c>
      <c r="H858" t="str">
        <f>_xlfn.XLOOKUP(CKadeaTelcoLogs_Reseau[[#This Row],[Cell_ID]],'CKadeaTelcoRegistre_Maintenance'!A:A,'CKadeaTelcoRegistre_Maintenance'!E:E,"Non repertorié")</f>
        <v>4G</v>
      </c>
      <c r="I858" t="str">
        <f>_xlfn.XLOOKUP(CKadeaTelcoLogs_Reseau[[#This Row],[Cell_ID]],'CKadeaTelcoRegistre_Maintenance'!A:A,'CKadeaTelcoRegistre_Maintenance'!F:F,"Non repertorié")</f>
        <v>ZTE</v>
      </c>
    </row>
    <row r="859" spans="1:9" ht="20.5" customHeight="1" x14ac:dyDescent="0.35">
      <c r="A859" s="1">
        <v>45202.443055555559</v>
      </c>
      <c r="B859" s="5" t="s">
        <v>578</v>
      </c>
      <c r="C859">
        <v>52</v>
      </c>
      <c r="D859" t="s">
        <v>8</v>
      </c>
      <c r="E859" t="str">
        <f>_xlfn.XLOOKUP(CKadeaTelcoLogs_Reseau[[#This Row],[Cell_ID]],'CKadeaTelcoRegistre_Maintenance'!A:A,'CKadeaTelcoRegistre_Maintenance'!B:B,"Non repertorié")</f>
        <v>Non repertorié</v>
      </c>
      <c r="F859" t="str">
        <f>_xlfn.XLOOKUP(CKadeaTelcoLogs_Reseau[[#This Row],[Cell_ID]],'CKadeaTelcoRegistre_Maintenance'!A:A,'CKadeaTelcoRegistre_Maintenance'!C:C,"Non repertorié")</f>
        <v>Non repertorié</v>
      </c>
      <c r="G859" t="str">
        <f>_xlfn.XLOOKUP(CKadeaTelcoLogs_Reseau[[#This Row],[Cell_ID]],'CKadeaTelcoRegistre_Maintenance'!A:A,'CKadeaTelcoRegistre_Maintenance'!D:D,"Non repertorié")</f>
        <v>Non repertorié</v>
      </c>
      <c r="H859" t="str">
        <f>_xlfn.XLOOKUP(CKadeaTelcoLogs_Reseau[[#This Row],[Cell_ID]],'CKadeaTelcoRegistre_Maintenance'!A:A,'CKadeaTelcoRegistre_Maintenance'!E:E,"Non repertorié")</f>
        <v>Non repertorié</v>
      </c>
      <c r="I859" t="str">
        <f>_xlfn.XLOOKUP(CKadeaTelcoLogs_Reseau[[#This Row],[Cell_ID]],'CKadeaTelcoRegistre_Maintenance'!A:A,'CKadeaTelcoRegistre_Maintenance'!F:F,"Non repertorié")</f>
        <v>Non repertorié</v>
      </c>
    </row>
    <row r="860" spans="1:9" ht="20.5" customHeight="1" x14ac:dyDescent="0.35">
      <c r="A860" s="1">
        <v>45219.65625</v>
      </c>
      <c r="B860" s="5" t="s">
        <v>283</v>
      </c>
      <c r="C860">
        <v>118</v>
      </c>
      <c r="D860" t="s">
        <v>8</v>
      </c>
      <c r="E860" t="str">
        <f>_xlfn.XLOOKUP(CKadeaTelcoLogs_Reseau[[#This Row],[Cell_ID]],'CKadeaTelcoRegistre_Maintenance'!A:A,'CKadeaTelcoRegistre_Maintenance'!B:B,"Non repertorié")</f>
        <v>Tshuapa</v>
      </c>
      <c r="F860">
        <f>_xlfn.XLOOKUP(CKadeaTelcoLogs_Reseau[[#This Row],[Cell_ID]],'CKadeaTelcoRegistre_Maintenance'!A:A,'CKadeaTelcoRegistre_Maintenance'!C:C,"Non repertorié")</f>
        <v>-10.577049000000001</v>
      </c>
      <c r="G860">
        <f>_xlfn.XLOOKUP(CKadeaTelcoLogs_Reseau[[#This Row],[Cell_ID]],'CKadeaTelcoRegistre_Maintenance'!A:A,'CKadeaTelcoRegistre_Maintenance'!D:D,"Non repertorié")</f>
        <v>23.721854</v>
      </c>
      <c r="H860" t="str">
        <f>_xlfn.XLOOKUP(CKadeaTelcoLogs_Reseau[[#This Row],[Cell_ID]],'CKadeaTelcoRegistre_Maintenance'!A:A,'CKadeaTelcoRegistre_Maintenance'!E:E,"Non repertorié")</f>
        <v>4G</v>
      </c>
      <c r="I860" t="str">
        <f>_xlfn.XLOOKUP(CKadeaTelcoLogs_Reseau[[#This Row],[Cell_ID]],'CKadeaTelcoRegistre_Maintenance'!A:A,'CKadeaTelcoRegistre_Maintenance'!F:F,"Non repertorié")</f>
        <v>ZTE</v>
      </c>
    </row>
    <row r="861" spans="1:9" ht="20.5" customHeight="1" x14ac:dyDescent="0.35">
      <c r="A861" s="1">
        <v>45200.570138888892</v>
      </c>
      <c r="B861" s="5" t="s">
        <v>579</v>
      </c>
      <c r="C861">
        <v>53</v>
      </c>
      <c r="D861" t="s">
        <v>10</v>
      </c>
      <c r="E861" t="str">
        <f>_xlfn.XLOOKUP(CKadeaTelcoLogs_Reseau[[#This Row],[Cell_ID]],'CKadeaTelcoRegistre_Maintenance'!A:A,'CKadeaTelcoRegistre_Maintenance'!B:B,"Non repertorié")</f>
        <v>Kongo-Central</v>
      </c>
      <c r="F861">
        <f>_xlfn.XLOOKUP(CKadeaTelcoLogs_Reseau[[#This Row],[Cell_ID]],'CKadeaTelcoRegistre_Maintenance'!A:A,'CKadeaTelcoRegistre_Maintenance'!C:C,"Non repertorié")</f>
        <v>2.8552499999999998</v>
      </c>
      <c r="G861">
        <f>_xlfn.XLOOKUP(CKadeaTelcoLogs_Reseau[[#This Row],[Cell_ID]],'CKadeaTelcoRegistre_Maintenance'!A:A,'CKadeaTelcoRegistre_Maintenance'!D:D,"Non repertorié")</f>
        <v>14.077933</v>
      </c>
      <c r="H861" t="str">
        <f>_xlfn.XLOOKUP(CKadeaTelcoLogs_Reseau[[#This Row],[Cell_ID]],'CKadeaTelcoRegistre_Maintenance'!A:A,'CKadeaTelcoRegistre_Maintenance'!E:E,"Non repertorié")</f>
        <v>4G</v>
      </c>
      <c r="I861" t="str">
        <f>_xlfn.XLOOKUP(CKadeaTelcoLogs_Reseau[[#This Row],[Cell_ID]],'CKadeaTelcoRegistre_Maintenance'!A:A,'CKadeaTelcoRegistre_Maintenance'!F:F,"Non repertorié")</f>
        <v>ZTE</v>
      </c>
    </row>
    <row r="862" spans="1:9" ht="20.5" customHeight="1" x14ac:dyDescent="0.35">
      <c r="A862" s="1">
        <v>45205.830555555556</v>
      </c>
      <c r="B862" s="5" t="s">
        <v>580</v>
      </c>
      <c r="C862">
        <v>52</v>
      </c>
      <c r="D862" t="s">
        <v>5</v>
      </c>
      <c r="E862" t="str">
        <f>_xlfn.XLOOKUP(CKadeaTelcoLogs_Reseau[[#This Row],[Cell_ID]],'CKadeaTelcoRegistre_Maintenance'!A:A,'CKadeaTelcoRegistre_Maintenance'!B:B,"Non repertorié")</f>
        <v>Haut-Uele</v>
      </c>
      <c r="F862">
        <f>_xlfn.XLOOKUP(CKadeaTelcoLogs_Reseau[[#This Row],[Cell_ID]],'CKadeaTelcoRegistre_Maintenance'!A:A,'CKadeaTelcoRegistre_Maintenance'!C:C,"Non repertorié")</f>
        <v>-2.2199559999999998</v>
      </c>
      <c r="G862">
        <f>_xlfn.XLOOKUP(CKadeaTelcoLogs_Reseau[[#This Row],[Cell_ID]],'CKadeaTelcoRegistre_Maintenance'!A:A,'CKadeaTelcoRegistre_Maintenance'!D:D,"Non repertorié")</f>
        <v>22.614449</v>
      </c>
      <c r="H862" t="str">
        <f>_xlfn.XLOOKUP(CKadeaTelcoLogs_Reseau[[#This Row],[Cell_ID]],'CKadeaTelcoRegistre_Maintenance'!A:A,'CKadeaTelcoRegistre_Maintenance'!E:E,"Non repertorié")</f>
        <v>3G</v>
      </c>
      <c r="I862" t="str">
        <f>_xlfn.XLOOKUP(CKadeaTelcoLogs_Reseau[[#This Row],[Cell_ID]],'CKadeaTelcoRegistre_Maintenance'!A:A,'CKadeaTelcoRegistre_Maintenance'!F:F,"Non repertorié")</f>
        <v>Nokia</v>
      </c>
    </row>
    <row r="863" spans="1:9" ht="20.5" customHeight="1" x14ac:dyDescent="0.35">
      <c r="A863" s="1">
        <v>45213.210416666669</v>
      </c>
      <c r="B863" s="5" t="s">
        <v>581</v>
      </c>
      <c r="C863">
        <v>28</v>
      </c>
      <c r="D863" t="s">
        <v>10</v>
      </c>
      <c r="E863" t="str">
        <f>_xlfn.XLOOKUP(CKadeaTelcoLogs_Reseau[[#This Row],[Cell_ID]],'CKadeaTelcoRegistre_Maintenance'!A:A,'CKadeaTelcoRegistre_Maintenance'!B:B,"Non repertorié")</f>
        <v>Haut-Lomami</v>
      </c>
      <c r="F863">
        <f>_xlfn.XLOOKUP(CKadeaTelcoLogs_Reseau[[#This Row],[Cell_ID]],'CKadeaTelcoRegistre_Maintenance'!A:A,'CKadeaTelcoRegistre_Maintenance'!C:C,"Non repertorié")</f>
        <v>-3.1608390000000002</v>
      </c>
      <c r="G863">
        <f>_xlfn.XLOOKUP(CKadeaTelcoLogs_Reseau[[#This Row],[Cell_ID]],'CKadeaTelcoRegistre_Maintenance'!A:A,'CKadeaTelcoRegistre_Maintenance'!D:D,"Non repertorié")</f>
        <v>13.244503999999999</v>
      </c>
      <c r="H863" t="str">
        <f>_xlfn.XLOOKUP(CKadeaTelcoLogs_Reseau[[#This Row],[Cell_ID]],'CKadeaTelcoRegistre_Maintenance'!A:A,'CKadeaTelcoRegistre_Maintenance'!E:E,"Non repertorié")</f>
        <v>3G</v>
      </c>
      <c r="I863" t="str">
        <f>_xlfn.XLOOKUP(CKadeaTelcoLogs_Reseau[[#This Row],[Cell_ID]],'CKadeaTelcoRegistre_Maintenance'!A:A,'CKadeaTelcoRegistre_Maintenance'!F:F,"Non repertorié")</f>
        <v>Huawei</v>
      </c>
    </row>
    <row r="864" spans="1:9" ht="20.5" customHeight="1" x14ac:dyDescent="0.35">
      <c r="A864" s="1">
        <v>45203.425694444442</v>
      </c>
      <c r="B864" s="5" t="s">
        <v>582</v>
      </c>
      <c r="C864">
        <v>62</v>
      </c>
      <c r="D864" t="s">
        <v>5</v>
      </c>
      <c r="E864" t="str">
        <f>_xlfn.XLOOKUP(CKadeaTelcoLogs_Reseau[[#This Row],[Cell_ID]],'CKadeaTelcoRegistre_Maintenance'!A:A,'CKadeaTelcoRegistre_Maintenance'!B:B,"Non repertorié")</f>
        <v>Non repertorié</v>
      </c>
      <c r="F864" t="str">
        <f>_xlfn.XLOOKUP(CKadeaTelcoLogs_Reseau[[#This Row],[Cell_ID]],'CKadeaTelcoRegistre_Maintenance'!A:A,'CKadeaTelcoRegistre_Maintenance'!C:C,"Non repertorié")</f>
        <v>Non repertorié</v>
      </c>
      <c r="G864" t="str">
        <f>_xlfn.XLOOKUP(CKadeaTelcoLogs_Reseau[[#This Row],[Cell_ID]],'CKadeaTelcoRegistre_Maintenance'!A:A,'CKadeaTelcoRegistre_Maintenance'!D:D,"Non repertorié")</f>
        <v>Non repertorié</v>
      </c>
      <c r="H864" t="str">
        <f>_xlfn.XLOOKUP(CKadeaTelcoLogs_Reseau[[#This Row],[Cell_ID]],'CKadeaTelcoRegistre_Maintenance'!A:A,'CKadeaTelcoRegistre_Maintenance'!E:E,"Non repertorié")</f>
        <v>Non repertorié</v>
      </c>
      <c r="I864" t="str">
        <f>_xlfn.XLOOKUP(CKadeaTelcoLogs_Reseau[[#This Row],[Cell_ID]],'CKadeaTelcoRegistre_Maintenance'!A:A,'CKadeaTelcoRegistre_Maintenance'!F:F,"Non repertorié")</f>
        <v>Non repertorié</v>
      </c>
    </row>
    <row r="865" spans="1:9" ht="20.5" customHeight="1" x14ac:dyDescent="0.35">
      <c r="A865" s="1">
        <v>45206.572222222225</v>
      </c>
      <c r="B865" s="5" t="s">
        <v>347</v>
      </c>
      <c r="C865">
        <v>10</v>
      </c>
      <c r="D865" t="s">
        <v>5</v>
      </c>
      <c r="E865" t="str">
        <f>_xlfn.XLOOKUP(CKadeaTelcoLogs_Reseau[[#This Row],[Cell_ID]],'CKadeaTelcoRegistre_Maintenance'!A:A,'CKadeaTelcoRegistre_Maintenance'!B:B,"Non repertorié")</f>
        <v>Non repertorié</v>
      </c>
      <c r="F865" t="str">
        <f>_xlfn.XLOOKUP(CKadeaTelcoLogs_Reseau[[#This Row],[Cell_ID]],'CKadeaTelcoRegistre_Maintenance'!A:A,'CKadeaTelcoRegistre_Maintenance'!C:C,"Non repertorié")</f>
        <v>Non repertorié</v>
      </c>
      <c r="G865" t="str">
        <f>_xlfn.XLOOKUP(CKadeaTelcoLogs_Reseau[[#This Row],[Cell_ID]],'CKadeaTelcoRegistre_Maintenance'!A:A,'CKadeaTelcoRegistre_Maintenance'!D:D,"Non repertorié")</f>
        <v>Non repertorié</v>
      </c>
      <c r="H865" t="str">
        <f>_xlfn.XLOOKUP(CKadeaTelcoLogs_Reseau[[#This Row],[Cell_ID]],'CKadeaTelcoRegistre_Maintenance'!A:A,'CKadeaTelcoRegistre_Maintenance'!E:E,"Non repertorié")</f>
        <v>Non repertorié</v>
      </c>
      <c r="I865" t="str">
        <f>_xlfn.XLOOKUP(CKadeaTelcoLogs_Reseau[[#This Row],[Cell_ID]],'CKadeaTelcoRegistre_Maintenance'!A:A,'CKadeaTelcoRegistre_Maintenance'!F:F,"Non repertorié")</f>
        <v>Non repertorié</v>
      </c>
    </row>
    <row r="866" spans="1:9" ht="20.5" customHeight="1" x14ac:dyDescent="0.35">
      <c r="A866" s="1">
        <v>45217.999305555553</v>
      </c>
      <c r="B866" s="5" t="s">
        <v>303</v>
      </c>
      <c r="C866">
        <v>38</v>
      </c>
      <c r="D866" t="s">
        <v>8</v>
      </c>
      <c r="E866" t="str">
        <f>_xlfn.XLOOKUP(CKadeaTelcoLogs_Reseau[[#This Row],[Cell_ID]],'CKadeaTelcoRegistre_Maintenance'!A:A,'CKadeaTelcoRegistre_Maintenance'!B:B,"Non repertorié")</f>
        <v>Lualaba</v>
      </c>
      <c r="F866">
        <f>_xlfn.XLOOKUP(CKadeaTelcoLogs_Reseau[[#This Row],[Cell_ID]],'CKadeaTelcoRegistre_Maintenance'!A:A,'CKadeaTelcoRegistre_Maintenance'!C:C,"Non repertorié")</f>
        <v>-10.967288</v>
      </c>
      <c r="G866">
        <f>_xlfn.XLOOKUP(CKadeaTelcoLogs_Reseau[[#This Row],[Cell_ID]],'CKadeaTelcoRegistre_Maintenance'!A:A,'CKadeaTelcoRegistre_Maintenance'!D:D,"Non repertorié")</f>
        <v>17.617781000000001</v>
      </c>
      <c r="H866" t="str">
        <f>_xlfn.XLOOKUP(CKadeaTelcoLogs_Reseau[[#This Row],[Cell_ID]],'CKadeaTelcoRegistre_Maintenance'!A:A,'CKadeaTelcoRegistre_Maintenance'!E:E,"Non repertorié")</f>
        <v>4G</v>
      </c>
      <c r="I866" t="str">
        <f>_xlfn.XLOOKUP(CKadeaTelcoLogs_Reseau[[#This Row],[Cell_ID]],'CKadeaTelcoRegistre_Maintenance'!A:A,'CKadeaTelcoRegistre_Maintenance'!F:F,"Non repertorié")</f>
        <v>Ericsson</v>
      </c>
    </row>
    <row r="867" spans="1:9" ht="20.5" customHeight="1" x14ac:dyDescent="0.35">
      <c r="A867" s="1">
        <v>45223.719444444447</v>
      </c>
      <c r="B867" s="5" t="s">
        <v>298</v>
      </c>
      <c r="C867">
        <v>61</v>
      </c>
      <c r="D867" t="s">
        <v>8</v>
      </c>
      <c r="E867" t="str">
        <f>_xlfn.XLOOKUP(CKadeaTelcoLogs_Reseau[[#This Row],[Cell_ID]],'CKadeaTelcoRegistre_Maintenance'!A:A,'CKadeaTelcoRegistre_Maintenance'!B:B,"Non repertorié")</f>
        <v>Non repertorié</v>
      </c>
      <c r="F867" t="str">
        <f>_xlfn.XLOOKUP(CKadeaTelcoLogs_Reseau[[#This Row],[Cell_ID]],'CKadeaTelcoRegistre_Maintenance'!A:A,'CKadeaTelcoRegistre_Maintenance'!C:C,"Non repertorié")</f>
        <v>Non repertorié</v>
      </c>
      <c r="G867" t="str">
        <f>_xlfn.XLOOKUP(CKadeaTelcoLogs_Reseau[[#This Row],[Cell_ID]],'CKadeaTelcoRegistre_Maintenance'!A:A,'CKadeaTelcoRegistre_Maintenance'!D:D,"Non repertorié")</f>
        <v>Non repertorié</v>
      </c>
      <c r="H867" t="str">
        <f>_xlfn.XLOOKUP(CKadeaTelcoLogs_Reseau[[#This Row],[Cell_ID]],'CKadeaTelcoRegistre_Maintenance'!A:A,'CKadeaTelcoRegistre_Maintenance'!E:E,"Non repertorié")</f>
        <v>Non repertorié</v>
      </c>
      <c r="I867" t="str">
        <f>_xlfn.XLOOKUP(CKadeaTelcoLogs_Reseau[[#This Row],[Cell_ID]],'CKadeaTelcoRegistre_Maintenance'!A:A,'CKadeaTelcoRegistre_Maintenance'!F:F,"Non repertorié")</f>
        <v>Non repertorié</v>
      </c>
    </row>
    <row r="868" spans="1:9" ht="20.5" customHeight="1" x14ac:dyDescent="0.35">
      <c r="A868" s="1">
        <v>45221.388194444444</v>
      </c>
      <c r="B868" s="5" t="s">
        <v>583</v>
      </c>
      <c r="C868">
        <v>64</v>
      </c>
      <c r="D868" t="s">
        <v>8</v>
      </c>
      <c r="E868" t="str">
        <f>_xlfn.XLOOKUP(CKadeaTelcoLogs_Reseau[[#This Row],[Cell_ID]],'CKadeaTelcoRegistre_Maintenance'!A:A,'CKadeaTelcoRegistre_Maintenance'!B:B,"Non repertorié")</f>
        <v>Tshopo</v>
      </c>
      <c r="F868">
        <f>_xlfn.XLOOKUP(CKadeaTelcoLogs_Reseau[[#This Row],[Cell_ID]],'CKadeaTelcoRegistre_Maintenance'!A:A,'CKadeaTelcoRegistre_Maintenance'!C:C,"Non repertorié")</f>
        <v>-12.070842000000001</v>
      </c>
      <c r="G868">
        <f>_xlfn.XLOOKUP(CKadeaTelcoLogs_Reseau[[#This Row],[Cell_ID]],'CKadeaTelcoRegistre_Maintenance'!A:A,'CKadeaTelcoRegistre_Maintenance'!D:D,"Non repertorié")</f>
        <v>14.757847</v>
      </c>
      <c r="H868" t="str">
        <f>_xlfn.XLOOKUP(CKadeaTelcoLogs_Reseau[[#This Row],[Cell_ID]],'CKadeaTelcoRegistre_Maintenance'!A:A,'CKadeaTelcoRegistre_Maintenance'!E:E,"Non repertorié")</f>
        <v>4G</v>
      </c>
      <c r="I868" t="str">
        <f>_xlfn.XLOOKUP(CKadeaTelcoLogs_Reseau[[#This Row],[Cell_ID]],'CKadeaTelcoRegistre_Maintenance'!A:A,'CKadeaTelcoRegistre_Maintenance'!F:F,"Non repertorié")</f>
        <v>ZTE</v>
      </c>
    </row>
    <row r="869" spans="1:9" ht="20.5" customHeight="1" x14ac:dyDescent="0.35">
      <c r="A869" s="1">
        <v>45207.127083333333</v>
      </c>
      <c r="B869" s="5" t="s">
        <v>139</v>
      </c>
      <c r="C869">
        <v>38</v>
      </c>
      <c r="D869" t="s">
        <v>5</v>
      </c>
      <c r="E869" t="str">
        <f>_xlfn.XLOOKUP(CKadeaTelcoLogs_Reseau[[#This Row],[Cell_ID]],'CKadeaTelcoRegistre_Maintenance'!A:A,'CKadeaTelcoRegistre_Maintenance'!B:B,"Non repertorié")</f>
        <v>Kwilu</v>
      </c>
      <c r="F869">
        <f>_xlfn.XLOOKUP(CKadeaTelcoLogs_Reseau[[#This Row],[Cell_ID]],'CKadeaTelcoRegistre_Maintenance'!A:A,'CKadeaTelcoRegistre_Maintenance'!C:C,"Non repertorié")</f>
        <v>-8.5675749999999997</v>
      </c>
      <c r="G869">
        <f>_xlfn.XLOOKUP(CKadeaTelcoLogs_Reseau[[#This Row],[Cell_ID]],'CKadeaTelcoRegistre_Maintenance'!A:A,'CKadeaTelcoRegistre_Maintenance'!D:D,"Non repertorié")</f>
        <v>26.994581</v>
      </c>
      <c r="H869" t="str">
        <f>_xlfn.XLOOKUP(CKadeaTelcoLogs_Reseau[[#This Row],[Cell_ID]],'CKadeaTelcoRegistre_Maintenance'!A:A,'CKadeaTelcoRegistre_Maintenance'!E:E,"Non repertorié")</f>
        <v>3G</v>
      </c>
      <c r="I869" t="str">
        <f>_xlfn.XLOOKUP(CKadeaTelcoLogs_Reseau[[#This Row],[Cell_ID]],'CKadeaTelcoRegistre_Maintenance'!A:A,'CKadeaTelcoRegistre_Maintenance'!F:F,"Non repertorié")</f>
        <v>Nokia</v>
      </c>
    </row>
    <row r="870" spans="1:9" ht="20.5" customHeight="1" x14ac:dyDescent="0.35">
      <c r="A870" s="1">
        <v>45212.774305555555</v>
      </c>
      <c r="B870" s="5" t="s">
        <v>584</v>
      </c>
      <c r="C870">
        <v>33</v>
      </c>
      <c r="D870" t="s">
        <v>5</v>
      </c>
      <c r="E870" t="str">
        <f>_xlfn.XLOOKUP(CKadeaTelcoLogs_Reseau[[#This Row],[Cell_ID]],'CKadeaTelcoRegistre_Maintenance'!A:A,'CKadeaTelcoRegistre_Maintenance'!B:B,"Non repertorié")</f>
        <v>Non repertorié</v>
      </c>
      <c r="F870" t="str">
        <f>_xlfn.XLOOKUP(CKadeaTelcoLogs_Reseau[[#This Row],[Cell_ID]],'CKadeaTelcoRegistre_Maintenance'!A:A,'CKadeaTelcoRegistre_Maintenance'!C:C,"Non repertorié")</f>
        <v>Non repertorié</v>
      </c>
      <c r="G870" t="str">
        <f>_xlfn.XLOOKUP(CKadeaTelcoLogs_Reseau[[#This Row],[Cell_ID]],'CKadeaTelcoRegistre_Maintenance'!A:A,'CKadeaTelcoRegistre_Maintenance'!D:D,"Non repertorié")</f>
        <v>Non repertorié</v>
      </c>
      <c r="H870" t="str">
        <f>_xlfn.XLOOKUP(CKadeaTelcoLogs_Reseau[[#This Row],[Cell_ID]],'CKadeaTelcoRegistre_Maintenance'!A:A,'CKadeaTelcoRegistre_Maintenance'!E:E,"Non repertorié")</f>
        <v>Non repertorié</v>
      </c>
      <c r="I870" t="str">
        <f>_xlfn.XLOOKUP(CKadeaTelcoLogs_Reseau[[#This Row],[Cell_ID]],'CKadeaTelcoRegistre_Maintenance'!A:A,'CKadeaTelcoRegistre_Maintenance'!F:F,"Non repertorié")</f>
        <v>Non repertorié</v>
      </c>
    </row>
    <row r="871" spans="1:9" ht="20.5" customHeight="1" x14ac:dyDescent="0.35">
      <c r="A871" s="1">
        <v>45226.631249999999</v>
      </c>
      <c r="B871" s="5" t="s">
        <v>585</v>
      </c>
      <c r="C871">
        <v>112</v>
      </c>
      <c r="D871" t="s">
        <v>8</v>
      </c>
      <c r="E871" t="str">
        <f>_xlfn.XLOOKUP(CKadeaTelcoLogs_Reseau[[#This Row],[Cell_ID]],'CKadeaTelcoRegistre_Maintenance'!A:A,'CKadeaTelcoRegistre_Maintenance'!B:B,"Non repertorié")</f>
        <v>Non repertorié</v>
      </c>
      <c r="F871" t="str">
        <f>_xlfn.XLOOKUP(CKadeaTelcoLogs_Reseau[[#This Row],[Cell_ID]],'CKadeaTelcoRegistre_Maintenance'!A:A,'CKadeaTelcoRegistre_Maintenance'!C:C,"Non repertorié")</f>
        <v>Non repertorié</v>
      </c>
      <c r="G871" t="str">
        <f>_xlfn.XLOOKUP(CKadeaTelcoLogs_Reseau[[#This Row],[Cell_ID]],'CKadeaTelcoRegistre_Maintenance'!A:A,'CKadeaTelcoRegistre_Maintenance'!D:D,"Non repertorié")</f>
        <v>Non repertorié</v>
      </c>
      <c r="H871" t="str">
        <f>_xlfn.XLOOKUP(CKadeaTelcoLogs_Reseau[[#This Row],[Cell_ID]],'CKadeaTelcoRegistre_Maintenance'!A:A,'CKadeaTelcoRegistre_Maintenance'!E:E,"Non repertorié")</f>
        <v>Non repertorié</v>
      </c>
      <c r="I871" t="str">
        <f>_xlfn.XLOOKUP(CKadeaTelcoLogs_Reseau[[#This Row],[Cell_ID]],'CKadeaTelcoRegistre_Maintenance'!A:A,'CKadeaTelcoRegistre_Maintenance'!F:F,"Non repertorié")</f>
        <v>Non repertorié</v>
      </c>
    </row>
    <row r="872" spans="1:9" ht="20.5" customHeight="1" x14ac:dyDescent="0.35">
      <c r="A872" s="1">
        <v>45208.52847222222</v>
      </c>
      <c r="B872" s="5" t="s">
        <v>179</v>
      </c>
      <c r="C872">
        <v>33</v>
      </c>
      <c r="D872" t="s">
        <v>8</v>
      </c>
      <c r="E872" t="str">
        <f>_xlfn.XLOOKUP(CKadeaTelcoLogs_Reseau[[#This Row],[Cell_ID]],'CKadeaTelcoRegistre_Maintenance'!A:A,'CKadeaTelcoRegistre_Maintenance'!B:B,"Non repertorié")</f>
        <v>Lualaba</v>
      </c>
      <c r="F872">
        <f>_xlfn.XLOOKUP(CKadeaTelcoLogs_Reseau[[#This Row],[Cell_ID]],'CKadeaTelcoRegistre_Maintenance'!A:A,'CKadeaTelcoRegistre_Maintenance'!C:C,"Non repertorié")</f>
        <v>-10.872631999999999</v>
      </c>
      <c r="G872">
        <f>_xlfn.XLOOKUP(CKadeaTelcoLogs_Reseau[[#This Row],[Cell_ID]],'CKadeaTelcoRegistre_Maintenance'!A:A,'CKadeaTelcoRegistre_Maintenance'!D:D,"Non repertorié")</f>
        <v>12.773279</v>
      </c>
      <c r="H872" t="str">
        <f>_xlfn.XLOOKUP(CKadeaTelcoLogs_Reseau[[#This Row],[Cell_ID]],'CKadeaTelcoRegistre_Maintenance'!A:A,'CKadeaTelcoRegistre_Maintenance'!E:E,"Non repertorié")</f>
        <v>3G</v>
      </c>
      <c r="I872" t="str">
        <f>_xlfn.XLOOKUP(CKadeaTelcoLogs_Reseau[[#This Row],[Cell_ID]],'CKadeaTelcoRegistre_Maintenance'!A:A,'CKadeaTelcoRegistre_Maintenance'!F:F,"Non repertorié")</f>
        <v>ZTE</v>
      </c>
    </row>
    <row r="873" spans="1:9" ht="20.5" customHeight="1" x14ac:dyDescent="0.35">
      <c r="A873" s="1">
        <v>45215.776388888888</v>
      </c>
      <c r="B873" s="5" t="s">
        <v>586</v>
      </c>
      <c r="C873">
        <v>87</v>
      </c>
      <c r="D873" t="s">
        <v>10</v>
      </c>
      <c r="E873" t="str">
        <f>_xlfn.XLOOKUP(CKadeaTelcoLogs_Reseau[[#This Row],[Cell_ID]],'CKadeaTelcoRegistre_Maintenance'!A:A,'CKadeaTelcoRegistre_Maintenance'!B:B,"Non repertorié")</f>
        <v>Kasai</v>
      </c>
      <c r="F873">
        <f>_xlfn.XLOOKUP(CKadeaTelcoLogs_Reseau[[#This Row],[Cell_ID]],'CKadeaTelcoRegistre_Maintenance'!A:A,'CKadeaTelcoRegistre_Maintenance'!C:C,"Non repertorié")</f>
        <v>2.5665840000000002</v>
      </c>
      <c r="G873">
        <f>_xlfn.XLOOKUP(CKadeaTelcoLogs_Reseau[[#This Row],[Cell_ID]],'CKadeaTelcoRegistre_Maintenance'!A:A,'CKadeaTelcoRegistre_Maintenance'!D:D,"Non repertorié")</f>
        <v>15.764796</v>
      </c>
      <c r="H873" t="str">
        <f>_xlfn.XLOOKUP(CKadeaTelcoLogs_Reseau[[#This Row],[Cell_ID]],'CKadeaTelcoRegistre_Maintenance'!A:A,'CKadeaTelcoRegistre_Maintenance'!E:E,"Non repertorié")</f>
        <v>3G</v>
      </c>
      <c r="I873" t="str">
        <f>_xlfn.XLOOKUP(CKadeaTelcoLogs_Reseau[[#This Row],[Cell_ID]],'CKadeaTelcoRegistre_Maintenance'!A:A,'CKadeaTelcoRegistre_Maintenance'!F:F,"Non repertorié")</f>
        <v>ZTE</v>
      </c>
    </row>
    <row r="874" spans="1:9" ht="20.5" customHeight="1" x14ac:dyDescent="0.35">
      <c r="A874" s="1">
        <v>45215.049305555556</v>
      </c>
      <c r="B874" s="5" t="s">
        <v>446</v>
      </c>
      <c r="C874">
        <v>33</v>
      </c>
      <c r="D874" t="s">
        <v>8</v>
      </c>
      <c r="E874" t="str">
        <f>_xlfn.XLOOKUP(CKadeaTelcoLogs_Reseau[[#This Row],[Cell_ID]],'CKadeaTelcoRegistre_Maintenance'!A:A,'CKadeaTelcoRegistre_Maintenance'!B:B,"Non repertorié")</f>
        <v>Maniema</v>
      </c>
      <c r="F874">
        <f>_xlfn.XLOOKUP(CKadeaTelcoLogs_Reseau[[#This Row],[Cell_ID]],'CKadeaTelcoRegistre_Maintenance'!A:A,'CKadeaTelcoRegistre_Maintenance'!C:C,"Non repertorié")</f>
        <v>2.5458379999999998</v>
      </c>
      <c r="G874">
        <f>_xlfn.XLOOKUP(CKadeaTelcoLogs_Reseau[[#This Row],[Cell_ID]],'CKadeaTelcoRegistre_Maintenance'!A:A,'CKadeaTelcoRegistre_Maintenance'!D:D,"Non repertorié")</f>
        <v>13.308655</v>
      </c>
      <c r="H874" t="str">
        <f>_xlfn.XLOOKUP(CKadeaTelcoLogs_Reseau[[#This Row],[Cell_ID]],'CKadeaTelcoRegistre_Maintenance'!A:A,'CKadeaTelcoRegistre_Maintenance'!E:E,"Non repertorié")</f>
        <v>5G</v>
      </c>
      <c r="I874" t="str">
        <f>_xlfn.XLOOKUP(CKadeaTelcoLogs_Reseau[[#This Row],[Cell_ID]],'CKadeaTelcoRegistre_Maintenance'!A:A,'CKadeaTelcoRegistre_Maintenance'!F:F,"Non repertorié")</f>
        <v>ZTE</v>
      </c>
    </row>
    <row r="875" spans="1:9" ht="20.5" customHeight="1" x14ac:dyDescent="0.35">
      <c r="A875" s="1">
        <v>45208.506249999999</v>
      </c>
      <c r="B875" s="5" t="s">
        <v>587</v>
      </c>
      <c r="C875">
        <v>91</v>
      </c>
      <c r="D875" t="s">
        <v>10</v>
      </c>
      <c r="E875" t="str">
        <f>_xlfn.XLOOKUP(CKadeaTelcoLogs_Reseau[[#This Row],[Cell_ID]],'CKadeaTelcoRegistre_Maintenance'!A:A,'CKadeaTelcoRegistre_Maintenance'!B:B,"Non repertorié")</f>
        <v>Non repertorié</v>
      </c>
      <c r="F875" t="str">
        <f>_xlfn.XLOOKUP(CKadeaTelcoLogs_Reseau[[#This Row],[Cell_ID]],'CKadeaTelcoRegistre_Maintenance'!A:A,'CKadeaTelcoRegistre_Maintenance'!C:C,"Non repertorié")</f>
        <v>Non repertorié</v>
      </c>
      <c r="G875" t="str">
        <f>_xlfn.XLOOKUP(CKadeaTelcoLogs_Reseau[[#This Row],[Cell_ID]],'CKadeaTelcoRegistre_Maintenance'!A:A,'CKadeaTelcoRegistre_Maintenance'!D:D,"Non repertorié")</f>
        <v>Non repertorié</v>
      </c>
      <c r="H875" t="str">
        <f>_xlfn.XLOOKUP(CKadeaTelcoLogs_Reseau[[#This Row],[Cell_ID]],'CKadeaTelcoRegistre_Maintenance'!A:A,'CKadeaTelcoRegistre_Maintenance'!E:E,"Non repertorié")</f>
        <v>Non repertorié</v>
      </c>
      <c r="I875" t="str">
        <f>_xlfn.XLOOKUP(CKadeaTelcoLogs_Reseau[[#This Row],[Cell_ID]],'CKadeaTelcoRegistre_Maintenance'!A:A,'CKadeaTelcoRegistre_Maintenance'!F:F,"Non repertorié")</f>
        <v>Non repertorié</v>
      </c>
    </row>
    <row r="876" spans="1:9" ht="20.5" customHeight="1" x14ac:dyDescent="0.35">
      <c r="A876" s="1">
        <v>45219.821527777778</v>
      </c>
      <c r="B876" s="5" t="s">
        <v>495</v>
      </c>
      <c r="C876">
        <v>31</v>
      </c>
      <c r="D876" t="s">
        <v>8</v>
      </c>
      <c r="E876" t="str">
        <f>_xlfn.XLOOKUP(CKadeaTelcoLogs_Reseau[[#This Row],[Cell_ID]],'CKadeaTelcoRegistre_Maintenance'!A:A,'CKadeaTelcoRegistre_Maintenance'!B:B,"Non repertorié")</f>
        <v>Non repertorié</v>
      </c>
      <c r="F876" t="str">
        <f>_xlfn.XLOOKUP(CKadeaTelcoLogs_Reseau[[#This Row],[Cell_ID]],'CKadeaTelcoRegistre_Maintenance'!A:A,'CKadeaTelcoRegistre_Maintenance'!C:C,"Non repertorié")</f>
        <v>Non repertorié</v>
      </c>
      <c r="G876" t="str">
        <f>_xlfn.XLOOKUP(CKadeaTelcoLogs_Reseau[[#This Row],[Cell_ID]],'CKadeaTelcoRegistre_Maintenance'!A:A,'CKadeaTelcoRegistre_Maintenance'!D:D,"Non repertorié")</f>
        <v>Non repertorié</v>
      </c>
      <c r="H876" t="str">
        <f>_xlfn.XLOOKUP(CKadeaTelcoLogs_Reseau[[#This Row],[Cell_ID]],'CKadeaTelcoRegistre_Maintenance'!A:A,'CKadeaTelcoRegistre_Maintenance'!E:E,"Non repertorié")</f>
        <v>Non repertorié</v>
      </c>
      <c r="I876" t="str">
        <f>_xlfn.XLOOKUP(CKadeaTelcoLogs_Reseau[[#This Row],[Cell_ID]],'CKadeaTelcoRegistre_Maintenance'!A:A,'CKadeaTelcoRegistre_Maintenance'!F:F,"Non repertorié")</f>
        <v>Non repertorié</v>
      </c>
    </row>
    <row r="877" spans="1:9" ht="20.5" customHeight="1" x14ac:dyDescent="0.35">
      <c r="A877" s="1">
        <v>45222.501388888886</v>
      </c>
      <c r="B877" s="5" t="s">
        <v>588</v>
      </c>
      <c r="C877">
        <v>39</v>
      </c>
      <c r="D877" t="s">
        <v>5</v>
      </c>
      <c r="E877" t="str">
        <f>_xlfn.XLOOKUP(CKadeaTelcoLogs_Reseau[[#This Row],[Cell_ID]],'CKadeaTelcoRegistre_Maintenance'!A:A,'CKadeaTelcoRegistre_Maintenance'!B:B,"Non repertorié")</f>
        <v>Haut-Lomami</v>
      </c>
      <c r="F877">
        <f>_xlfn.XLOOKUP(CKadeaTelcoLogs_Reseau[[#This Row],[Cell_ID]],'CKadeaTelcoRegistre_Maintenance'!A:A,'CKadeaTelcoRegistre_Maintenance'!C:C,"Non repertorié")</f>
        <v>-11.89448</v>
      </c>
      <c r="G877">
        <f>_xlfn.XLOOKUP(CKadeaTelcoLogs_Reseau[[#This Row],[Cell_ID]],'CKadeaTelcoRegistre_Maintenance'!A:A,'CKadeaTelcoRegistre_Maintenance'!D:D,"Non repertorié")</f>
        <v>19.216214999999998</v>
      </c>
      <c r="H877" t="str">
        <f>_xlfn.XLOOKUP(CKadeaTelcoLogs_Reseau[[#This Row],[Cell_ID]],'CKadeaTelcoRegistre_Maintenance'!A:A,'CKadeaTelcoRegistre_Maintenance'!E:E,"Non repertorié")</f>
        <v>3G</v>
      </c>
      <c r="I877" t="str">
        <f>_xlfn.XLOOKUP(CKadeaTelcoLogs_Reseau[[#This Row],[Cell_ID]],'CKadeaTelcoRegistre_Maintenance'!A:A,'CKadeaTelcoRegistre_Maintenance'!F:F,"Non repertorié")</f>
        <v>ZTE</v>
      </c>
    </row>
    <row r="878" spans="1:9" ht="20.5" customHeight="1" x14ac:dyDescent="0.35">
      <c r="A878" s="1">
        <v>45212.447222222225</v>
      </c>
      <c r="B878" s="5" t="s">
        <v>486</v>
      </c>
      <c r="C878">
        <v>88</v>
      </c>
      <c r="D878" t="s">
        <v>8</v>
      </c>
      <c r="E878" t="str">
        <f>_xlfn.XLOOKUP(CKadeaTelcoLogs_Reseau[[#This Row],[Cell_ID]],'CKadeaTelcoRegistre_Maintenance'!A:A,'CKadeaTelcoRegistre_Maintenance'!B:B,"Non repertorié")</f>
        <v>Kwilu</v>
      </c>
      <c r="F878">
        <f>_xlfn.XLOOKUP(CKadeaTelcoLogs_Reseau[[#This Row],[Cell_ID]],'CKadeaTelcoRegistre_Maintenance'!A:A,'CKadeaTelcoRegistre_Maintenance'!C:C,"Non repertorié")</f>
        <v>-7.402336</v>
      </c>
      <c r="G878">
        <f>_xlfn.XLOOKUP(CKadeaTelcoLogs_Reseau[[#This Row],[Cell_ID]],'CKadeaTelcoRegistre_Maintenance'!A:A,'CKadeaTelcoRegistre_Maintenance'!D:D,"Non repertorié")</f>
        <v>27.376697</v>
      </c>
      <c r="H878" t="str">
        <f>_xlfn.XLOOKUP(CKadeaTelcoLogs_Reseau[[#This Row],[Cell_ID]],'CKadeaTelcoRegistre_Maintenance'!A:A,'CKadeaTelcoRegistre_Maintenance'!E:E,"Non repertorié")</f>
        <v>4G</v>
      </c>
      <c r="I878" t="str">
        <f>_xlfn.XLOOKUP(CKadeaTelcoLogs_Reseau[[#This Row],[Cell_ID]],'CKadeaTelcoRegistre_Maintenance'!A:A,'CKadeaTelcoRegistre_Maintenance'!F:F,"Non repertorié")</f>
        <v>Huawei</v>
      </c>
    </row>
    <row r="879" spans="1:9" ht="20.5" customHeight="1" x14ac:dyDescent="0.35">
      <c r="A879" s="1">
        <v>45207.074305555558</v>
      </c>
      <c r="B879" s="5" t="s">
        <v>543</v>
      </c>
      <c r="C879">
        <v>57</v>
      </c>
      <c r="D879" t="s">
        <v>5</v>
      </c>
      <c r="E879" t="str">
        <f>_xlfn.XLOOKUP(CKadeaTelcoLogs_Reseau[[#This Row],[Cell_ID]],'CKadeaTelcoRegistre_Maintenance'!A:A,'CKadeaTelcoRegistre_Maintenance'!B:B,"Non repertorié")</f>
        <v>Kongo-Central</v>
      </c>
      <c r="F879">
        <f>_xlfn.XLOOKUP(CKadeaTelcoLogs_Reseau[[#This Row],[Cell_ID]],'CKadeaTelcoRegistre_Maintenance'!A:A,'CKadeaTelcoRegistre_Maintenance'!C:C,"Non repertorié")</f>
        <v>-7.1587569999999996</v>
      </c>
      <c r="G879">
        <f>_xlfn.XLOOKUP(CKadeaTelcoLogs_Reseau[[#This Row],[Cell_ID]],'CKadeaTelcoRegistre_Maintenance'!A:A,'CKadeaTelcoRegistre_Maintenance'!D:D,"Non repertorié")</f>
        <v>18.975141000000001</v>
      </c>
      <c r="H879" t="str">
        <f>_xlfn.XLOOKUP(CKadeaTelcoLogs_Reseau[[#This Row],[Cell_ID]],'CKadeaTelcoRegistre_Maintenance'!A:A,'CKadeaTelcoRegistre_Maintenance'!E:E,"Non repertorié")</f>
        <v>5G</v>
      </c>
      <c r="I879" t="str">
        <f>_xlfn.XLOOKUP(CKadeaTelcoLogs_Reseau[[#This Row],[Cell_ID]],'CKadeaTelcoRegistre_Maintenance'!A:A,'CKadeaTelcoRegistre_Maintenance'!F:F,"Non repertorié")</f>
        <v>Ericsson</v>
      </c>
    </row>
    <row r="880" spans="1:9" ht="20.5" customHeight="1" x14ac:dyDescent="0.35">
      <c r="A880" s="1">
        <v>45215.372916666667</v>
      </c>
      <c r="B880" s="5" t="s">
        <v>269</v>
      </c>
      <c r="C880">
        <v>70</v>
      </c>
      <c r="D880" t="s">
        <v>8</v>
      </c>
      <c r="E880" t="str">
        <f>_xlfn.XLOOKUP(CKadeaTelcoLogs_Reseau[[#This Row],[Cell_ID]],'CKadeaTelcoRegistre_Maintenance'!A:A,'CKadeaTelcoRegistre_Maintenance'!B:B,"Non repertorié")</f>
        <v>Kongo-Central</v>
      </c>
      <c r="F880">
        <f>_xlfn.XLOOKUP(CKadeaTelcoLogs_Reseau[[#This Row],[Cell_ID]],'CKadeaTelcoRegistre_Maintenance'!A:A,'CKadeaTelcoRegistre_Maintenance'!C:C,"Non repertorié")</f>
        <v>-12.112399999999999</v>
      </c>
      <c r="G880">
        <f>_xlfn.XLOOKUP(CKadeaTelcoLogs_Reseau[[#This Row],[Cell_ID]],'CKadeaTelcoRegistre_Maintenance'!A:A,'CKadeaTelcoRegistre_Maintenance'!D:D,"Non repertorié")</f>
        <v>15.872226</v>
      </c>
      <c r="H880" t="str">
        <f>_xlfn.XLOOKUP(CKadeaTelcoLogs_Reseau[[#This Row],[Cell_ID]],'CKadeaTelcoRegistre_Maintenance'!A:A,'CKadeaTelcoRegistre_Maintenance'!E:E,"Non repertorié")</f>
        <v>4G</v>
      </c>
      <c r="I880" t="str">
        <f>_xlfn.XLOOKUP(CKadeaTelcoLogs_Reseau[[#This Row],[Cell_ID]],'CKadeaTelcoRegistre_Maintenance'!A:A,'CKadeaTelcoRegistre_Maintenance'!F:F,"Non repertorié")</f>
        <v>Nokia</v>
      </c>
    </row>
    <row r="881" spans="1:9" ht="20.5" customHeight="1" x14ac:dyDescent="0.35">
      <c r="A881" s="1">
        <v>45211.01458333333</v>
      </c>
      <c r="B881" s="5" t="s">
        <v>589</v>
      </c>
      <c r="C881">
        <v>7</v>
      </c>
      <c r="D881" t="s">
        <v>10</v>
      </c>
      <c r="E881" t="str">
        <f>_xlfn.XLOOKUP(CKadeaTelcoLogs_Reseau[[#This Row],[Cell_ID]],'CKadeaTelcoRegistre_Maintenance'!A:A,'CKadeaTelcoRegistre_Maintenance'!B:B,"Non repertorié")</f>
        <v>Non repertorié</v>
      </c>
      <c r="F881" t="str">
        <f>_xlfn.XLOOKUP(CKadeaTelcoLogs_Reseau[[#This Row],[Cell_ID]],'CKadeaTelcoRegistre_Maintenance'!A:A,'CKadeaTelcoRegistre_Maintenance'!C:C,"Non repertorié")</f>
        <v>Non repertorié</v>
      </c>
      <c r="G881" t="str">
        <f>_xlfn.XLOOKUP(CKadeaTelcoLogs_Reseau[[#This Row],[Cell_ID]],'CKadeaTelcoRegistre_Maintenance'!A:A,'CKadeaTelcoRegistre_Maintenance'!D:D,"Non repertorié")</f>
        <v>Non repertorié</v>
      </c>
      <c r="H881" t="str">
        <f>_xlfn.XLOOKUP(CKadeaTelcoLogs_Reseau[[#This Row],[Cell_ID]],'CKadeaTelcoRegistre_Maintenance'!A:A,'CKadeaTelcoRegistre_Maintenance'!E:E,"Non repertorié")</f>
        <v>Non repertorié</v>
      </c>
      <c r="I881" t="str">
        <f>_xlfn.XLOOKUP(CKadeaTelcoLogs_Reseau[[#This Row],[Cell_ID]],'CKadeaTelcoRegistre_Maintenance'!A:A,'CKadeaTelcoRegistre_Maintenance'!F:F,"Non repertorié")</f>
        <v>Non repertorié</v>
      </c>
    </row>
    <row r="882" spans="1:9" ht="20.5" customHeight="1" x14ac:dyDescent="0.35">
      <c r="A882" s="1">
        <v>45226.388194444444</v>
      </c>
      <c r="B882" s="5" t="s">
        <v>590</v>
      </c>
      <c r="C882">
        <v>115</v>
      </c>
      <c r="D882" t="s">
        <v>10</v>
      </c>
      <c r="E882" t="str">
        <f>_xlfn.XLOOKUP(CKadeaTelcoLogs_Reseau[[#This Row],[Cell_ID]],'CKadeaTelcoRegistre_Maintenance'!A:A,'CKadeaTelcoRegistre_Maintenance'!B:B,"Non repertorié")</f>
        <v>Non repertorié</v>
      </c>
      <c r="F882" t="str">
        <f>_xlfn.XLOOKUP(CKadeaTelcoLogs_Reseau[[#This Row],[Cell_ID]],'CKadeaTelcoRegistre_Maintenance'!A:A,'CKadeaTelcoRegistre_Maintenance'!C:C,"Non repertorié")</f>
        <v>Non repertorié</v>
      </c>
      <c r="G882" t="str">
        <f>_xlfn.XLOOKUP(CKadeaTelcoLogs_Reseau[[#This Row],[Cell_ID]],'CKadeaTelcoRegistre_Maintenance'!A:A,'CKadeaTelcoRegistre_Maintenance'!D:D,"Non repertorié")</f>
        <v>Non repertorié</v>
      </c>
      <c r="H882" t="str">
        <f>_xlfn.XLOOKUP(CKadeaTelcoLogs_Reseau[[#This Row],[Cell_ID]],'CKadeaTelcoRegistre_Maintenance'!A:A,'CKadeaTelcoRegistre_Maintenance'!E:E,"Non repertorié")</f>
        <v>Non repertorié</v>
      </c>
      <c r="I882" t="str">
        <f>_xlfn.XLOOKUP(CKadeaTelcoLogs_Reseau[[#This Row],[Cell_ID]],'CKadeaTelcoRegistre_Maintenance'!A:A,'CKadeaTelcoRegistre_Maintenance'!F:F,"Non repertorié")</f>
        <v>Non repertorié</v>
      </c>
    </row>
    <row r="883" spans="1:9" ht="20.5" customHeight="1" x14ac:dyDescent="0.35">
      <c r="A883" s="1">
        <v>45208.662499999999</v>
      </c>
      <c r="B883" s="5" t="s">
        <v>591</v>
      </c>
      <c r="C883">
        <v>104</v>
      </c>
      <c r="D883" t="s">
        <v>10</v>
      </c>
      <c r="E883" t="str">
        <f>_xlfn.XLOOKUP(CKadeaTelcoLogs_Reseau[[#This Row],[Cell_ID]],'CKadeaTelcoRegistre_Maintenance'!A:A,'CKadeaTelcoRegistre_Maintenance'!B:B,"Non repertorié")</f>
        <v>Non repertorié</v>
      </c>
      <c r="F883" t="str">
        <f>_xlfn.XLOOKUP(CKadeaTelcoLogs_Reseau[[#This Row],[Cell_ID]],'CKadeaTelcoRegistre_Maintenance'!A:A,'CKadeaTelcoRegistre_Maintenance'!C:C,"Non repertorié")</f>
        <v>Non repertorié</v>
      </c>
      <c r="G883" t="str">
        <f>_xlfn.XLOOKUP(CKadeaTelcoLogs_Reseau[[#This Row],[Cell_ID]],'CKadeaTelcoRegistre_Maintenance'!A:A,'CKadeaTelcoRegistre_Maintenance'!D:D,"Non repertorié")</f>
        <v>Non repertorié</v>
      </c>
      <c r="H883" t="str">
        <f>_xlfn.XLOOKUP(CKadeaTelcoLogs_Reseau[[#This Row],[Cell_ID]],'CKadeaTelcoRegistre_Maintenance'!A:A,'CKadeaTelcoRegistre_Maintenance'!E:E,"Non repertorié")</f>
        <v>Non repertorié</v>
      </c>
      <c r="I883" t="str">
        <f>_xlfn.XLOOKUP(CKadeaTelcoLogs_Reseau[[#This Row],[Cell_ID]],'CKadeaTelcoRegistre_Maintenance'!A:A,'CKadeaTelcoRegistre_Maintenance'!F:F,"Non repertorié")</f>
        <v>Non repertorié</v>
      </c>
    </row>
    <row r="884" spans="1:9" ht="20.5" customHeight="1" x14ac:dyDescent="0.35">
      <c r="A884" s="1">
        <v>45222.879166666666</v>
      </c>
      <c r="B884" s="5" t="s">
        <v>76</v>
      </c>
      <c r="C884">
        <v>103</v>
      </c>
      <c r="D884" t="s">
        <v>10</v>
      </c>
      <c r="E884" t="str">
        <f>_xlfn.XLOOKUP(CKadeaTelcoLogs_Reseau[[#This Row],[Cell_ID]],'CKadeaTelcoRegistre_Maintenance'!A:A,'CKadeaTelcoRegistre_Maintenance'!B:B,"Non repertorié")</f>
        <v>Non repertorié</v>
      </c>
      <c r="F884" t="str">
        <f>_xlfn.XLOOKUP(CKadeaTelcoLogs_Reseau[[#This Row],[Cell_ID]],'CKadeaTelcoRegistre_Maintenance'!A:A,'CKadeaTelcoRegistre_Maintenance'!C:C,"Non repertorié")</f>
        <v>Non repertorié</v>
      </c>
      <c r="G884" t="str">
        <f>_xlfn.XLOOKUP(CKadeaTelcoLogs_Reseau[[#This Row],[Cell_ID]],'CKadeaTelcoRegistre_Maintenance'!A:A,'CKadeaTelcoRegistre_Maintenance'!D:D,"Non repertorié")</f>
        <v>Non repertorié</v>
      </c>
      <c r="H884" t="str">
        <f>_xlfn.XLOOKUP(CKadeaTelcoLogs_Reseau[[#This Row],[Cell_ID]],'CKadeaTelcoRegistre_Maintenance'!A:A,'CKadeaTelcoRegistre_Maintenance'!E:E,"Non repertorié")</f>
        <v>Non repertorié</v>
      </c>
      <c r="I884" t="str">
        <f>_xlfn.XLOOKUP(CKadeaTelcoLogs_Reseau[[#This Row],[Cell_ID]],'CKadeaTelcoRegistre_Maintenance'!A:A,'CKadeaTelcoRegistre_Maintenance'!F:F,"Non repertorié")</f>
        <v>Non repertorié</v>
      </c>
    </row>
    <row r="885" spans="1:9" ht="20.5" customHeight="1" x14ac:dyDescent="0.35">
      <c r="A885" s="1">
        <v>45227.297222222223</v>
      </c>
      <c r="B885" s="5" t="s">
        <v>592</v>
      </c>
      <c r="C885">
        <v>92</v>
      </c>
      <c r="D885" t="s">
        <v>10</v>
      </c>
      <c r="E885" t="str">
        <f>_xlfn.XLOOKUP(CKadeaTelcoLogs_Reseau[[#This Row],[Cell_ID]],'CKadeaTelcoRegistre_Maintenance'!A:A,'CKadeaTelcoRegistre_Maintenance'!B:B,"Non repertorié")</f>
        <v>Haut-Lomami</v>
      </c>
      <c r="F885">
        <f>_xlfn.XLOOKUP(CKadeaTelcoLogs_Reseau[[#This Row],[Cell_ID]],'CKadeaTelcoRegistre_Maintenance'!A:A,'CKadeaTelcoRegistre_Maintenance'!C:C,"Non repertorié")</f>
        <v>-5.5559329999999996</v>
      </c>
      <c r="G885">
        <f>_xlfn.XLOOKUP(CKadeaTelcoLogs_Reseau[[#This Row],[Cell_ID]],'CKadeaTelcoRegistre_Maintenance'!A:A,'CKadeaTelcoRegistre_Maintenance'!D:D,"Non repertorié")</f>
        <v>13.508692999999999</v>
      </c>
      <c r="H885" t="str">
        <f>_xlfn.XLOOKUP(CKadeaTelcoLogs_Reseau[[#This Row],[Cell_ID]],'CKadeaTelcoRegistre_Maintenance'!A:A,'CKadeaTelcoRegistre_Maintenance'!E:E,"Non repertorié")</f>
        <v>3G</v>
      </c>
      <c r="I885" t="str">
        <f>_xlfn.XLOOKUP(CKadeaTelcoLogs_Reseau[[#This Row],[Cell_ID]],'CKadeaTelcoRegistre_Maintenance'!A:A,'CKadeaTelcoRegistre_Maintenance'!F:F,"Non repertorié")</f>
        <v>Nokia</v>
      </c>
    </row>
    <row r="886" spans="1:9" ht="20.5" customHeight="1" x14ac:dyDescent="0.35">
      <c r="A886" s="1">
        <v>45209.977777777778</v>
      </c>
      <c r="B886" s="5" t="s">
        <v>514</v>
      </c>
      <c r="C886">
        <v>6</v>
      </c>
      <c r="D886" t="s">
        <v>10</v>
      </c>
      <c r="E886" t="str">
        <f>_xlfn.XLOOKUP(CKadeaTelcoLogs_Reseau[[#This Row],[Cell_ID]],'CKadeaTelcoRegistre_Maintenance'!A:A,'CKadeaTelcoRegistre_Maintenance'!B:B,"Non repertorié")</f>
        <v>Non repertorié</v>
      </c>
      <c r="F886" t="str">
        <f>_xlfn.XLOOKUP(CKadeaTelcoLogs_Reseau[[#This Row],[Cell_ID]],'CKadeaTelcoRegistre_Maintenance'!A:A,'CKadeaTelcoRegistre_Maintenance'!C:C,"Non repertorié")</f>
        <v>Non repertorié</v>
      </c>
      <c r="G886" t="str">
        <f>_xlfn.XLOOKUP(CKadeaTelcoLogs_Reseau[[#This Row],[Cell_ID]],'CKadeaTelcoRegistre_Maintenance'!A:A,'CKadeaTelcoRegistre_Maintenance'!D:D,"Non repertorié")</f>
        <v>Non repertorié</v>
      </c>
      <c r="H886" t="str">
        <f>_xlfn.XLOOKUP(CKadeaTelcoLogs_Reseau[[#This Row],[Cell_ID]],'CKadeaTelcoRegistre_Maintenance'!A:A,'CKadeaTelcoRegistre_Maintenance'!E:E,"Non repertorié")</f>
        <v>Non repertorié</v>
      </c>
      <c r="I886" t="str">
        <f>_xlfn.XLOOKUP(CKadeaTelcoLogs_Reseau[[#This Row],[Cell_ID]],'CKadeaTelcoRegistre_Maintenance'!A:A,'CKadeaTelcoRegistre_Maintenance'!F:F,"Non repertorié")</f>
        <v>Non repertorié</v>
      </c>
    </row>
    <row r="887" spans="1:9" ht="20.5" customHeight="1" x14ac:dyDescent="0.35">
      <c r="A887" s="1">
        <v>45224.428472222222</v>
      </c>
      <c r="B887" s="5" t="s">
        <v>26</v>
      </c>
      <c r="C887">
        <v>65</v>
      </c>
      <c r="D887" t="s">
        <v>8</v>
      </c>
      <c r="E887" t="str">
        <f>_xlfn.XLOOKUP(CKadeaTelcoLogs_Reseau[[#This Row],[Cell_ID]],'CKadeaTelcoRegistre_Maintenance'!A:A,'CKadeaTelcoRegistre_Maintenance'!B:B,"Non repertorié")</f>
        <v>Haut-Katanga</v>
      </c>
      <c r="F887">
        <f>_xlfn.XLOOKUP(CKadeaTelcoLogs_Reseau[[#This Row],[Cell_ID]],'CKadeaTelcoRegistre_Maintenance'!A:A,'CKadeaTelcoRegistre_Maintenance'!C:C,"Non repertorié")</f>
        <v>0.172153</v>
      </c>
      <c r="G887">
        <f>_xlfn.XLOOKUP(CKadeaTelcoLogs_Reseau[[#This Row],[Cell_ID]],'CKadeaTelcoRegistre_Maintenance'!A:A,'CKadeaTelcoRegistre_Maintenance'!D:D,"Non repertorié")</f>
        <v>21.091376</v>
      </c>
      <c r="H887" t="str">
        <f>_xlfn.XLOOKUP(CKadeaTelcoLogs_Reseau[[#This Row],[Cell_ID]],'CKadeaTelcoRegistre_Maintenance'!A:A,'CKadeaTelcoRegistre_Maintenance'!E:E,"Non repertorié")</f>
        <v>3G</v>
      </c>
      <c r="I887" t="str">
        <f>_xlfn.XLOOKUP(CKadeaTelcoLogs_Reseau[[#This Row],[Cell_ID]],'CKadeaTelcoRegistre_Maintenance'!A:A,'CKadeaTelcoRegistre_Maintenance'!F:F,"Non repertorié")</f>
        <v>Ericsson</v>
      </c>
    </row>
    <row r="888" spans="1:9" ht="20.5" customHeight="1" x14ac:dyDescent="0.35">
      <c r="A888" s="1">
        <v>45223.568055555559</v>
      </c>
      <c r="B888" s="5" t="s">
        <v>593</v>
      </c>
      <c r="C888">
        <v>21</v>
      </c>
      <c r="D888" t="s">
        <v>5</v>
      </c>
      <c r="E888" t="str">
        <f>_xlfn.XLOOKUP(CKadeaTelcoLogs_Reseau[[#This Row],[Cell_ID]],'CKadeaTelcoRegistre_Maintenance'!A:A,'CKadeaTelcoRegistre_Maintenance'!B:B,"Non repertorié")</f>
        <v>Non repertorié</v>
      </c>
      <c r="F888" t="str">
        <f>_xlfn.XLOOKUP(CKadeaTelcoLogs_Reseau[[#This Row],[Cell_ID]],'CKadeaTelcoRegistre_Maintenance'!A:A,'CKadeaTelcoRegistre_Maintenance'!C:C,"Non repertorié")</f>
        <v>Non repertorié</v>
      </c>
      <c r="G888" t="str">
        <f>_xlfn.XLOOKUP(CKadeaTelcoLogs_Reseau[[#This Row],[Cell_ID]],'CKadeaTelcoRegistre_Maintenance'!A:A,'CKadeaTelcoRegistre_Maintenance'!D:D,"Non repertorié")</f>
        <v>Non repertorié</v>
      </c>
      <c r="H888" t="str">
        <f>_xlfn.XLOOKUP(CKadeaTelcoLogs_Reseau[[#This Row],[Cell_ID]],'CKadeaTelcoRegistre_Maintenance'!A:A,'CKadeaTelcoRegistre_Maintenance'!E:E,"Non repertorié")</f>
        <v>Non repertorié</v>
      </c>
      <c r="I888" t="str">
        <f>_xlfn.XLOOKUP(CKadeaTelcoLogs_Reseau[[#This Row],[Cell_ID]],'CKadeaTelcoRegistre_Maintenance'!A:A,'CKadeaTelcoRegistre_Maintenance'!F:F,"Non repertorié")</f>
        <v>Non repertorié</v>
      </c>
    </row>
    <row r="889" spans="1:9" ht="20.5" customHeight="1" x14ac:dyDescent="0.35">
      <c r="A889" s="1">
        <v>45220.091666666667</v>
      </c>
      <c r="B889" s="5" t="s">
        <v>23</v>
      </c>
      <c r="C889">
        <v>87</v>
      </c>
      <c r="D889" t="s">
        <v>8</v>
      </c>
      <c r="E889" t="str">
        <f>_xlfn.XLOOKUP(CKadeaTelcoLogs_Reseau[[#This Row],[Cell_ID]],'CKadeaTelcoRegistre_Maintenance'!A:A,'CKadeaTelcoRegistre_Maintenance'!B:B,"Non repertorié")</f>
        <v>Non repertorié</v>
      </c>
      <c r="F889" t="str">
        <f>_xlfn.XLOOKUP(CKadeaTelcoLogs_Reseau[[#This Row],[Cell_ID]],'CKadeaTelcoRegistre_Maintenance'!A:A,'CKadeaTelcoRegistre_Maintenance'!C:C,"Non repertorié")</f>
        <v>Non repertorié</v>
      </c>
      <c r="G889" t="str">
        <f>_xlfn.XLOOKUP(CKadeaTelcoLogs_Reseau[[#This Row],[Cell_ID]],'CKadeaTelcoRegistre_Maintenance'!A:A,'CKadeaTelcoRegistre_Maintenance'!D:D,"Non repertorié")</f>
        <v>Non repertorié</v>
      </c>
      <c r="H889" t="str">
        <f>_xlfn.XLOOKUP(CKadeaTelcoLogs_Reseau[[#This Row],[Cell_ID]],'CKadeaTelcoRegistre_Maintenance'!A:A,'CKadeaTelcoRegistre_Maintenance'!E:E,"Non repertorié")</f>
        <v>Non repertorié</v>
      </c>
      <c r="I889" t="str">
        <f>_xlfn.XLOOKUP(CKadeaTelcoLogs_Reseau[[#This Row],[Cell_ID]],'CKadeaTelcoRegistre_Maintenance'!A:A,'CKadeaTelcoRegistre_Maintenance'!F:F,"Non repertorié")</f>
        <v>Non repertorié</v>
      </c>
    </row>
    <row r="890" spans="1:9" ht="20.5" customHeight="1" x14ac:dyDescent="0.35">
      <c r="A890" s="1">
        <v>45214.290277777778</v>
      </c>
      <c r="B890" s="5" t="s">
        <v>452</v>
      </c>
      <c r="C890">
        <v>27</v>
      </c>
      <c r="D890" t="s">
        <v>8</v>
      </c>
      <c r="E890" t="str">
        <f>_xlfn.XLOOKUP(CKadeaTelcoLogs_Reseau[[#This Row],[Cell_ID]],'CKadeaTelcoRegistre_Maintenance'!A:A,'CKadeaTelcoRegistre_Maintenance'!B:B,"Non repertorié")</f>
        <v>Equateur</v>
      </c>
      <c r="F890">
        <f>_xlfn.XLOOKUP(CKadeaTelcoLogs_Reseau[[#This Row],[Cell_ID]],'CKadeaTelcoRegistre_Maintenance'!A:A,'CKadeaTelcoRegistre_Maintenance'!C:C,"Non repertorié")</f>
        <v>-12.839263000000001</v>
      </c>
      <c r="G890">
        <f>_xlfn.XLOOKUP(CKadeaTelcoLogs_Reseau[[#This Row],[Cell_ID]],'CKadeaTelcoRegistre_Maintenance'!A:A,'CKadeaTelcoRegistre_Maintenance'!D:D,"Non repertorié")</f>
        <v>12.355677</v>
      </c>
      <c r="H890" t="str">
        <f>_xlfn.XLOOKUP(CKadeaTelcoLogs_Reseau[[#This Row],[Cell_ID]],'CKadeaTelcoRegistre_Maintenance'!A:A,'CKadeaTelcoRegistre_Maintenance'!E:E,"Non repertorié")</f>
        <v>3G</v>
      </c>
      <c r="I890" t="str">
        <f>_xlfn.XLOOKUP(CKadeaTelcoLogs_Reseau[[#This Row],[Cell_ID]],'CKadeaTelcoRegistre_Maintenance'!A:A,'CKadeaTelcoRegistre_Maintenance'!F:F,"Non repertorié")</f>
        <v>Huawei</v>
      </c>
    </row>
    <row r="891" spans="1:9" ht="20.5" customHeight="1" x14ac:dyDescent="0.35">
      <c r="A891" s="1">
        <v>45226.574305555558</v>
      </c>
      <c r="B891" s="5" t="s">
        <v>246</v>
      </c>
      <c r="C891">
        <v>81</v>
      </c>
      <c r="D891" t="s">
        <v>8</v>
      </c>
      <c r="E891" t="str">
        <f>_xlfn.XLOOKUP(CKadeaTelcoLogs_Reseau[[#This Row],[Cell_ID]],'CKadeaTelcoRegistre_Maintenance'!A:A,'CKadeaTelcoRegistre_Maintenance'!B:B,"Non repertorié")</f>
        <v>Non repertorié</v>
      </c>
      <c r="F891" t="str">
        <f>_xlfn.XLOOKUP(CKadeaTelcoLogs_Reseau[[#This Row],[Cell_ID]],'CKadeaTelcoRegistre_Maintenance'!A:A,'CKadeaTelcoRegistre_Maintenance'!C:C,"Non repertorié")</f>
        <v>Non repertorié</v>
      </c>
      <c r="G891" t="str">
        <f>_xlfn.XLOOKUP(CKadeaTelcoLogs_Reseau[[#This Row],[Cell_ID]],'CKadeaTelcoRegistre_Maintenance'!A:A,'CKadeaTelcoRegistre_Maintenance'!D:D,"Non repertorié")</f>
        <v>Non repertorié</v>
      </c>
      <c r="H891" t="str">
        <f>_xlfn.XLOOKUP(CKadeaTelcoLogs_Reseau[[#This Row],[Cell_ID]],'CKadeaTelcoRegistre_Maintenance'!A:A,'CKadeaTelcoRegistre_Maintenance'!E:E,"Non repertorié")</f>
        <v>Non repertorié</v>
      </c>
      <c r="I891" t="str">
        <f>_xlfn.XLOOKUP(CKadeaTelcoLogs_Reseau[[#This Row],[Cell_ID]],'CKadeaTelcoRegistre_Maintenance'!A:A,'CKadeaTelcoRegistre_Maintenance'!F:F,"Non repertorié")</f>
        <v>Non repertorié</v>
      </c>
    </row>
    <row r="892" spans="1:9" ht="20.5" customHeight="1" x14ac:dyDescent="0.35">
      <c r="A892" s="1">
        <v>45215.704861111109</v>
      </c>
      <c r="B892" s="5" t="s">
        <v>243</v>
      </c>
      <c r="C892">
        <v>107</v>
      </c>
      <c r="D892" t="s">
        <v>5</v>
      </c>
      <c r="E892" t="str">
        <f>_xlfn.XLOOKUP(CKadeaTelcoLogs_Reseau[[#This Row],[Cell_ID]],'CKadeaTelcoRegistre_Maintenance'!A:A,'CKadeaTelcoRegistre_Maintenance'!B:B,"Non repertorié")</f>
        <v>Kongo-Central</v>
      </c>
      <c r="F892">
        <f>_xlfn.XLOOKUP(CKadeaTelcoLogs_Reseau[[#This Row],[Cell_ID]],'CKadeaTelcoRegistre_Maintenance'!A:A,'CKadeaTelcoRegistre_Maintenance'!C:C,"Non repertorié")</f>
        <v>-12.564277000000001</v>
      </c>
      <c r="G892">
        <f>_xlfn.XLOOKUP(CKadeaTelcoLogs_Reseau[[#This Row],[Cell_ID]],'CKadeaTelcoRegistre_Maintenance'!A:A,'CKadeaTelcoRegistre_Maintenance'!D:D,"Non repertorié")</f>
        <v>28.480798</v>
      </c>
      <c r="H892" t="str">
        <f>_xlfn.XLOOKUP(CKadeaTelcoLogs_Reseau[[#This Row],[Cell_ID]],'CKadeaTelcoRegistre_Maintenance'!A:A,'CKadeaTelcoRegistre_Maintenance'!E:E,"Non repertorié")</f>
        <v>5G</v>
      </c>
      <c r="I892" t="str">
        <f>_xlfn.XLOOKUP(CKadeaTelcoLogs_Reseau[[#This Row],[Cell_ID]],'CKadeaTelcoRegistre_Maintenance'!A:A,'CKadeaTelcoRegistre_Maintenance'!F:F,"Non repertorié")</f>
        <v>ZTE</v>
      </c>
    </row>
    <row r="893" spans="1:9" ht="20.5" customHeight="1" x14ac:dyDescent="0.35">
      <c r="A893" s="1">
        <v>45211.063888888886</v>
      </c>
      <c r="B893" s="5" t="s">
        <v>594</v>
      </c>
      <c r="C893">
        <v>6</v>
      </c>
      <c r="D893" t="s">
        <v>10</v>
      </c>
      <c r="E893" t="str">
        <f>_xlfn.XLOOKUP(CKadeaTelcoLogs_Reseau[[#This Row],[Cell_ID]],'CKadeaTelcoRegistre_Maintenance'!A:A,'CKadeaTelcoRegistre_Maintenance'!B:B,"Non repertorié")</f>
        <v>Kasai-Oriental</v>
      </c>
      <c r="F893">
        <f>_xlfn.XLOOKUP(CKadeaTelcoLogs_Reseau[[#This Row],[Cell_ID]],'CKadeaTelcoRegistre_Maintenance'!A:A,'CKadeaTelcoRegistre_Maintenance'!C:C,"Non repertorié")</f>
        <v>1.7832440000000001</v>
      </c>
      <c r="G893">
        <f>_xlfn.XLOOKUP(CKadeaTelcoLogs_Reseau[[#This Row],[Cell_ID]],'CKadeaTelcoRegistre_Maintenance'!A:A,'CKadeaTelcoRegistre_Maintenance'!D:D,"Non repertorié")</f>
        <v>25.477405999999998</v>
      </c>
      <c r="H893" t="str">
        <f>_xlfn.XLOOKUP(CKadeaTelcoLogs_Reseau[[#This Row],[Cell_ID]],'CKadeaTelcoRegistre_Maintenance'!A:A,'CKadeaTelcoRegistre_Maintenance'!E:E,"Non repertorié")</f>
        <v>5G</v>
      </c>
      <c r="I893" t="str">
        <f>_xlfn.XLOOKUP(CKadeaTelcoLogs_Reseau[[#This Row],[Cell_ID]],'CKadeaTelcoRegistre_Maintenance'!A:A,'CKadeaTelcoRegistre_Maintenance'!F:F,"Non repertorié")</f>
        <v>Huawei</v>
      </c>
    </row>
    <row r="894" spans="1:9" ht="20.5" customHeight="1" x14ac:dyDescent="0.35">
      <c r="A894" s="1">
        <v>45225.211111111108</v>
      </c>
      <c r="B894" s="5" t="s">
        <v>595</v>
      </c>
      <c r="C894">
        <v>33</v>
      </c>
      <c r="D894" t="s">
        <v>8</v>
      </c>
      <c r="E894" t="str">
        <f>_xlfn.XLOOKUP(CKadeaTelcoLogs_Reseau[[#This Row],[Cell_ID]],'CKadeaTelcoRegistre_Maintenance'!A:A,'CKadeaTelcoRegistre_Maintenance'!B:B,"Non repertorié")</f>
        <v>Non repertorié</v>
      </c>
      <c r="F894" t="str">
        <f>_xlfn.XLOOKUP(CKadeaTelcoLogs_Reseau[[#This Row],[Cell_ID]],'CKadeaTelcoRegistre_Maintenance'!A:A,'CKadeaTelcoRegistre_Maintenance'!C:C,"Non repertorié")</f>
        <v>Non repertorié</v>
      </c>
      <c r="G894" t="str">
        <f>_xlfn.XLOOKUP(CKadeaTelcoLogs_Reseau[[#This Row],[Cell_ID]],'CKadeaTelcoRegistre_Maintenance'!A:A,'CKadeaTelcoRegistre_Maintenance'!D:D,"Non repertorié")</f>
        <v>Non repertorié</v>
      </c>
      <c r="H894" t="str">
        <f>_xlfn.XLOOKUP(CKadeaTelcoLogs_Reseau[[#This Row],[Cell_ID]],'CKadeaTelcoRegistre_Maintenance'!A:A,'CKadeaTelcoRegistre_Maintenance'!E:E,"Non repertorié")</f>
        <v>Non repertorié</v>
      </c>
      <c r="I894" t="str">
        <f>_xlfn.XLOOKUP(CKadeaTelcoLogs_Reseau[[#This Row],[Cell_ID]],'CKadeaTelcoRegistre_Maintenance'!A:A,'CKadeaTelcoRegistre_Maintenance'!F:F,"Non repertorié")</f>
        <v>Non repertorié</v>
      </c>
    </row>
    <row r="895" spans="1:9" ht="20.5" customHeight="1" x14ac:dyDescent="0.35">
      <c r="A895" s="1">
        <v>45209.938888888886</v>
      </c>
      <c r="B895" s="5" t="s">
        <v>64</v>
      </c>
      <c r="C895">
        <v>37</v>
      </c>
      <c r="D895" t="s">
        <v>8</v>
      </c>
      <c r="E895" t="str">
        <f>_xlfn.XLOOKUP(CKadeaTelcoLogs_Reseau[[#This Row],[Cell_ID]],'CKadeaTelcoRegistre_Maintenance'!A:A,'CKadeaTelcoRegistre_Maintenance'!B:B,"Non repertorié")</f>
        <v>Haut-Katanga</v>
      </c>
      <c r="F895">
        <f>_xlfn.XLOOKUP(CKadeaTelcoLogs_Reseau[[#This Row],[Cell_ID]],'CKadeaTelcoRegistre_Maintenance'!A:A,'CKadeaTelcoRegistre_Maintenance'!C:C,"Non repertorié")</f>
        <v>-5.5445120000000001</v>
      </c>
      <c r="G895">
        <f>_xlfn.XLOOKUP(CKadeaTelcoLogs_Reseau[[#This Row],[Cell_ID]],'CKadeaTelcoRegistre_Maintenance'!A:A,'CKadeaTelcoRegistre_Maintenance'!D:D,"Non repertorié")</f>
        <v>27.547335</v>
      </c>
      <c r="H895" t="str">
        <f>_xlfn.XLOOKUP(CKadeaTelcoLogs_Reseau[[#This Row],[Cell_ID]],'CKadeaTelcoRegistre_Maintenance'!A:A,'CKadeaTelcoRegistre_Maintenance'!E:E,"Non repertorié")</f>
        <v>4G</v>
      </c>
      <c r="I895" t="str">
        <f>_xlfn.XLOOKUP(CKadeaTelcoLogs_Reseau[[#This Row],[Cell_ID]],'CKadeaTelcoRegistre_Maintenance'!A:A,'CKadeaTelcoRegistre_Maintenance'!F:F,"Non repertorié")</f>
        <v>Ericsson</v>
      </c>
    </row>
    <row r="896" spans="1:9" ht="20.5" customHeight="1" x14ac:dyDescent="0.35">
      <c r="A896" s="1">
        <v>45212.200694444444</v>
      </c>
      <c r="B896" s="5" t="s">
        <v>266</v>
      </c>
      <c r="C896">
        <v>82</v>
      </c>
      <c r="D896" t="s">
        <v>5</v>
      </c>
      <c r="E896" t="str">
        <f>_xlfn.XLOOKUP(CKadeaTelcoLogs_Reseau[[#This Row],[Cell_ID]],'CKadeaTelcoRegistre_Maintenance'!A:A,'CKadeaTelcoRegistre_Maintenance'!B:B,"Non repertorié")</f>
        <v>Non repertorié</v>
      </c>
      <c r="F896" t="str">
        <f>_xlfn.XLOOKUP(CKadeaTelcoLogs_Reseau[[#This Row],[Cell_ID]],'CKadeaTelcoRegistre_Maintenance'!A:A,'CKadeaTelcoRegistre_Maintenance'!C:C,"Non repertorié")</f>
        <v>Non repertorié</v>
      </c>
      <c r="G896" t="str">
        <f>_xlfn.XLOOKUP(CKadeaTelcoLogs_Reseau[[#This Row],[Cell_ID]],'CKadeaTelcoRegistre_Maintenance'!A:A,'CKadeaTelcoRegistre_Maintenance'!D:D,"Non repertorié")</f>
        <v>Non repertorié</v>
      </c>
      <c r="H896" t="str">
        <f>_xlfn.XLOOKUP(CKadeaTelcoLogs_Reseau[[#This Row],[Cell_ID]],'CKadeaTelcoRegistre_Maintenance'!A:A,'CKadeaTelcoRegistre_Maintenance'!E:E,"Non repertorié")</f>
        <v>Non repertorié</v>
      </c>
      <c r="I896" t="str">
        <f>_xlfn.XLOOKUP(CKadeaTelcoLogs_Reseau[[#This Row],[Cell_ID]],'CKadeaTelcoRegistre_Maintenance'!A:A,'CKadeaTelcoRegistre_Maintenance'!F:F,"Non repertorié")</f>
        <v>Non repertorié</v>
      </c>
    </row>
    <row r="897" spans="1:9" ht="20.5" customHeight="1" x14ac:dyDescent="0.35">
      <c r="A897" s="1">
        <v>45227.705555555556</v>
      </c>
      <c r="B897" s="5" t="s">
        <v>259</v>
      </c>
      <c r="C897">
        <v>108</v>
      </c>
      <c r="D897" t="s">
        <v>8</v>
      </c>
      <c r="E897" t="str">
        <f>_xlfn.XLOOKUP(CKadeaTelcoLogs_Reseau[[#This Row],[Cell_ID]],'CKadeaTelcoRegistre_Maintenance'!A:A,'CKadeaTelcoRegistre_Maintenance'!B:B,"Non repertorié")</f>
        <v>Non repertorié</v>
      </c>
      <c r="F897" t="str">
        <f>_xlfn.XLOOKUP(CKadeaTelcoLogs_Reseau[[#This Row],[Cell_ID]],'CKadeaTelcoRegistre_Maintenance'!A:A,'CKadeaTelcoRegistre_Maintenance'!C:C,"Non repertorié")</f>
        <v>Non repertorié</v>
      </c>
      <c r="G897" t="str">
        <f>_xlfn.XLOOKUP(CKadeaTelcoLogs_Reseau[[#This Row],[Cell_ID]],'CKadeaTelcoRegistre_Maintenance'!A:A,'CKadeaTelcoRegistre_Maintenance'!D:D,"Non repertorié")</f>
        <v>Non repertorié</v>
      </c>
      <c r="H897" t="str">
        <f>_xlfn.XLOOKUP(CKadeaTelcoLogs_Reseau[[#This Row],[Cell_ID]],'CKadeaTelcoRegistre_Maintenance'!A:A,'CKadeaTelcoRegistre_Maintenance'!E:E,"Non repertorié")</f>
        <v>Non repertorié</v>
      </c>
      <c r="I897" t="str">
        <f>_xlfn.XLOOKUP(CKadeaTelcoLogs_Reseau[[#This Row],[Cell_ID]],'CKadeaTelcoRegistre_Maintenance'!A:A,'CKadeaTelcoRegistre_Maintenance'!F:F,"Non repertorié")</f>
        <v>Non repertorié</v>
      </c>
    </row>
    <row r="898" spans="1:9" ht="20.5" customHeight="1" x14ac:dyDescent="0.35">
      <c r="A898" s="1">
        <v>45218.007638888892</v>
      </c>
      <c r="B898" s="5" t="s">
        <v>114</v>
      </c>
      <c r="C898">
        <v>44</v>
      </c>
      <c r="D898" t="s">
        <v>8</v>
      </c>
      <c r="E898" t="str">
        <f>_xlfn.XLOOKUP(CKadeaTelcoLogs_Reseau[[#This Row],[Cell_ID]],'CKadeaTelcoRegistre_Maintenance'!A:A,'CKadeaTelcoRegistre_Maintenance'!B:B,"Non repertorié")</f>
        <v>Sud-Kivu</v>
      </c>
      <c r="F898">
        <f>_xlfn.XLOOKUP(CKadeaTelcoLogs_Reseau[[#This Row],[Cell_ID]],'CKadeaTelcoRegistre_Maintenance'!A:A,'CKadeaTelcoRegistre_Maintenance'!C:C,"Non repertorié")</f>
        <v>-9.4702129999999993</v>
      </c>
      <c r="G898">
        <f>_xlfn.XLOOKUP(CKadeaTelcoLogs_Reseau[[#This Row],[Cell_ID]],'CKadeaTelcoRegistre_Maintenance'!A:A,'CKadeaTelcoRegistre_Maintenance'!D:D,"Non repertorié")</f>
        <v>12.826158</v>
      </c>
      <c r="H898" t="str">
        <f>_xlfn.XLOOKUP(CKadeaTelcoLogs_Reseau[[#This Row],[Cell_ID]],'CKadeaTelcoRegistre_Maintenance'!A:A,'CKadeaTelcoRegistre_Maintenance'!E:E,"Non repertorié")</f>
        <v>3G</v>
      </c>
      <c r="I898" t="str">
        <f>_xlfn.XLOOKUP(CKadeaTelcoLogs_Reseau[[#This Row],[Cell_ID]],'CKadeaTelcoRegistre_Maintenance'!A:A,'CKadeaTelcoRegistre_Maintenance'!F:F,"Non repertorié")</f>
        <v>Ericsson</v>
      </c>
    </row>
    <row r="899" spans="1:9" ht="20.5" customHeight="1" x14ac:dyDescent="0.35">
      <c r="A899" s="1">
        <v>45206.286805555559</v>
      </c>
      <c r="B899" s="5" t="s">
        <v>64</v>
      </c>
      <c r="C899">
        <v>96</v>
      </c>
      <c r="D899" t="s">
        <v>8</v>
      </c>
      <c r="E899" t="str">
        <f>_xlfn.XLOOKUP(CKadeaTelcoLogs_Reseau[[#This Row],[Cell_ID]],'CKadeaTelcoRegistre_Maintenance'!A:A,'CKadeaTelcoRegistre_Maintenance'!B:B,"Non repertorié")</f>
        <v>Haut-Katanga</v>
      </c>
      <c r="F899">
        <f>_xlfn.XLOOKUP(CKadeaTelcoLogs_Reseau[[#This Row],[Cell_ID]],'CKadeaTelcoRegistre_Maintenance'!A:A,'CKadeaTelcoRegistre_Maintenance'!C:C,"Non repertorié")</f>
        <v>-5.5445120000000001</v>
      </c>
      <c r="G899">
        <f>_xlfn.XLOOKUP(CKadeaTelcoLogs_Reseau[[#This Row],[Cell_ID]],'CKadeaTelcoRegistre_Maintenance'!A:A,'CKadeaTelcoRegistre_Maintenance'!D:D,"Non repertorié")</f>
        <v>27.547335</v>
      </c>
      <c r="H899" t="str">
        <f>_xlfn.XLOOKUP(CKadeaTelcoLogs_Reseau[[#This Row],[Cell_ID]],'CKadeaTelcoRegistre_Maintenance'!A:A,'CKadeaTelcoRegistre_Maintenance'!E:E,"Non repertorié")</f>
        <v>4G</v>
      </c>
      <c r="I899" t="str">
        <f>_xlfn.XLOOKUP(CKadeaTelcoLogs_Reseau[[#This Row],[Cell_ID]],'CKadeaTelcoRegistre_Maintenance'!A:A,'CKadeaTelcoRegistre_Maintenance'!F:F,"Non repertorié")</f>
        <v>Ericsson</v>
      </c>
    </row>
    <row r="900" spans="1:9" ht="20.5" customHeight="1" x14ac:dyDescent="0.35">
      <c r="A900" s="1">
        <v>45201.293055555558</v>
      </c>
      <c r="B900" s="5" t="s">
        <v>545</v>
      </c>
      <c r="C900">
        <v>95</v>
      </c>
      <c r="D900" t="s">
        <v>10</v>
      </c>
      <c r="E900" t="str">
        <f>_xlfn.XLOOKUP(CKadeaTelcoLogs_Reseau[[#This Row],[Cell_ID]],'CKadeaTelcoRegistre_Maintenance'!A:A,'CKadeaTelcoRegistre_Maintenance'!B:B,"Non repertorié")</f>
        <v>Lomami</v>
      </c>
      <c r="F900">
        <f>_xlfn.XLOOKUP(CKadeaTelcoLogs_Reseau[[#This Row],[Cell_ID]],'CKadeaTelcoRegistre_Maintenance'!A:A,'CKadeaTelcoRegistre_Maintenance'!C:C,"Non repertorié")</f>
        <v>-9.5619429999999994</v>
      </c>
      <c r="G900">
        <f>_xlfn.XLOOKUP(CKadeaTelcoLogs_Reseau[[#This Row],[Cell_ID]],'CKadeaTelcoRegistre_Maintenance'!A:A,'CKadeaTelcoRegistre_Maintenance'!D:D,"Non repertorié")</f>
        <v>21.445726000000001</v>
      </c>
      <c r="H900" t="str">
        <f>_xlfn.XLOOKUP(CKadeaTelcoLogs_Reseau[[#This Row],[Cell_ID]],'CKadeaTelcoRegistre_Maintenance'!A:A,'CKadeaTelcoRegistre_Maintenance'!E:E,"Non repertorié")</f>
        <v>4G</v>
      </c>
      <c r="I900" t="str">
        <f>_xlfn.XLOOKUP(CKadeaTelcoLogs_Reseau[[#This Row],[Cell_ID]],'CKadeaTelcoRegistre_Maintenance'!A:A,'CKadeaTelcoRegistre_Maintenance'!F:F,"Non repertorié")</f>
        <v>Nokia</v>
      </c>
    </row>
    <row r="901" spans="1:9" ht="20.5" customHeight="1" x14ac:dyDescent="0.35">
      <c r="A901" s="1">
        <v>45214.081944444442</v>
      </c>
      <c r="B901" s="5" t="s">
        <v>596</v>
      </c>
      <c r="C901">
        <v>87</v>
      </c>
      <c r="D901" t="s">
        <v>8</v>
      </c>
      <c r="E901" t="str">
        <f>_xlfn.XLOOKUP(CKadeaTelcoLogs_Reseau[[#This Row],[Cell_ID]],'CKadeaTelcoRegistre_Maintenance'!A:A,'CKadeaTelcoRegistre_Maintenance'!B:B,"Non repertorié")</f>
        <v>Non repertorié</v>
      </c>
      <c r="F901" t="str">
        <f>_xlfn.XLOOKUP(CKadeaTelcoLogs_Reseau[[#This Row],[Cell_ID]],'CKadeaTelcoRegistre_Maintenance'!A:A,'CKadeaTelcoRegistre_Maintenance'!C:C,"Non repertorié")</f>
        <v>Non repertorié</v>
      </c>
      <c r="G901" t="str">
        <f>_xlfn.XLOOKUP(CKadeaTelcoLogs_Reseau[[#This Row],[Cell_ID]],'CKadeaTelcoRegistre_Maintenance'!A:A,'CKadeaTelcoRegistre_Maintenance'!D:D,"Non repertorié")</f>
        <v>Non repertorié</v>
      </c>
      <c r="H901" t="str">
        <f>_xlfn.XLOOKUP(CKadeaTelcoLogs_Reseau[[#This Row],[Cell_ID]],'CKadeaTelcoRegistre_Maintenance'!A:A,'CKadeaTelcoRegistre_Maintenance'!E:E,"Non repertorié")</f>
        <v>Non repertorié</v>
      </c>
      <c r="I901" t="str">
        <f>_xlfn.XLOOKUP(CKadeaTelcoLogs_Reseau[[#This Row],[Cell_ID]],'CKadeaTelcoRegistre_Maintenance'!A:A,'CKadeaTelcoRegistre_Maintenance'!F:F,"Non repertorié")</f>
        <v>Non repertorié</v>
      </c>
    </row>
    <row r="902" spans="1:9" ht="20.5" customHeight="1" x14ac:dyDescent="0.35">
      <c r="A902" s="1">
        <v>45211.925000000003</v>
      </c>
      <c r="B902" s="5" t="s">
        <v>150</v>
      </c>
      <c r="C902">
        <v>40</v>
      </c>
      <c r="D902" t="s">
        <v>10</v>
      </c>
      <c r="E902" t="str">
        <f>_xlfn.XLOOKUP(CKadeaTelcoLogs_Reseau[[#This Row],[Cell_ID]],'CKadeaTelcoRegistre_Maintenance'!A:A,'CKadeaTelcoRegistre_Maintenance'!B:B,"Non repertorié")</f>
        <v>Non repertorié</v>
      </c>
      <c r="F902" t="str">
        <f>_xlfn.XLOOKUP(CKadeaTelcoLogs_Reseau[[#This Row],[Cell_ID]],'CKadeaTelcoRegistre_Maintenance'!A:A,'CKadeaTelcoRegistre_Maintenance'!C:C,"Non repertorié")</f>
        <v>Non repertorié</v>
      </c>
      <c r="G902" t="str">
        <f>_xlfn.XLOOKUP(CKadeaTelcoLogs_Reseau[[#This Row],[Cell_ID]],'CKadeaTelcoRegistre_Maintenance'!A:A,'CKadeaTelcoRegistre_Maintenance'!D:D,"Non repertorié")</f>
        <v>Non repertorié</v>
      </c>
      <c r="H902" t="str">
        <f>_xlfn.XLOOKUP(CKadeaTelcoLogs_Reseau[[#This Row],[Cell_ID]],'CKadeaTelcoRegistre_Maintenance'!A:A,'CKadeaTelcoRegistre_Maintenance'!E:E,"Non repertorié")</f>
        <v>Non repertorié</v>
      </c>
      <c r="I902" t="str">
        <f>_xlfn.XLOOKUP(CKadeaTelcoLogs_Reseau[[#This Row],[Cell_ID]],'CKadeaTelcoRegistre_Maintenance'!A:A,'CKadeaTelcoRegistre_Maintenance'!F:F,"Non repertorié")</f>
        <v>Non repertorié</v>
      </c>
    </row>
    <row r="903" spans="1:9" ht="20.5" customHeight="1" x14ac:dyDescent="0.35">
      <c r="A903" s="1">
        <v>45208.494444444441</v>
      </c>
      <c r="B903" s="5" t="s">
        <v>342</v>
      </c>
      <c r="C903">
        <v>59</v>
      </c>
      <c r="D903" t="s">
        <v>8</v>
      </c>
      <c r="E903" t="str">
        <f>_xlfn.XLOOKUP(CKadeaTelcoLogs_Reseau[[#This Row],[Cell_ID]],'CKadeaTelcoRegistre_Maintenance'!A:A,'CKadeaTelcoRegistre_Maintenance'!B:B,"Non repertorié")</f>
        <v>Non repertorié</v>
      </c>
      <c r="F903" t="str">
        <f>_xlfn.XLOOKUP(CKadeaTelcoLogs_Reseau[[#This Row],[Cell_ID]],'CKadeaTelcoRegistre_Maintenance'!A:A,'CKadeaTelcoRegistre_Maintenance'!C:C,"Non repertorié")</f>
        <v>Non repertorié</v>
      </c>
      <c r="G903" t="str">
        <f>_xlfn.XLOOKUP(CKadeaTelcoLogs_Reseau[[#This Row],[Cell_ID]],'CKadeaTelcoRegistre_Maintenance'!A:A,'CKadeaTelcoRegistre_Maintenance'!D:D,"Non repertorié")</f>
        <v>Non repertorié</v>
      </c>
      <c r="H903" t="str">
        <f>_xlfn.XLOOKUP(CKadeaTelcoLogs_Reseau[[#This Row],[Cell_ID]],'CKadeaTelcoRegistre_Maintenance'!A:A,'CKadeaTelcoRegistre_Maintenance'!E:E,"Non repertorié")</f>
        <v>Non repertorié</v>
      </c>
      <c r="I903" t="str">
        <f>_xlfn.XLOOKUP(CKadeaTelcoLogs_Reseau[[#This Row],[Cell_ID]],'CKadeaTelcoRegistre_Maintenance'!A:A,'CKadeaTelcoRegistre_Maintenance'!F:F,"Non repertorié")</f>
        <v>Non repertorié</v>
      </c>
    </row>
    <row r="904" spans="1:9" ht="20.5" customHeight="1" x14ac:dyDescent="0.35">
      <c r="A904" s="1">
        <v>45214.684027777781</v>
      </c>
      <c r="B904" s="5" t="s">
        <v>104</v>
      </c>
      <c r="C904">
        <v>119</v>
      </c>
      <c r="D904" t="s">
        <v>10</v>
      </c>
      <c r="E904" t="str">
        <f>_xlfn.XLOOKUP(CKadeaTelcoLogs_Reseau[[#This Row],[Cell_ID]],'CKadeaTelcoRegistre_Maintenance'!A:A,'CKadeaTelcoRegistre_Maintenance'!B:B,"Non repertorié")</f>
        <v>Lomami</v>
      </c>
      <c r="F904">
        <f>_xlfn.XLOOKUP(CKadeaTelcoLogs_Reseau[[#This Row],[Cell_ID]],'CKadeaTelcoRegistre_Maintenance'!A:A,'CKadeaTelcoRegistre_Maintenance'!C:C,"Non repertorié")</f>
        <v>-11.218453999999999</v>
      </c>
      <c r="G904">
        <f>_xlfn.XLOOKUP(CKadeaTelcoLogs_Reseau[[#This Row],[Cell_ID]],'CKadeaTelcoRegistre_Maintenance'!A:A,'CKadeaTelcoRegistre_Maintenance'!D:D,"Non repertorié")</f>
        <v>28.230025000000001</v>
      </c>
      <c r="H904" t="str">
        <f>_xlfn.XLOOKUP(CKadeaTelcoLogs_Reseau[[#This Row],[Cell_ID]],'CKadeaTelcoRegistre_Maintenance'!A:A,'CKadeaTelcoRegistre_Maintenance'!E:E,"Non repertorié")</f>
        <v>5G</v>
      </c>
      <c r="I904" t="str">
        <f>_xlfn.XLOOKUP(CKadeaTelcoLogs_Reseau[[#This Row],[Cell_ID]],'CKadeaTelcoRegistre_Maintenance'!A:A,'CKadeaTelcoRegistre_Maintenance'!F:F,"Non repertorié")</f>
        <v>ZTE</v>
      </c>
    </row>
    <row r="905" spans="1:9" ht="20.5" customHeight="1" x14ac:dyDescent="0.35">
      <c r="A905" s="1">
        <v>45220.154861111114</v>
      </c>
      <c r="B905" s="5" t="s">
        <v>397</v>
      </c>
      <c r="C905">
        <v>53</v>
      </c>
      <c r="D905" t="s">
        <v>5</v>
      </c>
      <c r="E905" t="str">
        <f>_xlfn.XLOOKUP(CKadeaTelcoLogs_Reseau[[#This Row],[Cell_ID]],'CKadeaTelcoRegistre_Maintenance'!A:A,'CKadeaTelcoRegistre_Maintenance'!B:B,"Non repertorié")</f>
        <v>Kongo-Central</v>
      </c>
      <c r="F905">
        <f>_xlfn.XLOOKUP(CKadeaTelcoLogs_Reseau[[#This Row],[Cell_ID]],'CKadeaTelcoRegistre_Maintenance'!A:A,'CKadeaTelcoRegistre_Maintenance'!C:C,"Non repertorié")</f>
        <v>-9.8208710000000004</v>
      </c>
      <c r="G905">
        <f>_xlfn.XLOOKUP(CKadeaTelcoLogs_Reseau[[#This Row],[Cell_ID]],'CKadeaTelcoRegistre_Maintenance'!A:A,'CKadeaTelcoRegistre_Maintenance'!D:D,"Non repertorié")</f>
        <v>23.229807000000001</v>
      </c>
      <c r="H905" t="str">
        <f>_xlfn.XLOOKUP(CKadeaTelcoLogs_Reseau[[#This Row],[Cell_ID]],'CKadeaTelcoRegistre_Maintenance'!A:A,'CKadeaTelcoRegistre_Maintenance'!E:E,"Non repertorié")</f>
        <v>5G</v>
      </c>
      <c r="I905" t="str">
        <f>_xlfn.XLOOKUP(CKadeaTelcoLogs_Reseau[[#This Row],[Cell_ID]],'CKadeaTelcoRegistre_Maintenance'!A:A,'CKadeaTelcoRegistre_Maintenance'!F:F,"Non repertorié")</f>
        <v>Nokia</v>
      </c>
    </row>
    <row r="906" spans="1:9" ht="20.5" customHeight="1" x14ac:dyDescent="0.35">
      <c r="A906" s="1">
        <v>45200.307638888888</v>
      </c>
      <c r="B906" s="5" t="s">
        <v>23</v>
      </c>
      <c r="C906">
        <v>114</v>
      </c>
      <c r="D906" t="s">
        <v>8</v>
      </c>
      <c r="E906" t="str">
        <f>_xlfn.XLOOKUP(CKadeaTelcoLogs_Reseau[[#This Row],[Cell_ID]],'CKadeaTelcoRegistre_Maintenance'!A:A,'CKadeaTelcoRegistre_Maintenance'!B:B,"Non repertorié")</f>
        <v>Non repertorié</v>
      </c>
      <c r="F906" t="str">
        <f>_xlfn.XLOOKUP(CKadeaTelcoLogs_Reseau[[#This Row],[Cell_ID]],'CKadeaTelcoRegistre_Maintenance'!A:A,'CKadeaTelcoRegistre_Maintenance'!C:C,"Non repertorié")</f>
        <v>Non repertorié</v>
      </c>
      <c r="G906" t="str">
        <f>_xlfn.XLOOKUP(CKadeaTelcoLogs_Reseau[[#This Row],[Cell_ID]],'CKadeaTelcoRegistre_Maintenance'!A:A,'CKadeaTelcoRegistre_Maintenance'!D:D,"Non repertorié")</f>
        <v>Non repertorié</v>
      </c>
      <c r="H906" t="str">
        <f>_xlfn.XLOOKUP(CKadeaTelcoLogs_Reseau[[#This Row],[Cell_ID]],'CKadeaTelcoRegistre_Maintenance'!A:A,'CKadeaTelcoRegistre_Maintenance'!E:E,"Non repertorié")</f>
        <v>Non repertorié</v>
      </c>
      <c r="I906" t="str">
        <f>_xlfn.XLOOKUP(CKadeaTelcoLogs_Reseau[[#This Row],[Cell_ID]],'CKadeaTelcoRegistre_Maintenance'!A:A,'CKadeaTelcoRegistre_Maintenance'!F:F,"Non repertorié")</f>
        <v>Non repertorié</v>
      </c>
    </row>
    <row r="907" spans="1:9" ht="20.5" customHeight="1" x14ac:dyDescent="0.35">
      <c r="A907" s="1">
        <v>45215.811111111114</v>
      </c>
      <c r="B907" s="5" t="s">
        <v>187</v>
      </c>
      <c r="C907">
        <v>49</v>
      </c>
      <c r="D907" t="s">
        <v>8</v>
      </c>
      <c r="E907" t="str">
        <f>_xlfn.XLOOKUP(CKadeaTelcoLogs_Reseau[[#This Row],[Cell_ID]],'CKadeaTelcoRegistre_Maintenance'!A:A,'CKadeaTelcoRegistre_Maintenance'!B:B,"Non repertorié")</f>
        <v>Non repertorié</v>
      </c>
      <c r="F907" t="str">
        <f>_xlfn.XLOOKUP(CKadeaTelcoLogs_Reseau[[#This Row],[Cell_ID]],'CKadeaTelcoRegistre_Maintenance'!A:A,'CKadeaTelcoRegistre_Maintenance'!C:C,"Non repertorié")</f>
        <v>Non repertorié</v>
      </c>
      <c r="G907" t="str">
        <f>_xlfn.XLOOKUP(CKadeaTelcoLogs_Reseau[[#This Row],[Cell_ID]],'CKadeaTelcoRegistre_Maintenance'!A:A,'CKadeaTelcoRegistre_Maintenance'!D:D,"Non repertorié")</f>
        <v>Non repertorié</v>
      </c>
      <c r="H907" t="str">
        <f>_xlfn.XLOOKUP(CKadeaTelcoLogs_Reseau[[#This Row],[Cell_ID]],'CKadeaTelcoRegistre_Maintenance'!A:A,'CKadeaTelcoRegistre_Maintenance'!E:E,"Non repertorié")</f>
        <v>Non repertorié</v>
      </c>
      <c r="I907" t="str">
        <f>_xlfn.XLOOKUP(CKadeaTelcoLogs_Reseau[[#This Row],[Cell_ID]],'CKadeaTelcoRegistre_Maintenance'!A:A,'CKadeaTelcoRegistre_Maintenance'!F:F,"Non repertorié")</f>
        <v>Non repertorié</v>
      </c>
    </row>
    <row r="908" spans="1:9" ht="20.5" customHeight="1" x14ac:dyDescent="0.35">
      <c r="A908" s="1">
        <v>45205.650694444441</v>
      </c>
      <c r="B908" s="5" t="s">
        <v>597</v>
      </c>
      <c r="C908">
        <v>63</v>
      </c>
      <c r="D908" t="s">
        <v>5</v>
      </c>
      <c r="E908" t="str">
        <f>_xlfn.XLOOKUP(CKadeaTelcoLogs_Reseau[[#This Row],[Cell_ID]],'CKadeaTelcoRegistre_Maintenance'!A:A,'CKadeaTelcoRegistre_Maintenance'!B:B,"Non repertorié")</f>
        <v>Kongo-Central</v>
      </c>
      <c r="F908">
        <f>_xlfn.XLOOKUP(CKadeaTelcoLogs_Reseau[[#This Row],[Cell_ID]],'CKadeaTelcoRegistre_Maintenance'!A:A,'CKadeaTelcoRegistre_Maintenance'!C:C,"Non repertorié")</f>
        <v>-10.977309</v>
      </c>
      <c r="G908">
        <f>_xlfn.XLOOKUP(CKadeaTelcoLogs_Reseau[[#This Row],[Cell_ID]],'CKadeaTelcoRegistre_Maintenance'!A:A,'CKadeaTelcoRegistre_Maintenance'!D:D,"Non repertorié")</f>
        <v>12.408281000000001</v>
      </c>
      <c r="H908" t="str">
        <f>_xlfn.XLOOKUP(CKadeaTelcoLogs_Reseau[[#This Row],[Cell_ID]],'CKadeaTelcoRegistre_Maintenance'!A:A,'CKadeaTelcoRegistre_Maintenance'!E:E,"Non repertorié")</f>
        <v>5G</v>
      </c>
      <c r="I908" t="str">
        <f>_xlfn.XLOOKUP(CKadeaTelcoLogs_Reseau[[#This Row],[Cell_ID]],'CKadeaTelcoRegistre_Maintenance'!A:A,'CKadeaTelcoRegistre_Maintenance'!F:F,"Non repertorié")</f>
        <v>ZTE</v>
      </c>
    </row>
    <row r="909" spans="1:9" ht="20.5" customHeight="1" x14ac:dyDescent="0.35">
      <c r="A909" s="1">
        <v>45217.473611111112</v>
      </c>
      <c r="B909" s="5" t="s">
        <v>139</v>
      </c>
      <c r="C909">
        <v>37</v>
      </c>
      <c r="D909" t="s">
        <v>10</v>
      </c>
      <c r="E909" t="str">
        <f>_xlfn.XLOOKUP(CKadeaTelcoLogs_Reseau[[#This Row],[Cell_ID]],'CKadeaTelcoRegistre_Maintenance'!A:A,'CKadeaTelcoRegistre_Maintenance'!B:B,"Non repertorié")</f>
        <v>Kwilu</v>
      </c>
      <c r="F909">
        <f>_xlfn.XLOOKUP(CKadeaTelcoLogs_Reseau[[#This Row],[Cell_ID]],'CKadeaTelcoRegistre_Maintenance'!A:A,'CKadeaTelcoRegistre_Maintenance'!C:C,"Non repertorié")</f>
        <v>-8.5675749999999997</v>
      </c>
      <c r="G909">
        <f>_xlfn.XLOOKUP(CKadeaTelcoLogs_Reseau[[#This Row],[Cell_ID]],'CKadeaTelcoRegistre_Maintenance'!A:A,'CKadeaTelcoRegistre_Maintenance'!D:D,"Non repertorié")</f>
        <v>26.994581</v>
      </c>
      <c r="H909" t="str">
        <f>_xlfn.XLOOKUP(CKadeaTelcoLogs_Reseau[[#This Row],[Cell_ID]],'CKadeaTelcoRegistre_Maintenance'!A:A,'CKadeaTelcoRegistre_Maintenance'!E:E,"Non repertorié")</f>
        <v>3G</v>
      </c>
      <c r="I909" t="str">
        <f>_xlfn.XLOOKUP(CKadeaTelcoLogs_Reseau[[#This Row],[Cell_ID]],'CKadeaTelcoRegistre_Maintenance'!A:A,'CKadeaTelcoRegistre_Maintenance'!F:F,"Non repertorié")</f>
        <v>Nokia</v>
      </c>
    </row>
    <row r="910" spans="1:9" ht="20.5" customHeight="1" x14ac:dyDescent="0.35">
      <c r="A910" s="1">
        <v>45205.365972222222</v>
      </c>
      <c r="B910" s="5" t="s">
        <v>423</v>
      </c>
      <c r="C910">
        <v>32</v>
      </c>
      <c r="D910" t="s">
        <v>5</v>
      </c>
      <c r="E910" t="str">
        <f>_xlfn.XLOOKUP(CKadeaTelcoLogs_Reseau[[#This Row],[Cell_ID]],'CKadeaTelcoRegistre_Maintenance'!A:A,'CKadeaTelcoRegistre_Maintenance'!B:B,"Non repertorié")</f>
        <v>Non repertorié</v>
      </c>
      <c r="F910" t="str">
        <f>_xlfn.XLOOKUP(CKadeaTelcoLogs_Reseau[[#This Row],[Cell_ID]],'CKadeaTelcoRegistre_Maintenance'!A:A,'CKadeaTelcoRegistre_Maintenance'!C:C,"Non repertorié")</f>
        <v>Non repertorié</v>
      </c>
      <c r="G910" t="str">
        <f>_xlfn.XLOOKUP(CKadeaTelcoLogs_Reseau[[#This Row],[Cell_ID]],'CKadeaTelcoRegistre_Maintenance'!A:A,'CKadeaTelcoRegistre_Maintenance'!D:D,"Non repertorié")</f>
        <v>Non repertorié</v>
      </c>
      <c r="H910" t="str">
        <f>_xlfn.XLOOKUP(CKadeaTelcoLogs_Reseau[[#This Row],[Cell_ID]],'CKadeaTelcoRegistre_Maintenance'!A:A,'CKadeaTelcoRegistre_Maintenance'!E:E,"Non repertorié")</f>
        <v>Non repertorié</v>
      </c>
      <c r="I910" t="str">
        <f>_xlfn.XLOOKUP(CKadeaTelcoLogs_Reseau[[#This Row],[Cell_ID]],'CKadeaTelcoRegistre_Maintenance'!A:A,'CKadeaTelcoRegistre_Maintenance'!F:F,"Non repertorié")</f>
        <v>Non repertorié</v>
      </c>
    </row>
    <row r="911" spans="1:9" ht="20.5" customHeight="1" x14ac:dyDescent="0.35">
      <c r="A911" s="1">
        <v>45226.920138888891</v>
      </c>
      <c r="B911" s="5" t="s">
        <v>49</v>
      </c>
      <c r="C911">
        <v>64</v>
      </c>
      <c r="D911" t="s">
        <v>10</v>
      </c>
      <c r="E911" t="str">
        <f>_xlfn.XLOOKUP(CKadeaTelcoLogs_Reseau[[#This Row],[Cell_ID]],'CKadeaTelcoRegistre_Maintenance'!A:A,'CKadeaTelcoRegistre_Maintenance'!B:B,"Non repertorié")</f>
        <v>Non repertorié</v>
      </c>
      <c r="F911" t="str">
        <f>_xlfn.XLOOKUP(CKadeaTelcoLogs_Reseau[[#This Row],[Cell_ID]],'CKadeaTelcoRegistre_Maintenance'!A:A,'CKadeaTelcoRegistre_Maintenance'!C:C,"Non repertorié")</f>
        <v>Non repertorié</v>
      </c>
      <c r="G911" t="str">
        <f>_xlfn.XLOOKUP(CKadeaTelcoLogs_Reseau[[#This Row],[Cell_ID]],'CKadeaTelcoRegistre_Maintenance'!A:A,'CKadeaTelcoRegistre_Maintenance'!D:D,"Non repertorié")</f>
        <v>Non repertorié</v>
      </c>
      <c r="H911" t="str">
        <f>_xlfn.XLOOKUP(CKadeaTelcoLogs_Reseau[[#This Row],[Cell_ID]],'CKadeaTelcoRegistre_Maintenance'!A:A,'CKadeaTelcoRegistre_Maintenance'!E:E,"Non repertorié")</f>
        <v>Non repertorié</v>
      </c>
      <c r="I911" t="str">
        <f>_xlfn.XLOOKUP(CKadeaTelcoLogs_Reseau[[#This Row],[Cell_ID]],'CKadeaTelcoRegistre_Maintenance'!A:A,'CKadeaTelcoRegistre_Maintenance'!F:F,"Non repertorié")</f>
        <v>Non repertorié</v>
      </c>
    </row>
    <row r="912" spans="1:9" ht="20.5" customHeight="1" x14ac:dyDescent="0.35">
      <c r="A912" s="1">
        <v>45209.01666666667</v>
      </c>
      <c r="B912" s="5" t="s">
        <v>598</v>
      </c>
      <c r="C912">
        <v>43</v>
      </c>
      <c r="D912" t="s">
        <v>5</v>
      </c>
      <c r="E912" t="str">
        <f>_xlfn.XLOOKUP(CKadeaTelcoLogs_Reseau[[#This Row],[Cell_ID]],'CKadeaTelcoRegistre_Maintenance'!A:A,'CKadeaTelcoRegistre_Maintenance'!B:B,"Non repertorié")</f>
        <v>Non repertorié</v>
      </c>
      <c r="F912" t="str">
        <f>_xlfn.XLOOKUP(CKadeaTelcoLogs_Reseau[[#This Row],[Cell_ID]],'CKadeaTelcoRegistre_Maintenance'!A:A,'CKadeaTelcoRegistre_Maintenance'!C:C,"Non repertorié")</f>
        <v>Non repertorié</v>
      </c>
      <c r="G912" t="str">
        <f>_xlfn.XLOOKUP(CKadeaTelcoLogs_Reseau[[#This Row],[Cell_ID]],'CKadeaTelcoRegistre_Maintenance'!A:A,'CKadeaTelcoRegistre_Maintenance'!D:D,"Non repertorié")</f>
        <v>Non repertorié</v>
      </c>
      <c r="H912" t="str">
        <f>_xlfn.XLOOKUP(CKadeaTelcoLogs_Reseau[[#This Row],[Cell_ID]],'CKadeaTelcoRegistre_Maintenance'!A:A,'CKadeaTelcoRegistre_Maintenance'!E:E,"Non repertorié")</f>
        <v>Non repertorié</v>
      </c>
      <c r="I912" t="str">
        <f>_xlfn.XLOOKUP(CKadeaTelcoLogs_Reseau[[#This Row],[Cell_ID]],'CKadeaTelcoRegistre_Maintenance'!A:A,'CKadeaTelcoRegistre_Maintenance'!F:F,"Non repertorié")</f>
        <v>Non repertorié</v>
      </c>
    </row>
    <row r="913" spans="1:9" ht="20.5" customHeight="1" x14ac:dyDescent="0.35">
      <c r="A913" s="1">
        <v>45201.245833333334</v>
      </c>
      <c r="B913" s="5" t="s">
        <v>333</v>
      </c>
      <c r="C913">
        <v>91</v>
      </c>
      <c r="D913" t="s">
        <v>8</v>
      </c>
      <c r="E913" t="str">
        <f>_xlfn.XLOOKUP(CKadeaTelcoLogs_Reseau[[#This Row],[Cell_ID]],'CKadeaTelcoRegistre_Maintenance'!A:A,'CKadeaTelcoRegistre_Maintenance'!B:B,"Non repertorié")</f>
        <v>Ituri</v>
      </c>
      <c r="F913">
        <f>_xlfn.XLOOKUP(CKadeaTelcoLogs_Reseau[[#This Row],[Cell_ID]],'CKadeaTelcoRegistre_Maintenance'!A:A,'CKadeaTelcoRegistre_Maintenance'!C:C,"Non repertorié")</f>
        <v>-0.34051900000000002</v>
      </c>
      <c r="G913">
        <f>_xlfn.XLOOKUP(CKadeaTelcoLogs_Reseau[[#This Row],[Cell_ID]],'CKadeaTelcoRegistre_Maintenance'!A:A,'CKadeaTelcoRegistre_Maintenance'!D:D,"Non repertorié")</f>
        <v>17.079799000000001</v>
      </c>
      <c r="H913" t="str">
        <f>_xlfn.XLOOKUP(CKadeaTelcoLogs_Reseau[[#This Row],[Cell_ID]],'CKadeaTelcoRegistre_Maintenance'!A:A,'CKadeaTelcoRegistre_Maintenance'!E:E,"Non repertorié")</f>
        <v>5G</v>
      </c>
      <c r="I913" t="str">
        <f>_xlfn.XLOOKUP(CKadeaTelcoLogs_Reseau[[#This Row],[Cell_ID]],'CKadeaTelcoRegistre_Maintenance'!A:A,'CKadeaTelcoRegistre_Maintenance'!F:F,"Non repertorié")</f>
        <v>Ericsson</v>
      </c>
    </row>
    <row r="914" spans="1:9" ht="20.5" customHeight="1" x14ac:dyDescent="0.35">
      <c r="A914" s="1">
        <v>45218.287499999999</v>
      </c>
      <c r="B914" s="5" t="s">
        <v>599</v>
      </c>
      <c r="C914">
        <v>71</v>
      </c>
      <c r="D914" t="s">
        <v>10</v>
      </c>
      <c r="E914" t="str">
        <f>_xlfn.XLOOKUP(CKadeaTelcoLogs_Reseau[[#This Row],[Cell_ID]],'CKadeaTelcoRegistre_Maintenance'!A:A,'CKadeaTelcoRegistre_Maintenance'!B:B,"Non repertorié")</f>
        <v>Non repertorié</v>
      </c>
      <c r="F914" t="str">
        <f>_xlfn.XLOOKUP(CKadeaTelcoLogs_Reseau[[#This Row],[Cell_ID]],'CKadeaTelcoRegistre_Maintenance'!A:A,'CKadeaTelcoRegistre_Maintenance'!C:C,"Non repertorié")</f>
        <v>Non repertorié</v>
      </c>
      <c r="G914" t="str">
        <f>_xlfn.XLOOKUP(CKadeaTelcoLogs_Reseau[[#This Row],[Cell_ID]],'CKadeaTelcoRegistre_Maintenance'!A:A,'CKadeaTelcoRegistre_Maintenance'!D:D,"Non repertorié")</f>
        <v>Non repertorié</v>
      </c>
      <c r="H914" t="str">
        <f>_xlfn.XLOOKUP(CKadeaTelcoLogs_Reseau[[#This Row],[Cell_ID]],'CKadeaTelcoRegistre_Maintenance'!A:A,'CKadeaTelcoRegistre_Maintenance'!E:E,"Non repertorié")</f>
        <v>Non repertorié</v>
      </c>
      <c r="I914" t="str">
        <f>_xlfn.XLOOKUP(CKadeaTelcoLogs_Reseau[[#This Row],[Cell_ID]],'CKadeaTelcoRegistre_Maintenance'!A:A,'CKadeaTelcoRegistre_Maintenance'!F:F,"Non repertorié")</f>
        <v>Non repertorié</v>
      </c>
    </row>
    <row r="915" spans="1:9" ht="20.5" customHeight="1" x14ac:dyDescent="0.35">
      <c r="A915" s="1">
        <v>45220.093055555553</v>
      </c>
      <c r="B915" s="5" t="s">
        <v>563</v>
      </c>
      <c r="C915">
        <v>48</v>
      </c>
      <c r="D915" t="s">
        <v>5</v>
      </c>
      <c r="E915" t="str">
        <f>_xlfn.XLOOKUP(CKadeaTelcoLogs_Reseau[[#This Row],[Cell_ID]],'CKadeaTelcoRegistre_Maintenance'!A:A,'CKadeaTelcoRegistre_Maintenance'!B:B,"Non repertorié")</f>
        <v>Non repertorié</v>
      </c>
      <c r="F915" t="str">
        <f>_xlfn.XLOOKUP(CKadeaTelcoLogs_Reseau[[#This Row],[Cell_ID]],'CKadeaTelcoRegistre_Maintenance'!A:A,'CKadeaTelcoRegistre_Maintenance'!C:C,"Non repertorié")</f>
        <v>Non repertorié</v>
      </c>
      <c r="G915" t="str">
        <f>_xlfn.XLOOKUP(CKadeaTelcoLogs_Reseau[[#This Row],[Cell_ID]],'CKadeaTelcoRegistre_Maintenance'!A:A,'CKadeaTelcoRegistre_Maintenance'!D:D,"Non repertorié")</f>
        <v>Non repertorié</v>
      </c>
      <c r="H915" t="str">
        <f>_xlfn.XLOOKUP(CKadeaTelcoLogs_Reseau[[#This Row],[Cell_ID]],'CKadeaTelcoRegistre_Maintenance'!A:A,'CKadeaTelcoRegistre_Maintenance'!E:E,"Non repertorié")</f>
        <v>Non repertorié</v>
      </c>
      <c r="I915" t="str">
        <f>_xlfn.XLOOKUP(CKadeaTelcoLogs_Reseau[[#This Row],[Cell_ID]],'CKadeaTelcoRegistre_Maintenance'!A:A,'CKadeaTelcoRegistre_Maintenance'!F:F,"Non repertorié")</f>
        <v>Non repertorié</v>
      </c>
    </row>
    <row r="916" spans="1:9" ht="20.5" customHeight="1" x14ac:dyDescent="0.35">
      <c r="A916" s="1">
        <v>45211.324305555558</v>
      </c>
      <c r="B916" s="5" t="s">
        <v>600</v>
      </c>
      <c r="C916">
        <v>120</v>
      </c>
      <c r="D916" t="s">
        <v>10</v>
      </c>
      <c r="E916" t="str">
        <f>_xlfn.XLOOKUP(CKadeaTelcoLogs_Reseau[[#This Row],[Cell_ID]],'CKadeaTelcoRegistre_Maintenance'!A:A,'CKadeaTelcoRegistre_Maintenance'!B:B,"Non repertorié")</f>
        <v>Non repertorié</v>
      </c>
      <c r="F916" t="str">
        <f>_xlfn.XLOOKUP(CKadeaTelcoLogs_Reseau[[#This Row],[Cell_ID]],'CKadeaTelcoRegistre_Maintenance'!A:A,'CKadeaTelcoRegistre_Maintenance'!C:C,"Non repertorié")</f>
        <v>Non repertorié</v>
      </c>
      <c r="G916" t="str">
        <f>_xlfn.XLOOKUP(CKadeaTelcoLogs_Reseau[[#This Row],[Cell_ID]],'CKadeaTelcoRegistre_Maintenance'!A:A,'CKadeaTelcoRegistre_Maintenance'!D:D,"Non repertorié")</f>
        <v>Non repertorié</v>
      </c>
      <c r="H916" t="str">
        <f>_xlfn.XLOOKUP(CKadeaTelcoLogs_Reseau[[#This Row],[Cell_ID]],'CKadeaTelcoRegistre_Maintenance'!A:A,'CKadeaTelcoRegistre_Maintenance'!E:E,"Non repertorié")</f>
        <v>Non repertorié</v>
      </c>
      <c r="I916" t="str">
        <f>_xlfn.XLOOKUP(CKadeaTelcoLogs_Reseau[[#This Row],[Cell_ID]],'CKadeaTelcoRegistre_Maintenance'!A:A,'CKadeaTelcoRegistre_Maintenance'!F:F,"Non repertorié")</f>
        <v>Non repertorié</v>
      </c>
    </row>
    <row r="917" spans="1:9" ht="20.5" customHeight="1" x14ac:dyDescent="0.35">
      <c r="A917" s="1">
        <v>45227.393055555556</v>
      </c>
      <c r="B917" s="5" t="s">
        <v>274</v>
      </c>
      <c r="C917">
        <v>67</v>
      </c>
      <c r="D917" t="s">
        <v>5</v>
      </c>
      <c r="E917" t="str">
        <f>_xlfn.XLOOKUP(CKadeaTelcoLogs_Reseau[[#This Row],[Cell_ID]],'CKadeaTelcoRegistre_Maintenance'!A:A,'CKadeaTelcoRegistre_Maintenance'!B:B,"Non repertorié")</f>
        <v>Non repertorié</v>
      </c>
      <c r="F917" t="str">
        <f>_xlfn.XLOOKUP(CKadeaTelcoLogs_Reseau[[#This Row],[Cell_ID]],'CKadeaTelcoRegistre_Maintenance'!A:A,'CKadeaTelcoRegistre_Maintenance'!C:C,"Non repertorié")</f>
        <v>Non repertorié</v>
      </c>
      <c r="G917" t="str">
        <f>_xlfn.XLOOKUP(CKadeaTelcoLogs_Reseau[[#This Row],[Cell_ID]],'CKadeaTelcoRegistre_Maintenance'!A:A,'CKadeaTelcoRegistre_Maintenance'!D:D,"Non repertorié")</f>
        <v>Non repertorié</v>
      </c>
      <c r="H917" t="str">
        <f>_xlfn.XLOOKUP(CKadeaTelcoLogs_Reseau[[#This Row],[Cell_ID]],'CKadeaTelcoRegistre_Maintenance'!A:A,'CKadeaTelcoRegistre_Maintenance'!E:E,"Non repertorié")</f>
        <v>Non repertorié</v>
      </c>
      <c r="I917" t="str">
        <f>_xlfn.XLOOKUP(CKadeaTelcoLogs_Reseau[[#This Row],[Cell_ID]],'CKadeaTelcoRegistre_Maintenance'!A:A,'CKadeaTelcoRegistre_Maintenance'!F:F,"Non repertorié")</f>
        <v>Non repertorié</v>
      </c>
    </row>
    <row r="918" spans="1:9" ht="20.5" customHeight="1" x14ac:dyDescent="0.35">
      <c r="A918" s="1">
        <v>45225.432638888888</v>
      </c>
      <c r="B918" s="5" t="s">
        <v>173</v>
      </c>
      <c r="C918">
        <v>50</v>
      </c>
      <c r="D918" t="s">
        <v>8</v>
      </c>
      <c r="E918" t="str">
        <f>_xlfn.XLOOKUP(CKadeaTelcoLogs_Reseau[[#This Row],[Cell_ID]],'CKadeaTelcoRegistre_Maintenance'!A:A,'CKadeaTelcoRegistre_Maintenance'!B:B,"Non repertorié")</f>
        <v>Non repertorié</v>
      </c>
      <c r="F918" t="str">
        <f>_xlfn.XLOOKUP(CKadeaTelcoLogs_Reseau[[#This Row],[Cell_ID]],'CKadeaTelcoRegistre_Maintenance'!A:A,'CKadeaTelcoRegistre_Maintenance'!C:C,"Non repertorié")</f>
        <v>Non repertorié</v>
      </c>
      <c r="G918" t="str">
        <f>_xlfn.XLOOKUP(CKadeaTelcoLogs_Reseau[[#This Row],[Cell_ID]],'CKadeaTelcoRegistre_Maintenance'!A:A,'CKadeaTelcoRegistre_Maintenance'!D:D,"Non repertorié")</f>
        <v>Non repertorié</v>
      </c>
      <c r="H918" t="str">
        <f>_xlfn.XLOOKUP(CKadeaTelcoLogs_Reseau[[#This Row],[Cell_ID]],'CKadeaTelcoRegistre_Maintenance'!A:A,'CKadeaTelcoRegistre_Maintenance'!E:E,"Non repertorié")</f>
        <v>Non repertorié</v>
      </c>
      <c r="I918" t="str">
        <f>_xlfn.XLOOKUP(CKadeaTelcoLogs_Reseau[[#This Row],[Cell_ID]],'CKadeaTelcoRegistre_Maintenance'!A:A,'CKadeaTelcoRegistre_Maintenance'!F:F,"Non repertorié")</f>
        <v>Non repertorié</v>
      </c>
    </row>
    <row r="919" spans="1:9" ht="20.5" customHeight="1" x14ac:dyDescent="0.35">
      <c r="A919" s="1">
        <v>45208.762499999997</v>
      </c>
      <c r="B919" s="5" t="s">
        <v>601</v>
      </c>
      <c r="C919">
        <v>101</v>
      </c>
      <c r="D919" t="s">
        <v>5</v>
      </c>
      <c r="E919" t="str">
        <f>_xlfn.XLOOKUP(CKadeaTelcoLogs_Reseau[[#This Row],[Cell_ID]],'CKadeaTelcoRegistre_Maintenance'!A:A,'CKadeaTelcoRegistre_Maintenance'!B:B,"Non repertorié")</f>
        <v>Non repertorié</v>
      </c>
      <c r="F919" t="str">
        <f>_xlfn.XLOOKUP(CKadeaTelcoLogs_Reseau[[#This Row],[Cell_ID]],'CKadeaTelcoRegistre_Maintenance'!A:A,'CKadeaTelcoRegistre_Maintenance'!C:C,"Non repertorié")</f>
        <v>Non repertorié</v>
      </c>
      <c r="G919" t="str">
        <f>_xlfn.XLOOKUP(CKadeaTelcoLogs_Reseau[[#This Row],[Cell_ID]],'CKadeaTelcoRegistre_Maintenance'!A:A,'CKadeaTelcoRegistre_Maintenance'!D:D,"Non repertorié")</f>
        <v>Non repertorié</v>
      </c>
      <c r="H919" t="str">
        <f>_xlfn.XLOOKUP(CKadeaTelcoLogs_Reseau[[#This Row],[Cell_ID]],'CKadeaTelcoRegistre_Maintenance'!A:A,'CKadeaTelcoRegistre_Maintenance'!E:E,"Non repertorié")</f>
        <v>Non repertorié</v>
      </c>
      <c r="I919" t="str">
        <f>_xlfn.XLOOKUP(CKadeaTelcoLogs_Reseau[[#This Row],[Cell_ID]],'CKadeaTelcoRegistre_Maintenance'!A:A,'CKadeaTelcoRegistre_Maintenance'!F:F,"Non repertorié")</f>
        <v>Non repertorié</v>
      </c>
    </row>
    <row r="920" spans="1:9" ht="20.5" customHeight="1" x14ac:dyDescent="0.35">
      <c r="A920" s="1">
        <v>45214.145833333336</v>
      </c>
      <c r="B920" s="5" t="s">
        <v>248</v>
      </c>
      <c r="C920">
        <v>29</v>
      </c>
      <c r="D920" t="s">
        <v>10</v>
      </c>
      <c r="E920" t="str">
        <f>_xlfn.XLOOKUP(CKadeaTelcoLogs_Reseau[[#This Row],[Cell_ID]],'CKadeaTelcoRegistre_Maintenance'!A:A,'CKadeaTelcoRegistre_Maintenance'!B:B,"Non repertorié")</f>
        <v>Non repertorié</v>
      </c>
      <c r="F920" t="str">
        <f>_xlfn.XLOOKUP(CKadeaTelcoLogs_Reseau[[#This Row],[Cell_ID]],'CKadeaTelcoRegistre_Maintenance'!A:A,'CKadeaTelcoRegistre_Maintenance'!C:C,"Non repertorié")</f>
        <v>Non repertorié</v>
      </c>
      <c r="G920" t="str">
        <f>_xlfn.XLOOKUP(CKadeaTelcoLogs_Reseau[[#This Row],[Cell_ID]],'CKadeaTelcoRegistre_Maintenance'!A:A,'CKadeaTelcoRegistre_Maintenance'!D:D,"Non repertorié")</f>
        <v>Non repertorié</v>
      </c>
      <c r="H920" t="str">
        <f>_xlfn.XLOOKUP(CKadeaTelcoLogs_Reseau[[#This Row],[Cell_ID]],'CKadeaTelcoRegistre_Maintenance'!A:A,'CKadeaTelcoRegistre_Maintenance'!E:E,"Non repertorié")</f>
        <v>Non repertorié</v>
      </c>
      <c r="I920" t="str">
        <f>_xlfn.XLOOKUP(CKadeaTelcoLogs_Reseau[[#This Row],[Cell_ID]],'CKadeaTelcoRegistre_Maintenance'!A:A,'CKadeaTelcoRegistre_Maintenance'!F:F,"Non repertorié")</f>
        <v>Non repertorié</v>
      </c>
    </row>
    <row r="921" spans="1:9" ht="20.5" customHeight="1" x14ac:dyDescent="0.35">
      <c r="A921" s="1">
        <v>45201.859027777777</v>
      </c>
      <c r="B921" s="5" t="s">
        <v>602</v>
      </c>
      <c r="C921">
        <v>26</v>
      </c>
      <c r="D921" t="s">
        <v>8</v>
      </c>
      <c r="E921" t="str">
        <f>_xlfn.XLOOKUP(CKadeaTelcoLogs_Reseau[[#This Row],[Cell_ID]],'CKadeaTelcoRegistre_Maintenance'!A:A,'CKadeaTelcoRegistre_Maintenance'!B:B,"Non repertorié")</f>
        <v>Non repertorié</v>
      </c>
      <c r="F921" t="str">
        <f>_xlfn.XLOOKUP(CKadeaTelcoLogs_Reseau[[#This Row],[Cell_ID]],'CKadeaTelcoRegistre_Maintenance'!A:A,'CKadeaTelcoRegistre_Maintenance'!C:C,"Non repertorié")</f>
        <v>Non repertorié</v>
      </c>
      <c r="G921" t="str">
        <f>_xlfn.XLOOKUP(CKadeaTelcoLogs_Reseau[[#This Row],[Cell_ID]],'CKadeaTelcoRegistre_Maintenance'!A:A,'CKadeaTelcoRegistre_Maintenance'!D:D,"Non repertorié")</f>
        <v>Non repertorié</v>
      </c>
      <c r="H921" t="str">
        <f>_xlfn.XLOOKUP(CKadeaTelcoLogs_Reseau[[#This Row],[Cell_ID]],'CKadeaTelcoRegistre_Maintenance'!A:A,'CKadeaTelcoRegistre_Maintenance'!E:E,"Non repertorié")</f>
        <v>Non repertorié</v>
      </c>
      <c r="I921" t="str">
        <f>_xlfn.XLOOKUP(CKadeaTelcoLogs_Reseau[[#This Row],[Cell_ID]],'CKadeaTelcoRegistre_Maintenance'!A:A,'CKadeaTelcoRegistre_Maintenance'!F:F,"Non repertorié")</f>
        <v>Non repertorié</v>
      </c>
    </row>
    <row r="922" spans="1:9" ht="20.5" customHeight="1" x14ac:dyDescent="0.35">
      <c r="A922" s="1">
        <v>45218.794444444444</v>
      </c>
      <c r="B922" s="5" t="s">
        <v>603</v>
      </c>
      <c r="C922">
        <v>108</v>
      </c>
      <c r="D922" t="s">
        <v>5</v>
      </c>
      <c r="E922" t="str">
        <f>_xlfn.XLOOKUP(CKadeaTelcoLogs_Reseau[[#This Row],[Cell_ID]],'CKadeaTelcoRegistre_Maintenance'!A:A,'CKadeaTelcoRegistre_Maintenance'!B:B,"Non repertorié")</f>
        <v>Non repertorié</v>
      </c>
      <c r="F922" t="str">
        <f>_xlfn.XLOOKUP(CKadeaTelcoLogs_Reseau[[#This Row],[Cell_ID]],'CKadeaTelcoRegistre_Maintenance'!A:A,'CKadeaTelcoRegistre_Maintenance'!C:C,"Non repertorié")</f>
        <v>Non repertorié</v>
      </c>
      <c r="G922" t="str">
        <f>_xlfn.XLOOKUP(CKadeaTelcoLogs_Reseau[[#This Row],[Cell_ID]],'CKadeaTelcoRegistre_Maintenance'!A:A,'CKadeaTelcoRegistre_Maintenance'!D:D,"Non repertorié")</f>
        <v>Non repertorié</v>
      </c>
      <c r="H922" t="str">
        <f>_xlfn.XLOOKUP(CKadeaTelcoLogs_Reseau[[#This Row],[Cell_ID]],'CKadeaTelcoRegistre_Maintenance'!A:A,'CKadeaTelcoRegistre_Maintenance'!E:E,"Non repertorié")</f>
        <v>Non repertorié</v>
      </c>
      <c r="I922" t="str">
        <f>_xlfn.XLOOKUP(CKadeaTelcoLogs_Reseau[[#This Row],[Cell_ID]],'CKadeaTelcoRegistre_Maintenance'!A:A,'CKadeaTelcoRegistre_Maintenance'!F:F,"Non repertorié")</f>
        <v>Non repertorié</v>
      </c>
    </row>
    <row r="923" spans="1:9" ht="20.5" customHeight="1" x14ac:dyDescent="0.35">
      <c r="A923" s="1">
        <v>45215.272222222222</v>
      </c>
      <c r="B923" s="5" t="s">
        <v>604</v>
      </c>
      <c r="C923">
        <v>56</v>
      </c>
      <c r="D923" t="s">
        <v>10</v>
      </c>
      <c r="E923" t="str">
        <f>_xlfn.XLOOKUP(CKadeaTelcoLogs_Reseau[[#This Row],[Cell_ID]],'CKadeaTelcoRegistre_Maintenance'!A:A,'CKadeaTelcoRegistre_Maintenance'!B:B,"Non repertorié")</f>
        <v>Non repertorié</v>
      </c>
      <c r="F923" t="str">
        <f>_xlfn.XLOOKUP(CKadeaTelcoLogs_Reseau[[#This Row],[Cell_ID]],'CKadeaTelcoRegistre_Maintenance'!A:A,'CKadeaTelcoRegistre_Maintenance'!C:C,"Non repertorié")</f>
        <v>Non repertorié</v>
      </c>
      <c r="G923" t="str">
        <f>_xlfn.XLOOKUP(CKadeaTelcoLogs_Reseau[[#This Row],[Cell_ID]],'CKadeaTelcoRegistre_Maintenance'!A:A,'CKadeaTelcoRegistre_Maintenance'!D:D,"Non repertorié")</f>
        <v>Non repertorié</v>
      </c>
      <c r="H923" t="str">
        <f>_xlfn.XLOOKUP(CKadeaTelcoLogs_Reseau[[#This Row],[Cell_ID]],'CKadeaTelcoRegistre_Maintenance'!A:A,'CKadeaTelcoRegistre_Maintenance'!E:E,"Non repertorié")</f>
        <v>Non repertorié</v>
      </c>
      <c r="I923" t="str">
        <f>_xlfn.XLOOKUP(CKadeaTelcoLogs_Reseau[[#This Row],[Cell_ID]],'CKadeaTelcoRegistre_Maintenance'!A:A,'CKadeaTelcoRegistre_Maintenance'!F:F,"Non repertorié")</f>
        <v>Non repertorié</v>
      </c>
    </row>
    <row r="924" spans="1:9" ht="20.5" customHeight="1" x14ac:dyDescent="0.35">
      <c r="A924" s="1">
        <v>45203.89166666667</v>
      </c>
      <c r="B924" s="5" t="s">
        <v>172</v>
      </c>
      <c r="C924">
        <v>7</v>
      </c>
      <c r="D924" t="s">
        <v>8</v>
      </c>
      <c r="E924" t="str">
        <f>_xlfn.XLOOKUP(CKadeaTelcoLogs_Reseau[[#This Row],[Cell_ID]],'CKadeaTelcoRegistre_Maintenance'!A:A,'CKadeaTelcoRegistre_Maintenance'!B:B,"Non repertorié")</f>
        <v>Non repertorié</v>
      </c>
      <c r="F924" t="str">
        <f>_xlfn.XLOOKUP(CKadeaTelcoLogs_Reseau[[#This Row],[Cell_ID]],'CKadeaTelcoRegistre_Maintenance'!A:A,'CKadeaTelcoRegistre_Maintenance'!C:C,"Non repertorié")</f>
        <v>Non repertorié</v>
      </c>
      <c r="G924" t="str">
        <f>_xlfn.XLOOKUP(CKadeaTelcoLogs_Reseau[[#This Row],[Cell_ID]],'CKadeaTelcoRegistre_Maintenance'!A:A,'CKadeaTelcoRegistre_Maintenance'!D:D,"Non repertorié")</f>
        <v>Non repertorié</v>
      </c>
      <c r="H924" t="str">
        <f>_xlfn.XLOOKUP(CKadeaTelcoLogs_Reseau[[#This Row],[Cell_ID]],'CKadeaTelcoRegistre_Maintenance'!A:A,'CKadeaTelcoRegistre_Maintenance'!E:E,"Non repertorié")</f>
        <v>Non repertorié</v>
      </c>
      <c r="I924" t="str">
        <f>_xlfn.XLOOKUP(CKadeaTelcoLogs_Reseau[[#This Row],[Cell_ID]],'CKadeaTelcoRegistre_Maintenance'!A:A,'CKadeaTelcoRegistre_Maintenance'!F:F,"Non repertorié")</f>
        <v>Non repertorié</v>
      </c>
    </row>
    <row r="925" spans="1:9" ht="20.5" customHeight="1" x14ac:dyDescent="0.35">
      <c r="A925" s="1">
        <v>45216.393055555556</v>
      </c>
      <c r="B925" s="5" t="s">
        <v>605</v>
      </c>
      <c r="C925">
        <v>34</v>
      </c>
      <c r="D925" t="s">
        <v>10</v>
      </c>
      <c r="E925" t="str">
        <f>_xlfn.XLOOKUP(CKadeaTelcoLogs_Reseau[[#This Row],[Cell_ID]],'CKadeaTelcoRegistre_Maintenance'!A:A,'CKadeaTelcoRegistre_Maintenance'!B:B,"Non repertorié")</f>
        <v>Non repertorié</v>
      </c>
      <c r="F925" t="str">
        <f>_xlfn.XLOOKUP(CKadeaTelcoLogs_Reseau[[#This Row],[Cell_ID]],'CKadeaTelcoRegistre_Maintenance'!A:A,'CKadeaTelcoRegistre_Maintenance'!C:C,"Non repertorié")</f>
        <v>Non repertorié</v>
      </c>
      <c r="G925" t="str">
        <f>_xlfn.XLOOKUP(CKadeaTelcoLogs_Reseau[[#This Row],[Cell_ID]],'CKadeaTelcoRegistre_Maintenance'!A:A,'CKadeaTelcoRegistre_Maintenance'!D:D,"Non repertorié")</f>
        <v>Non repertorié</v>
      </c>
      <c r="H925" t="str">
        <f>_xlfn.XLOOKUP(CKadeaTelcoLogs_Reseau[[#This Row],[Cell_ID]],'CKadeaTelcoRegistre_Maintenance'!A:A,'CKadeaTelcoRegistre_Maintenance'!E:E,"Non repertorié")</f>
        <v>Non repertorié</v>
      </c>
      <c r="I925" t="str">
        <f>_xlfn.XLOOKUP(CKadeaTelcoLogs_Reseau[[#This Row],[Cell_ID]],'CKadeaTelcoRegistre_Maintenance'!A:A,'CKadeaTelcoRegistre_Maintenance'!F:F,"Non repertorié")</f>
        <v>Non repertorié</v>
      </c>
    </row>
    <row r="926" spans="1:9" ht="20.5" customHeight="1" x14ac:dyDescent="0.35">
      <c r="A926" s="1">
        <v>45201.172222222223</v>
      </c>
      <c r="B926" s="5" t="s">
        <v>606</v>
      </c>
      <c r="C926">
        <v>33</v>
      </c>
      <c r="D926" t="s">
        <v>10</v>
      </c>
      <c r="E926" t="str">
        <f>_xlfn.XLOOKUP(CKadeaTelcoLogs_Reseau[[#This Row],[Cell_ID]],'CKadeaTelcoRegistre_Maintenance'!A:A,'CKadeaTelcoRegistre_Maintenance'!B:B,"Non repertorié")</f>
        <v>Nord-Ubangi</v>
      </c>
      <c r="F926">
        <f>_xlfn.XLOOKUP(CKadeaTelcoLogs_Reseau[[#This Row],[Cell_ID]],'CKadeaTelcoRegistre_Maintenance'!A:A,'CKadeaTelcoRegistre_Maintenance'!C:C,"Non repertorié")</f>
        <v>-7.9987219999999999</v>
      </c>
      <c r="G926">
        <f>_xlfn.XLOOKUP(CKadeaTelcoLogs_Reseau[[#This Row],[Cell_ID]],'CKadeaTelcoRegistre_Maintenance'!A:A,'CKadeaTelcoRegistre_Maintenance'!D:D,"Non repertorié")</f>
        <v>12.779335</v>
      </c>
      <c r="H926" t="str">
        <f>_xlfn.XLOOKUP(CKadeaTelcoLogs_Reseau[[#This Row],[Cell_ID]],'CKadeaTelcoRegistre_Maintenance'!A:A,'CKadeaTelcoRegistre_Maintenance'!E:E,"Non repertorié")</f>
        <v>5G</v>
      </c>
      <c r="I926" t="str">
        <f>_xlfn.XLOOKUP(CKadeaTelcoLogs_Reseau[[#This Row],[Cell_ID]],'CKadeaTelcoRegistre_Maintenance'!A:A,'CKadeaTelcoRegistre_Maintenance'!F:F,"Non repertorié")</f>
        <v>Nokia</v>
      </c>
    </row>
    <row r="927" spans="1:9" ht="20.5" customHeight="1" x14ac:dyDescent="0.35">
      <c r="A927" s="1">
        <v>45206.43472222222</v>
      </c>
      <c r="B927" s="5" t="s">
        <v>28</v>
      </c>
      <c r="C927">
        <v>98</v>
      </c>
      <c r="D927" t="s">
        <v>5</v>
      </c>
      <c r="E927" t="str">
        <f>_xlfn.XLOOKUP(CKadeaTelcoLogs_Reseau[[#This Row],[Cell_ID]],'CKadeaTelcoRegistre_Maintenance'!A:A,'CKadeaTelcoRegistre_Maintenance'!B:B,"Non repertorié")</f>
        <v>Non repertorié</v>
      </c>
      <c r="F927" t="str">
        <f>_xlfn.XLOOKUP(CKadeaTelcoLogs_Reseau[[#This Row],[Cell_ID]],'CKadeaTelcoRegistre_Maintenance'!A:A,'CKadeaTelcoRegistre_Maintenance'!C:C,"Non repertorié")</f>
        <v>Non repertorié</v>
      </c>
      <c r="G927" t="str">
        <f>_xlfn.XLOOKUP(CKadeaTelcoLogs_Reseau[[#This Row],[Cell_ID]],'CKadeaTelcoRegistre_Maintenance'!A:A,'CKadeaTelcoRegistre_Maintenance'!D:D,"Non repertorié")</f>
        <v>Non repertorié</v>
      </c>
      <c r="H927" t="str">
        <f>_xlfn.XLOOKUP(CKadeaTelcoLogs_Reseau[[#This Row],[Cell_ID]],'CKadeaTelcoRegistre_Maintenance'!A:A,'CKadeaTelcoRegistre_Maintenance'!E:E,"Non repertorié")</f>
        <v>Non repertorié</v>
      </c>
      <c r="I927" t="str">
        <f>_xlfn.XLOOKUP(CKadeaTelcoLogs_Reseau[[#This Row],[Cell_ID]],'CKadeaTelcoRegistre_Maintenance'!A:A,'CKadeaTelcoRegistre_Maintenance'!F:F,"Non repertorié")</f>
        <v>Non repertorié</v>
      </c>
    </row>
    <row r="928" spans="1:9" ht="20.5" customHeight="1" x14ac:dyDescent="0.35">
      <c r="A928" s="1">
        <v>45218.589583333334</v>
      </c>
      <c r="B928" s="5" t="s">
        <v>505</v>
      </c>
      <c r="C928">
        <v>21</v>
      </c>
      <c r="D928" t="s">
        <v>5</v>
      </c>
      <c r="E928" t="str">
        <f>_xlfn.XLOOKUP(CKadeaTelcoLogs_Reseau[[#This Row],[Cell_ID]],'CKadeaTelcoRegistre_Maintenance'!A:A,'CKadeaTelcoRegistre_Maintenance'!B:B,"Non repertorié")</f>
        <v>Sud-Kivu</v>
      </c>
      <c r="F928">
        <f>_xlfn.XLOOKUP(CKadeaTelcoLogs_Reseau[[#This Row],[Cell_ID]],'CKadeaTelcoRegistre_Maintenance'!A:A,'CKadeaTelcoRegistre_Maintenance'!C:C,"Non repertorié")</f>
        <v>-11.514817000000001</v>
      </c>
      <c r="G928">
        <f>_xlfn.XLOOKUP(CKadeaTelcoLogs_Reseau[[#This Row],[Cell_ID]],'CKadeaTelcoRegistre_Maintenance'!A:A,'CKadeaTelcoRegistre_Maintenance'!D:D,"Non repertorié")</f>
        <v>24.891375</v>
      </c>
      <c r="H928" t="str">
        <f>_xlfn.XLOOKUP(CKadeaTelcoLogs_Reseau[[#This Row],[Cell_ID]],'CKadeaTelcoRegistre_Maintenance'!A:A,'CKadeaTelcoRegistre_Maintenance'!E:E,"Non repertorié")</f>
        <v>3G</v>
      </c>
      <c r="I928" t="str">
        <f>_xlfn.XLOOKUP(CKadeaTelcoLogs_Reseau[[#This Row],[Cell_ID]],'CKadeaTelcoRegistre_Maintenance'!A:A,'CKadeaTelcoRegistre_Maintenance'!F:F,"Non repertorié")</f>
        <v>Nokia</v>
      </c>
    </row>
    <row r="929" spans="1:9" ht="20.5" customHeight="1" x14ac:dyDescent="0.35">
      <c r="A929" s="1">
        <v>45210.924305555556</v>
      </c>
      <c r="B929" s="5" t="s">
        <v>607</v>
      </c>
      <c r="C929">
        <v>32</v>
      </c>
      <c r="D929" t="s">
        <v>8</v>
      </c>
      <c r="E929" t="str">
        <f>_xlfn.XLOOKUP(CKadeaTelcoLogs_Reseau[[#This Row],[Cell_ID]],'CKadeaTelcoRegistre_Maintenance'!A:A,'CKadeaTelcoRegistre_Maintenance'!B:B,"Non repertorié")</f>
        <v>Non repertorié</v>
      </c>
      <c r="F929" t="str">
        <f>_xlfn.XLOOKUP(CKadeaTelcoLogs_Reseau[[#This Row],[Cell_ID]],'CKadeaTelcoRegistre_Maintenance'!A:A,'CKadeaTelcoRegistre_Maintenance'!C:C,"Non repertorié")</f>
        <v>Non repertorié</v>
      </c>
      <c r="G929" t="str">
        <f>_xlfn.XLOOKUP(CKadeaTelcoLogs_Reseau[[#This Row],[Cell_ID]],'CKadeaTelcoRegistre_Maintenance'!A:A,'CKadeaTelcoRegistre_Maintenance'!D:D,"Non repertorié")</f>
        <v>Non repertorié</v>
      </c>
      <c r="H929" t="str">
        <f>_xlfn.XLOOKUP(CKadeaTelcoLogs_Reseau[[#This Row],[Cell_ID]],'CKadeaTelcoRegistre_Maintenance'!A:A,'CKadeaTelcoRegistre_Maintenance'!E:E,"Non repertorié")</f>
        <v>Non repertorié</v>
      </c>
      <c r="I929" t="str">
        <f>_xlfn.XLOOKUP(CKadeaTelcoLogs_Reseau[[#This Row],[Cell_ID]],'CKadeaTelcoRegistre_Maintenance'!A:A,'CKadeaTelcoRegistre_Maintenance'!F:F,"Non repertorié")</f>
        <v>Non repertorié</v>
      </c>
    </row>
    <row r="930" spans="1:9" ht="20.5" customHeight="1" x14ac:dyDescent="0.35">
      <c r="A930" s="1">
        <v>45224.104861111111</v>
      </c>
      <c r="B930" s="5" t="s">
        <v>608</v>
      </c>
      <c r="C930">
        <v>98</v>
      </c>
      <c r="D930" t="s">
        <v>10</v>
      </c>
      <c r="E930" t="str">
        <f>_xlfn.XLOOKUP(CKadeaTelcoLogs_Reseau[[#This Row],[Cell_ID]],'CKadeaTelcoRegistre_Maintenance'!A:A,'CKadeaTelcoRegistre_Maintenance'!B:B,"Non repertorié")</f>
        <v>Tanganyika</v>
      </c>
      <c r="F930">
        <f>_xlfn.XLOOKUP(CKadeaTelcoLogs_Reseau[[#This Row],[Cell_ID]],'CKadeaTelcoRegistre_Maintenance'!A:A,'CKadeaTelcoRegistre_Maintenance'!C:C,"Non repertorié")</f>
        <v>-7.0007840000000003</v>
      </c>
      <c r="G930">
        <f>_xlfn.XLOOKUP(CKadeaTelcoLogs_Reseau[[#This Row],[Cell_ID]],'CKadeaTelcoRegistre_Maintenance'!A:A,'CKadeaTelcoRegistre_Maintenance'!D:D,"Non repertorié")</f>
        <v>22.787997000000001</v>
      </c>
      <c r="H930" t="str">
        <f>_xlfn.XLOOKUP(CKadeaTelcoLogs_Reseau[[#This Row],[Cell_ID]],'CKadeaTelcoRegistre_Maintenance'!A:A,'CKadeaTelcoRegistre_Maintenance'!E:E,"Non repertorié")</f>
        <v>5G</v>
      </c>
      <c r="I930" t="str">
        <f>_xlfn.XLOOKUP(CKadeaTelcoLogs_Reseau[[#This Row],[Cell_ID]],'CKadeaTelcoRegistre_Maintenance'!A:A,'CKadeaTelcoRegistre_Maintenance'!F:F,"Non repertorié")</f>
        <v>ZTE</v>
      </c>
    </row>
    <row r="931" spans="1:9" ht="20.5" customHeight="1" x14ac:dyDescent="0.35">
      <c r="A931" s="1">
        <v>45210.84097222222</v>
      </c>
      <c r="B931" s="5" t="s">
        <v>205</v>
      </c>
      <c r="C931">
        <v>7</v>
      </c>
      <c r="D931" t="s">
        <v>5</v>
      </c>
      <c r="E931" t="str">
        <f>_xlfn.XLOOKUP(CKadeaTelcoLogs_Reseau[[#This Row],[Cell_ID]],'CKadeaTelcoRegistre_Maintenance'!A:A,'CKadeaTelcoRegistre_Maintenance'!B:B,"Non repertorié")</f>
        <v>Non repertorié</v>
      </c>
      <c r="F931" t="str">
        <f>_xlfn.XLOOKUP(CKadeaTelcoLogs_Reseau[[#This Row],[Cell_ID]],'CKadeaTelcoRegistre_Maintenance'!A:A,'CKadeaTelcoRegistre_Maintenance'!C:C,"Non repertorié")</f>
        <v>Non repertorié</v>
      </c>
      <c r="G931" t="str">
        <f>_xlfn.XLOOKUP(CKadeaTelcoLogs_Reseau[[#This Row],[Cell_ID]],'CKadeaTelcoRegistre_Maintenance'!A:A,'CKadeaTelcoRegistre_Maintenance'!D:D,"Non repertorié")</f>
        <v>Non repertorié</v>
      </c>
      <c r="H931" t="str">
        <f>_xlfn.XLOOKUP(CKadeaTelcoLogs_Reseau[[#This Row],[Cell_ID]],'CKadeaTelcoRegistre_Maintenance'!A:A,'CKadeaTelcoRegistre_Maintenance'!E:E,"Non repertorié")</f>
        <v>Non repertorié</v>
      </c>
      <c r="I931" t="str">
        <f>_xlfn.XLOOKUP(CKadeaTelcoLogs_Reseau[[#This Row],[Cell_ID]],'CKadeaTelcoRegistre_Maintenance'!A:A,'CKadeaTelcoRegistre_Maintenance'!F:F,"Non repertorié")</f>
        <v>Non repertorié</v>
      </c>
    </row>
    <row r="932" spans="1:9" ht="20.5" customHeight="1" x14ac:dyDescent="0.35">
      <c r="A932" s="1">
        <v>45210.835416666669</v>
      </c>
      <c r="B932" s="5" t="s">
        <v>77</v>
      </c>
      <c r="C932">
        <v>80</v>
      </c>
      <c r="D932" t="s">
        <v>8</v>
      </c>
      <c r="E932" t="str">
        <f>_xlfn.XLOOKUP(CKadeaTelcoLogs_Reseau[[#This Row],[Cell_ID]],'CKadeaTelcoRegistre_Maintenance'!A:A,'CKadeaTelcoRegistre_Maintenance'!B:B,"Non repertorié")</f>
        <v>Haut-Katanga</v>
      </c>
      <c r="F932">
        <f>_xlfn.XLOOKUP(CKadeaTelcoLogs_Reseau[[#This Row],[Cell_ID]],'CKadeaTelcoRegistre_Maintenance'!A:A,'CKadeaTelcoRegistre_Maintenance'!C:C,"Non repertorié")</f>
        <v>4.4712560000000003</v>
      </c>
      <c r="G932">
        <f>_xlfn.XLOOKUP(CKadeaTelcoLogs_Reseau[[#This Row],[Cell_ID]],'CKadeaTelcoRegistre_Maintenance'!A:A,'CKadeaTelcoRegistre_Maintenance'!D:D,"Non repertorié")</f>
        <v>27.107028</v>
      </c>
      <c r="H932" t="str">
        <f>_xlfn.XLOOKUP(CKadeaTelcoLogs_Reseau[[#This Row],[Cell_ID]],'CKadeaTelcoRegistre_Maintenance'!A:A,'CKadeaTelcoRegistre_Maintenance'!E:E,"Non repertorié")</f>
        <v>3G</v>
      </c>
      <c r="I932" t="str">
        <f>_xlfn.XLOOKUP(CKadeaTelcoLogs_Reseau[[#This Row],[Cell_ID]],'CKadeaTelcoRegistre_Maintenance'!A:A,'CKadeaTelcoRegistre_Maintenance'!F:F,"Non repertorié")</f>
        <v>Ericsson</v>
      </c>
    </row>
    <row r="933" spans="1:9" ht="20.5" customHeight="1" x14ac:dyDescent="0.35">
      <c r="A933" s="1">
        <v>45200.595138888886</v>
      </c>
      <c r="B933" s="5" t="s">
        <v>504</v>
      </c>
      <c r="C933">
        <v>69</v>
      </c>
      <c r="D933" t="s">
        <v>10</v>
      </c>
      <c r="E933" t="str">
        <f>_xlfn.XLOOKUP(CKadeaTelcoLogs_Reseau[[#This Row],[Cell_ID]],'CKadeaTelcoRegistre_Maintenance'!A:A,'CKadeaTelcoRegistre_Maintenance'!B:B,"Non repertorié")</f>
        <v>Non repertorié</v>
      </c>
      <c r="F933" t="str">
        <f>_xlfn.XLOOKUP(CKadeaTelcoLogs_Reseau[[#This Row],[Cell_ID]],'CKadeaTelcoRegistre_Maintenance'!A:A,'CKadeaTelcoRegistre_Maintenance'!C:C,"Non repertorié")</f>
        <v>Non repertorié</v>
      </c>
      <c r="G933" t="str">
        <f>_xlfn.XLOOKUP(CKadeaTelcoLogs_Reseau[[#This Row],[Cell_ID]],'CKadeaTelcoRegistre_Maintenance'!A:A,'CKadeaTelcoRegistre_Maintenance'!D:D,"Non repertorié")</f>
        <v>Non repertorié</v>
      </c>
      <c r="H933" t="str">
        <f>_xlfn.XLOOKUP(CKadeaTelcoLogs_Reseau[[#This Row],[Cell_ID]],'CKadeaTelcoRegistre_Maintenance'!A:A,'CKadeaTelcoRegistre_Maintenance'!E:E,"Non repertorié")</f>
        <v>Non repertorié</v>
      </c>
      <c r="I933" t="str">
        <f>_xlfn.XLOOKUP(CKadeaTelcoLogs_Reseau[[#This Row],[Cell_ID]],'CKadeaTelcoRegistre_Maintenance'!A:A,'CKadeaTelcoRegistre_Maintenance'!F:F,"Non repertorié")</f>
        <v>Non repertorié</v>
      </c>
    </row>
    <row r="934" spans="1:9" ht="20.5" customHeight="1" x14ac:dyDescent="0.35">
      <c r="A934" s="1">
        <v>45206.23333333333</v>
      </c>
      <c r="B934" s="5" t="s">
        <v>609</v>
      </c>
      <c r="C934">
        <v>26</v>
      </c>
      <c r="D934" t="s">
        <v>10</v>
      </c>
      <c r="E934" t="str">
        <f>_xlfn.XLOOKUP(CKadeaTelcoLogs_Reseau[[#This Row],[Cell_ID]],'CKadeaTelcoRegistre_Maintenance'!A:A,'CKadeaTelcoRegistre_Maintenance'!B:B,"Non repertorié")</f>
        <v>Mai-Ndombe</v>
      </c>
      <c r="F934">
        <f>_xlfn.XLOOKUP(CKadeaTelcoLogs_Reseau[[#This Row],[Cell_ID]],'CKadeaTelcoRegistre_Maintenance'!A:A,'CKadeaTelcoRegistre_Maintenance'!C:C,"Non repertorié")</f>
        <v>-4.6311460000000002</v>
      </c>
      <c r="G934">
        <f>_xlfn.XLOOKUP(CKadeaTelcoLogs_Reseau[[#This Row],[Cell_ID]],'CKadeaTelcoRegistre_Maintenance'!A:A,'CKadeaTelcoRegistre_Maintenance'!D:D,"Non repertorié")</f>
        <v>25.314723000000001</v>
      </c>
      <c r="H934" t="str">
        <f>_xlfn.XLOOKUP(CKadeaTelcoLogs_Reseau[[#This Row],[Cell_ID]],'CKadeaTelcoRegistre_Maintenance'!A:A,'CKadeaTelcoRegistre_Maintenance'!E:E,"Non repertorié")</f>
        <v>4G</v>
      </c>
      <c r="I934" t="str">
        <f>_xlfn.XLOOKUP(CKadeaTelcoLogs_Reseau[[#This Row],[Cell_ID]],'CKadeaTelcoRegistre_Maintenance'!A:A,'CKadeaTelcoRegistre_Maintenance'!F:F,"Non repertorié")</f>
        <v>Huawei</v>
      </c>
    </row>
    <row r="935" spans="1:9" ht="20.5" customHeight="1" x14ac:dyDescent="0.35">
      <c r="A935" s="1">
        <v>45224.229861111111</v>
      </c>
      <c r="B935" s="5" t="s">
        <v>610</v>
      </c>
      <c r="C935">
        <v>20</v>
      </c>
      <c r="D935" t="s">
        <v>5</v>
      </c>
      <c r="E935" t="str">
        <f>_xlfn.XLOOKUP(CKadeaTelcoLogs_Reseau[[#This Row],[Cell_ID]],'CKadeaTelcoRegistre_Maintenance'!A:A,'CKadeaTelcoRegistre_Maintenance'!B:B,"Non repertorié")</f>
        <v>Nord-Kivu</v>
      </c>
      <c r="F935">
        <f>_xlfn.XLOOKUP(CKadeaTelcoLogs_Reseau[[#This Row],[Cell_ID]],'CKadeaTelcoRegistre_Maintenance'!A:A,'CKadeaTelcoRegistre_Maintenance'!C:C,"Non repertorié")</f>
        <v>-10.298385</v>
      </c>
      <c r="G935">
        <f>_xlfn.XLOOKUP(CKadeaTelcoLogs_Reseau[[#This Row],[Cell_ID]],'CKadeaTelcoRegistre_Maintenance'!A:A,'CKadeaTelcoRegistre_Maintenance'!D:D,"Non repertorié")</f>
        <v>29.698117</v>
      </c>
      <c r="H935" t="str">
        <f>_xlfn.XLOOKUP(CKadeaTelcoLogs_Reseau[[#This Row],[Cell_ID]],'CKadeaTelcoRegistre_Maintenance'!A:A,'CKadeaTelcoRegistre_Maintenance'!E:E,"Non repertorié")</f>
        <v>5G</v>
      </c>
      <c r="I935" t="str">
        <f>_xlfn.XLOOKUP(CKadeaTelcoLogs_Reseau[[#This Row],[Cell_ID]],'CKadeaTelcoRegistre_Maintenance'!A:A,'CKadeaTelcoRegistre_Maintenance'!F:F,"Non repertorié")</f>
        <v>Nokia</v>
      </c>
    </row>
    <row r="936" spans="1:9" ht="20.5" customHeight="1" x14ac:dyDescent="0.35">
      <c r="A936" s="1">
        <v>45225.088888888888</v>
      </c>
      <c r="B936" s="5" t="s">
        <v>611</v>
      </c>
      <c r="C936">
        <v>51</v>
      </c>
      <c r="D936" t="s">
        <v>5</v>
      </c>
      <c r="E936" t="str">
        <f>_xlfn.XLOOKUP(CKadeaTelcoLogs_Reseau[[#This Row],[Cell_ID]],'CKadeaTelcoRegistre_Maintenance'!A:A,'CKadeaTelcoRegistre_Maintenance'!B:B,"Non repertorié")</f>
        <v>Non repertorié</v>
      </c>
      <c r="F936" t="str">
        <f>_xlfn.XLOOKUP(CKadeaTelcoLogs_Reseau[[#This Row],[Cell_ID]],'CKadeaTelcoRegistre_Maintenance'!A:A,'CKadeaTelcoRegistre_Maintenance'!C:C,"Non repertorié")</f>
        <v>Non repertorié</v>
      </c>
      <c r="G936" t="str">
        <f>_xlfn.XLOOKUP(CKadeaTelcoLogs_Reseau[[#This Row],[Cell_ID]],'CKadeaTelcoRegistre_Maintenance'!A:A,'CKadeaTelcoRegistre_Maintenance'!D:D,"Non repertorié")</f>
        <v>Non repertorié</v>
      </c>
      <c r="H936" t="str">
        <f>_xlfn.XLOOKUP(CKadeaTelcoLogs_Reseau[[#This Row],[Cell_ID]],'CKadeaTelcoRegistre_Maintenance'!A:A,'CKadeaTelcoRegistre_Maintenance'!E:E,"Non repertorié")</f>
        <v>Non repertorié</v>
      </c>
      <c r="I936" t="str">
        <f>_xlfn.XLOOKUP(CKadeaTelcoLogs_Reseau[[#This Row],[Cell_ID]],'CKadeaTelcoRegistre_Maintenance'!A:A,'CKadeaTelcoRegistre_Maintenance'!F:F,"Non repertorié")</f>
        <v>Non repertorié</v>
      </c>
    </row>
    <row r="937" spans="1:9" ht="20.5" customHeight="1" x14ac:dyDescent="0.35">
      <c r="A937" s="1">
        <v>45219.569444444445</v>
      </c>
      <c r="B937" s="5" t="s">
        <v>543</v>
      </c>
      <c r="C937">
        <v>96</v>
      </c>
      <c r="D937" t="s">
        <v>5</v>
      </c>
      <c r="E937" t="str">
        <f>_xlfn.XLOOKUP(CKadeaTelcoLogs_Reseau[[#This Row],[Cell_ID]],'CKadeaTelcoRegistre_Maintenance'!A:A,'CKadeaTelcoRegistre_Maintenance'!B:B,"Non repertorié")</f>
        <v>Kongo-Central</v>
      </c>
      <c r="F937">
        <f>_xlfn.XLOOKUP(CKadeaTelcoLogs_Reseau[[#This Row],[Cell_ID]],'CKadeaTelcoRegistre_Maintenance'!A:A,'CKadeaTelcoRegistre_Maintenance'!C:C,"Non repertorié")</f>
        <v>-7.1587569999999996</v>
      </c>
      <c r="G937">
        <f>_xlfn.XLOOKUP(CKadeaTelcoLogs_Reseau[[#This Row],[Cell_ID]],'CKadeaTelcoRegistre_Maintenance'!A:A,'CKadeaTelcoRegistre_Maintenance'!D:D,"Non repertorié")</f>
        <v>18.975141000000001</v>
      </c>
      <c r="H937" t="str">
        <f>_xlfn.XLOOKUP(CKadeaTelcoLogs_Reseau[[#This Row],[Cell_ID]],'CKadeaTelcoRegistre_Maintenance'!A:A,'CKadeaTelcoRegistre_Maintenance'!E:E,"Non repertorié")</f>
        <v>5G</v>
      </c>
      <c r="I937" t="str">
        <f>_xlfn.XLOOKUP(CKadeaTelcoLogs_Reseau[[#This Row],[Cell_ID]],'CKadeaTelcoRegistre_Maintenance'!A:A,'CKadeaTelcoRegistre_Maintenance'!F:F,"Non repertorié")</f>
        <v>Ericsson</v>
      </c>
    </row>
    <row r="938" spans="1:9" ht="20.5" customHeight="1" x14ac:dyDescent="0.35">
      <c r="A938" s="1">
        <v>45213.518750000003</v>
      </c>
      <c r="B938" s="5" t="s">
        <v>528</v>
      </c>
      <c r="C938">
        <v>88</v>
      </c>
      <c r="D938" t="s">
        <v>8</v>
      </c>
      <c r="E938" t="str">
        <f>_xlfn.XLOOKUP(CKadeaTelcoLogs_Reseau[[#This Row],[Cell_ID]],'CKadeaTelcoRegistre_Maintenance'!A:A,'CKadeaTelcoRegistre_Maintenance'!B:B,"Non repertorié")</f>
        <v>Lomami</v>
      </c>
      <c r="F938">
        <f>_xlfn.XLOOKUP(CKadeaTelcoLogs_Reseau[[#This Row],[Cell_ID]],'CKadeaTelcoRegistre_Maintenance'!A:A,'CKadeaTelcoRegistre_Maintenance'!C:C,"Non repertorié")</f>
        <v>4.8265669999999998</v>
      </c>
      <c r="G938">
        <f>_xlfn.XLOOKUP(CKadeaTelcoLogs_Reseau[[#This Row],[Cell_ID]],'CKadeaTelcoRegistre_Maintenance'!A:A,'CKadeaTelcoRegistre_Maintenance'!D:D,"Non repertorié")</f>
        <v>28.535277000000001</v>
      </c>
      <c r="H938" t="str">
        <f>_xlfn.XLOOKUP(CKadeaTelcoLogs_Reseau[[#This Row],[Cell_ID]],'CKadeaTelcoRegistre_Maintenance'!A:A,'CKadeaTelcoRegistre_Maintenance'!E:E,"Non repertorié")</f>
        <v>3G</v>
      </c>
      <c r="I938" t="str">
        <f>_xlfn.XLOOKUP(CKadeaTelcoLogs_Reseau[[#This Row],[Cell_ID]],'CKadeaTelcoRegistre_Maintenance'!A:A,'CKadeaTelcoRegistre_Maintenance'!F:F,"Non repertorié")</f>
        <v>Huawei</v>
      </c>
    </row>
    <row r="939" spans="1:9" ht="20.5" customHeight="1" x14ac:dyDescent="0.35">
      <c r="A939" s="1">
        <v>45230.64166666667</v>
      </c>
      <c r="B939" s="5" t="s">
        <v>612</v>
      </c>
      <c r="C939">
        <v>106</v>
      </c>
      <c r="D939" t="s">
        <v>5</v>
      </c>
      <c r="E939" t="str">
        <f>_xlfn.XLOOKUP(CKadeaTelcoLogs_Reseau[[#This Row],[Cell_ID]],'CKadeaTelcoRegistre_Maintenance'!A:A,'CKadeaTelcoRegistre_Maintenance'!B:B,"Non repertorié")</f>
        <v>Nord-Ubangi</v>
      </c>
      <c r="F939">
        <f>_xlfn.XLOOKUP(CKadeaTelcoLogs_Reseau[[#This Row],[Cell_ID]],'CKadeaTelcoRegistre_Maintenance'!A:A,'CKadeaTelcoRegistre_Maintenance'!C:C,"Non repertorié")</f>
        <v>-6.8149179999999996</v>
      </c>
      <c r="G939">
        <f>_xlfn.XLOOKUP(CKadeaTelcoLogs_Reseau[[#This Row],[Cell_ID]],'CKadeaTelcoRegistre_Maintenance'!A:A,'CKadeaTelcoRegistre_Maintenance'!D:D,"Non repertorié")</f>
        <v>23.258102000000001</v>
      </c>
      <c r="H939" t="str">
        <f>_xlfn.XLOOKUP(CKadeaTelcoLogs_Reseau[[#This Row],[Cell_ID]],'CKadeaTelcoRegistre_Maintenance'!A:A,'CKadeaTelcoRegistre_Maintenance'!E:E,"Non repertorié")</f>
        <v>5G</v>
      </c>
      <c r="I939" t="str">
        <f>_xlfn.XLOOKUP(CKadeaTelcoLogs_Reseau[[#This Row],[Cell_ID]],'CKadeaTelcoRegistre_Maintenance'!A:A,'CKadeaTelcoRegistre_Maintenance'!F:F,"Non repertorié")</f>
        <v>Huawei</v>
      </c>
    </row>
    <row r="940" spans="1:9" ht="20.5" customHeight="1" x14ac:dyDescent="0.35">
      <c r="A940" s="1">
        <v>45200.06527777778</v>
      </c>
      <c r="B940" s="5" t="s">
        <v>190</v>
      </c>
      <c r="C940">
        <v>9</v>
      </c>
      <c r="D940" t="s">
        <v>5</v>
      </c>
      <c r="E940" t="str">
        <f>_xlfn.XLOOKUP(CKadeaTelcoLogs_Reseau[[#This Row],[Cell_ID]],'CKadeaTelcoRegistre_Maintenance'!A:A,'CKadeaTelcoRegistre_Maintenance'!B:B,"Non repertorié")</f>
        <v>Non repertorié</v>
      </c>
      <c r="F940" t="str">
        <f>_xlfn.XLOOKUP(CKadeaTelcoLogs_Reseau[[#This Row],[Cell_ID]],'CKadeaTelcoRegistre_Maintenance'!A:A,'CKadeaTelcoRegistre_Maintenance'!C:C,"Non repertorié")</f>
        <v>Non repertorié</v>
      </c>
      <c r="G940" t="str">
        <f>_xlfn.XLOOKUP(CKadeaTelcoLogs_Reseau[[#This Row],[Cell_ID]],'CKadeaTelcoRegistre_Maintenance'!A:A,'CKadeaTelcoRegistre_Maintenance'!D:D,"Non repertorié")</f>
        <v>Non repertorié</v>
      </c>
      <c r="H940" t="str">
        <f>_xlfn.XLOOKUP(CKadeaTelcoLogs_Reseau[[#This Row],[Cell_ID]],'CKadeaTelcoRegistre_Maintenance'!A:A,'CKadeaTelcoRegistre_Maintenance'!E:E,"Non repertorié")</f>
        <v>Non repertorié</v>
      </c>
      <c r="I940" t="str">
        <f>_xlfn.XLOOKUP(CKadeaTelcoLogs_Reseau[[#This Row],[Cell_ID]],'CKadeaTelcoRegistre_Maintenance'!A:A,'CKadeaTelcoRegistre_Maintenance'!F:F,"Non repertorié")</f>
        <v>Non repertorié</v>
      </c>
    </row>
    <row r="941" spans="1:9" ht="20.5" customHeight="1" x14ac:dyDescent="0.35">
      <c r="A941" s="1">
        <v>45206.974305555559</v>
      </c>
      <c r="B941" s="5" t="s">
        <v>613</v>
      </c>
      <c r="C941">
        <v>53</v>
      </c>
      <c r="D941" t="s">
        <v>8</v>
      </c>
      <c r="E941" t="str">
        <f>_xlfn.XLOOKUP(CKadeaTelcoLogs_Reseau[[#This Row],[Cell_ID]],'CKadeaTelcoRegistre_Maintenance'!A:A,'CKadeaTelcoRegistre_Maintenance'!B:B,"Non repertorié")</f>
        <v>Haut-Katanga</v>
      </c>
      <c r="F941">
        <f>_xlfn.XLOOKUP(CKadeaTelcoLogs_Reseau[[#This Row],[Cell_ID]],'CKadeaTelcoRegistre_Maintenance'!A:A,'CKadeaTelcoRegistre_Maintenance'!C:C,"Non repertorié")</f>
        <v>-2.926736</v>
      </c>
      <c r="G941">
        <f>_xlfn.XLOOKUP(CKadeaTelcoLogs_Reseau[[#This Row],[Cell_ID]],'CKadeaTelcoRegistre_Maintenance'!A:A,'CKadeaTelcoRegistre_Maintenance'!D:D,"Non repertorié")</f>
        <v>18.170461</v>
      </c>
      <c r="H941" t="str">
        <f>_xlfn.XLOOKUP(CKadeaTelcoLogs_Reseau[[#This Row],[Cell_ID]],'CKadeaTelcoRegistre_Maintenance'!A:A,'CKadeaTelcoRegistre_Maintenance'!E:E,"Non repertorié")</f>
        <v>5G</v>
      </c>
      <c r="I941" t="str">
        <f>_xlfn.XLOOKUP(CKadeaTelcoLogs_Reseau[[#This Row],[Cell_ID]],'CKadeaTelcoRegistre_Maintenance'!A:A,'CKadeaTelcoRegistre_Maintenance'!F:F,"Non repertorié")</f>
        <v>Ericsson</v>
      </c>
    </row>
    <row r="942" spans="1:9" ht="20.5" customHeight="1" x14ac:dyDescent="0.35">
      <c r="A942" s="1">
        <v>45230.039583333331</v>
      </c>
      <c r="B942" s="5" t="s">
        <v>530</v>
      </c>
      <c r="C942">
        <v>117</v>
      </c>
      <c r="D942" t="s">
        <v>8</v>
      </c>
      <c r="E942" t="str">
        <f>_xlfn.XLOOKUP(CKadeaTelcoLogs_Reseau[[#This Row],[Cell_ID]],'CKadeaTelcoRegistre_Maintenance'!A:A,'CKadeaTelcoRegistre_Maintenance'!B:B,"Non repertorié")</f>
        <v>Kongo-Central</v>
      </c>
      <c r="F942">
        <f>_xlfn.XLOOKUP(CKadeaTelcoLogs_Reseau[[#This Row],[Cell_ID]],'CKadeaTelcoRegistre_Maintenance'!A:A,'CKadeaTelcoRegistre_Maintenance'!C:C,"Non repertorié")</f>
        <v>1.981107</v>
      </c>
      <c r="G942">
        <f>_xlfn.XLOOKUP(CKadeaTelcoLogs_Reseau[[#This Row],[Cell_ID]],'CKadeaTelcoRegistre_Maintenance'!A:A,'CKadeaTelcoRegistre_Maintenance'!D:D,"Non repertorié")</f>
        <v>23.932569000000001</v>
      </c>
      <c r="H942" t="str">
        <f>_xlfn.XLOOKUP(CKadeaTelcoLogs_Reseau[[#This Row],[Cell_ID]],'CKadeaTelcoRegistre_Maintenance'!A:A,'CKadeaTelcoRegistre_Maintenance'!E:E,"Non repertorié")</f>
        <v>3G</v>
      </c>
      <c r="I942" t="str">
        <f>_xlfn.XLOOKUP(CKadeaTelcoLogs_Reseau[[#This Row],[Cell_ID]],'CKadeaTelcoRegistre_Maintenance'!A:A,'CKadeaTelcoRegistre_Maintenance'!F:F,"Non repertorié")</f>
        <v>Nokia</v>
      </c>
    </row>
    <row r="943" spans="1:9" ht="20.5" customHeight="1" x14ac:dyDescent="0.35">
      <c r="A943" s="1">
        <v>45210.675000000003</v>
      </c>
      <c r="B943" s="5" t="s">
        <v>212</v>
      </c>
      <c r="C943">
        <v>86</v>
      </c>
      <c r="D943" t="s">
        <v>10</v>
      </c>
      <c r="E943" t="str">
        <f>_xlfn.XLOOKUP(CKadeaTelcoLogs_Reseau[[#This Row],[Cell_ID]],'CKadeaTelcoRegistre_Maintenance'!A:A,'CKadeaTelcoRegistre_Maintenance'!B:B,"Non repertorié")</f>
        <v>Non repertorié</v>
      </c>
      <c r="F943" t="str">
        <f>_xlfn.XLOOKUP(CKadeaTelcoLogs_Reseau[[#This Row],[Cell_ID]],'CKadeaTelcoRegistre_Maintenance'!A:A,'CKadeaTelcoRegistre_Maintenance'!C:C,"Non repertorié")</f>
        <v>Non repertorié</v>
      </c>
      <c r="G943" t="str">
        <f>_xlfn.XLOOKUP(CKadeaTelcoLogs_Reseau[[#This Row],[Cell_ID]],'CKadeaTelcoRegistre_Maintenance'!A:A,'CKadeaTelcoRegistre_Maintenance'!D:D,"Non repertorié")</f>
        <v>Non repertorié</v>
      </c>
      <c r="H943" t="str">
        <f>_xlfn.XLOOKUP(CKadeaTelcoLogs_Reseau[[#This Row],[Cell_ID]],'CKadeaTelcoRegistre_Maintenance'!A:A,'CKadeaTelcoRegistre_Maintenance'!E:E,"Non repertorié")</f>
        <v>Non repertorié</v>
      </c>
      <c r="I943" t="str">
        <f>_xlfn.XLOOKUP(CKadeaTelcoLogs_Reseau[[#This Row],[Cell_ID]],'CKadeaTelcoRegistre_Maintenance'!A:A,'CKadeaTelcoRegistre_Maintenance'!F:F,"Non repertorié")</f>
        <v>Non repertorié</v>
      </c>
    </row>
    <row r="944" spans="1:9" ht="20.5" customHeight="1" x14ac:dyDescent="0.35">
      <c r="A944" s="1">
        <v>45220.96875</v>
      </c>
      <c r="B944" s="5" t="s">
        <v>107</v>
      </c>
      <c r="C944">
        <v>103</v>
      </c>
      <c r="D944" t="s">
        <v>5</v>
      </c>
      <c r="E944" t="str">
        <f>_xlfn.XLOOKUP(CKadeaTelcoLogs_Reseau[[#This Row],[Cell_ID]],'CKadeaTelcoRegistre_Maintenance'!A:A,'CKadeaTelcoRegistre_Maintenance'!B:B,"Non repertorié")</f>
        <v>Non repertorié</v>
      </c>
      <c r="F944" t="str">
        <f>_xlfn.XLOOKUP(CKadeaTelcoLogs_Reseau[[#This Row],[Cell_ID]],'CKadeaTelcoRegistre_Maintenance'!A:A,'CKadeaTelcoRegistre_Maintenance'!C:C,"Non repertorié")</f>
        <v>Non repertorié</v>
      </c>
      <c r="G944" t="str">
        <f>_xlfn.XLOOKUP(CKadeaTelcoLogs_Reseau[[#This Row],[Cell_ID]],'CKadeaTelcoRegistre_Maintenance'!A:A,'CKadeaTelcoRegistre_Maintenance'!D:D,"Non repertorié")</f>
        <v>Non repertorié</v>
      </c>
      <c r="H944" t="str">
        <f>_xlfn.XLOOKUP(CKadeaTelcoLogs_Reseau[[#This Row],[Cell_ID]],'CKadeaTelcoRegistre_Maintenance'!A:A,'CKadeaTelcoRegistre_Maintenance'!E:E,"Non repertorié")</f>
        <v>Non repertorié</v>
      </c>
      <c r="I944" t="str">
        <f>_xlfn.XLOOKUP(CKadeaTelcoLogs_Reseau[[#This Row],[Cell_ID]],'CKadeaTelcoRegistre_Maintenance'!A:A,'CKadeaTelcoRegistre_Maintenance'!F:F,"Non repertorié")</f>
        <v>Non repertorié</v>
      </c>
    </row>
    <row r="945" spans="1:9" ht="20.5" customHeight="1" x14ac:dyDescent="0.35">
      <c r="A945" s="1">
        <v>45207.955555555556</v>
      </c>
      <c r="B945" s="5" t="s">
        <v>250</v>
      </c>
      <c r="C945">
        <v>73</v>
      </c>
      <c r="D945" t="s">
        <v>8</v>
      </c>
      <c r="E945" t="str">
        <f>_xlfn.XLOOKUP(CKadeaTelcoLogs_Reseau[[#This Row],[Cell_ID]],'CKadeaTelcoRegistre_Maintenance'!A:A,'CKadeaTelcoRegistre_Maintenance'!B:B,"Non repertorié")</f>
        <v>Haut-Katanga</v>
      </c>
      <c r="F945">
        <f>_xlfn.XLOOKUP(CKadeaTelcoLogs_Reseau[[#This Row],[Cell_ID]],'CKadeaTelcoRegistre_Maintenance'!A:A,'CKadeaTelcoRegistre_Maintenance'!C:C,"Non repertorié")</f>
        <v>2.016505</v>
      </c>
      <c r="G945">
        <f>_xlfn.XLOOKUP(CKadeaTelcoLogs_Reseau[[#This Row],[Cell_ID]],'CKadeaTelcoRegistre_Maintenance'!A:A,'CKadeaTelcoRegistre_Maintenance'!D:D,"Non repertorié")</f>
        <v>14.294164</v>
      </c>
      <c r="H945" t="str">
        <f>_xlfn.XLOOKUP(CKadeaTelcoLogs_Reseau[[#This Row],[Cell_ID]],'CKadeaTelcoRegistre_Maintenance'!A:A,'CKadeaTelcoRegistre_Maintenance'!E:E,"Non repertorié")</f>
        <v>5G</v>
      </c>
      <c r="I945" t="str">
        <f>_xlfn.XLOOKUP(CKadeaTelcoLogs_Reseau[[#This Row],[Cell_ID]],'CKadeaTelcoRegistre_Maintenance'!A:A,'CKadeaTelcoRegistre_Maintenance'!F:F,"Non repertorié")</f>
        <v>Huawei</v>
      </c>
    </row>
    <row r="946" spans="1:9" ht="20.5" customHeight="1" x14ac:dyDescent="0.35">
      <c r="A946" s="1">
        <v>45211.380555555559</v>
      </c>
      <c r="B946" s="5" t="s">
        <v>614</v>
      </c>
      <c r="C946">
        <v>84</v>
      </c>
      <c r="D946" t="s">
        <v>5</v>
      </c>
      <c r="E946" t="str">
        <f>_xlfn.XLOOKUP(CKadeaTelcoLogs_Reseau[[#This Row],[Cell_ID]],'CKadeaTelcoRegistre_Maintenance'!A:A,'CKadeaTelcoRegistre_Maintenance'!B:B,"Non repertorié")</f>
        <v>Non repertorié</v>
      </c>
      <c r="F946" t="str">
        <f>_xlfn.XLOOKUP(CKadeaTelcoLogs_Reseau[[#This Row],[Cell_ID]],'CKadeaTelcoRegistre_Maintenance'!A:A,'CKadeaTelcoRegistre_Maintenance'!C:C,"Non repertorié")</f>
        <v>Non repertorié</v>
      </c>
      <c r="G946" t="str">
        <f>_xlfn.XLOOKUP(CKadeaTelcoLogs_Reseau[[#This Row],[Cell_ID]],'CKadeaTelcoRegistre_Maintenance'!A:A,'CKadeaTelcoRegistre_Maintenance'!D:D,"Non repertorié")</f>
        <v>Non repertorié</v>
      </c>
      <c r="H946" t="str">
        <f>_xlfn.XLOOKUP(CKadeaTelcoLogs_Reseau[[#This Row],[Cell_ID]],'CKadeaTelcoRegistre_Maintenance'!A:A,'CKadeaTelcoRegistre_Maintenance'!E:E,"Non repertorié")</f>
        <v>Non repertorié</v>
      </c>
      <c r="I946" t="str">
        <f>_xlfn.XLOOKUP(CKadeaTelcoLogs_Reseau[[#This Row],[Cell_ID]],'CKadeaTelcoRegistre_Maintenance'!A:A,'CKadeaTelcoRegistre_Maintenance'!F:F,"Non repertorié")</f>
        <v>Non repertorié</v>
      </c>
    </row>
    <row r="947" spans="1:9" ht="20.5" customHeight="1" x14ac:dyDescent="0.35">
      <c r="A947" s="1">
        <v>45203.522222222222</v>
      </c>
      <c r="B947" s="5" t="s">
        <v>486</v>
      </c>
      <c r="C947">
        <v>11</v>
      </c>
      <c r="D947" t="s">
        <v>8</v>
      </c>
      <c r="E947" t="str">
        <f>_xlfn.XLOOKUP(CKadeaTelcoLogs_Reseau[[#This Row],[Cell_ID]],'CKadeaTelcoRegistre_Maintenance'!A:A,'CKadeaTelcoRegistre_Maintenance'!B:B,"Non repertorié")</f>
        <v>Kwilu</v>
      </c>
      <c r="F947">
        <f>_xlfn.XLOOKUP(CKadeaTelcoLogs_Reseau[[#This Row],[Cell_ID]],'CKadeaTelcoRegistre_Maintenance'!A:A,'CKadeaTelcoRegistre_Maintenance'!C:C,"Non repertorié")</f>
        <v>-7.402336</v>
      </c>
      <c r="G947">
        <f>_xlfn.XLOOKUP(CKadeaTelcoLogs_Reseau[[#This Row],[Cell_ID]],'CKadeaTelcoRegistre_Maintenance'!A:A,'CKadeaTelcoRegistre_Maintenance'!D:D,"Non repertorié")</f>
        <v>27.376697</v>
      </c>
      <c r="H947" t="str">
        <f>_xlfn.XLOOKUP(CKadeaTelcoLogs_Reseau[[#This Row],[Cell_ID]],'CKadeaTelcoRegistre_Maintenance'!A:A,'CKadeaTelcoRegistre_Maintenance'!E:E,"Non repertorié")</f>
        <v>4G</v>
      </c>
      <c r="I947" t="str">
        <f>_xlfn.XLOOKUP(CKadeaTelcoLogs_Reseau[[#This Row],[Cell_ID]],'CKadeaTelcoRegistre_Maintenance'!A:A,'CKadeaTelcoRegistre_Maintenance'!F:F,"Non repertorié")</f>
        <v>Huawei</v>
      </c>
    </row>
    <row r="948" spans="1:9" ht="20.5" customHeight="1" x14ac:dyDescent="0.35">
      <c r="A948" s="1">
        <v>45218.381944444445</v>
      </c>
      <c r="B948" s="5" t="s">
        <v>12</v>
      </c>
      <c r="C948">
        <v>81</v>
      </c>
      <c r="D948" t="s">
        <v>8</v>
      </c>
      <c r="E948" t="str">
        <f>_xlfn.XLOOKUP(CKadeaTelcoLogs_Reseau[[#This Row],[Cell_ID]],'CKadeaTelcoRegistre_Maintenance'!A:A,'CKadeaTelcoRegistre_Maintenance'!B:B,"Non repertorié")</f>
        <v>Kongo-Central</v>
      </c>
      <c r="F948">
        <f>_xlfn.XLOOKUP(CKadeaTelcoLogs_Reseau[[#This Row],[Cell_ID]],'CKadeaTelcoRegistre_Maintenance'!A:A,'CKadeaTelcoRegistre_Maintenance'!C:C,"Non repertorié")</f>
        <v>-2.8211520000000001</v>
      </c>
      <c r="G948">
        <f>_xlfn.XLOOKUP(CKadeaTelcoLogs_Reseau[[#This Row],[Cell_ID]],'CKadeaTelcoRegistre_Maintenance'!A:A,'CKadeaTelcoRegistre_Maintenance'!D:D,"Non repertorié")</f>
        <v>20.651419000000001</v>
      </c>
      <c r="H948" t="str">
        <f>_xlfn.XLOOKUP(CKadeaTelcoLogs_Reseau[[#This Row],[Cell_ID]],'CKadeaTelcoRegistre_Maintenance'!A:A,'CKadeaTelcoRegistre_Maintenance'!E:E,"Non repertorié")</f>
        <v>5G</v>
      </c>
      <c r="I948" t="str">
        <f>_xlfn.XLOOKUP(CKadeaTelcoLogs_Reseau[[#This Row],[Cell_ID]],'CKadeaTelcoRegistre_Maintenance'!A:A,'CKadeaTelcoRegistre_Maintenance'!F:F,"Non repertorié")</f>
        <v>Ericsson</v>
      </c>
    </row>
    <row r="949" spans="1:9" ht="20.5" customHeight="1" x14ac:dyDescent="0.35">
      <c r="A949" s="1">
        <v>45202.054861111108</v>
      </c>
      <c r="B949" s="5" t="s">
        <v>272</v>
      </c>
      <c r="C949">
        <v>11</v>
      </c>
      <c r="D949" t="s">
        <v>5</v>
      </c>
      <c r="E949" t="str">
        <f>_xlfn.XLOOKUP(CKadeaTelcoLogs_Reseau[[#This Row],[Cell_ID]],'CKadeaTelcoRegistre_Maintenance'!A:A,'CKadeaTelcoRegistre_Maintenance'!B:B,"Non repertorié")</f>
        <v>Non repertorié</v>
      </c>
      <c r="F949" t="str">
        <f>_xlfn.XLOOKUP(CKadeaTelcoLogs_Reseau[[#This Row],[Cell_ID]],'CKadeaTelcoRegistre_Maintenance'!A:A,'CKadeaTelcoRegistre_Maintenance'!C:C,"Non repertorié")</f>
        <v>Non repertorié</v>
      </c>
      <c r="G949" t="str">
        <f>_xlfn.XLOOKUP(CKadeaTelcoLogs_Reseau[[#This Row],[Cell_ID]],'CKadeaTelcoRegistre_Maintenance'!A:A,'CKadeaTelcoRegistre_Maintenance'!D:D,"Non repertorié")</f>
        <v>Non repertorié</v>
      </c>
      <c r="H949" t="str">
        <f>_xlfn.XLOOKUP(CKadeaTelcoLogs_Reseau[[#This Row],[Cell_ID]],'CKadeaTelcoRegistre_Maintenance'!A:A,'CKadeaTelcoRegistre_Maintenance'!E:E,"Non repertorié")</f>
        <v>Non repertorié</v>
      </c>
      <c r="I949" t="str">
        <f>_xlfn.XLOOKUP(CKadeaTelcoLogs_Reseau[[#This Row],[Cell_ID]],'CKadeaTelcoRegistre_Maintenance'!A:A,'CKadeaTelcoRegistre_Maintenance'!F:F,"Non repertorié")</f>
        <v>Non repertorié</v>
      </c>
    </row>
    <row r="950" spans="1:9" ht="20.5" customHeight="1" x14ac:dyDescent="0.35">
      <c r="A950" s="1">
        <v>45230.395138888889</v>
      </c>
      <c r="B950" s="5" t="s">
        <v>615</v>
      </c>
      <c r="C950">
        <v>89</v>
      </c>
      <c r="D950" t="s">
        <v>10</v>
      </c>
      <c r="E950" t="str">
        <f>_xlfn.XLOOKUP(CKadeaTelcoLogs_Reseau[[#This Row],[Cell_ID]],'CKadeaTelcoRegistre_Maintenance'!A:A,'CKadeaTelcoRegistre_Maintenance'!B:B,"Non repertorié")</f>
        <v>Bas-Uele</v>
      </c>
      <c r="F950">
        <f>_xlfn.XLOOKUP(CKadeaTelcoLogs_Reseau[[#This Row],[Cell_ID]],'CKadeaTelcoRegistre_Maintenance'!A:A,'CKadeaTelcoRegistre_Maintenance'!C:C,"Non repertorié")</f>
        <v>-7.3952039999999997</v>
      </c>
      <c r="G950">
        <f>_xlfn.XLOOKUP(CKadeaTelcoLogs_Reseau[[#This Row],[Cell_ID]],'CKadeaTelcoRegistre_Maintenance'!A:A,'CKadeaTelcoRegistre_Maintenance'!D:D,"Non repertorié")</f>
        <v>21.651043999999999</v>
      </c>
      <c r="H950" t="str">
        <f>_xlfn.XLOOKUP(CKadeaTelcoLogs_Reseau[[#This Row],[Cell_ID]],'CKadeaTelcoRegistre_Maintenance'!A:A,'CKadeaTelcoRegistre_Maintenance'!E:E,"Non repertorié")</f>
        <v>4G</v>
      </c>
      <c r="I950" t="str">
        <f>_xlfn.XLOOKUP(CKadeaTelcoLogs_Reseau[[#This Row],[Cell_ID]],'CKadeaTelcoRegistre_Maintenance'!A:A,'CKadeaTelcoRegistre_Maintenance'!F:F,"Non repertorié")</f>
        <v>Huawei</v>
      </c>
    </row>
    <row r="951" spans="1:9" ht="20.5" customHeight="1" x14ac:dyDescent="0.35">
      <c r="A951" s="1">
        <v>45223.693055555559</v>
      </c>
      <c r="B951" s="5" t="s">
        <v>593</v>
      </c>
      <c r="C951">
        <v>18</v>
      </c>
      <c r="D951" t="s">
        <v>8</v>
      </c>
      <c r="E951" t="str">
        <f>_xlfn.XLOOKUP(CKadeaTelcoLogs_Reseau[[#This Row],[Cell_ID]],'CKadeaTelcoRegistre_Maintenance'!A:A,'CKadeaTelcoRegistre_Maintenance'!B:B,"Non repertorié")</f>
        <v>Non repertorié</v>
      </c>
      <c r="F951" t="str">
        <f>_xlfn.XLOOKUP(CKadeaTelcoLogs_Reseau[[#This Row],[Cell_ID]],'CKadeaTelcoRegistre_Maintenance'!A:A,'CKadeaTelcoRegistre_Maintenance'!C:C,"Non repertorié")</f>
        <v>Non repertorié</v>
      </c>
      <c r="G951" t="str">
        <f>_xlfn.XLOOKUP(CKadeaTelcoLogs_Reseau[[#This Row],[Cell_ID]],'CKadeaTelcoRegistre_Maintenance'!A:A,'CKadeaTelcoRegistre_Maintenance'!D:D,"Non repertorié")</f>
        <v>Non repertorié</v>
      </c>
      <c r="H951" t="str">
        <f>_xlfn.XLOOKUP(CKadeaTelcoLogs_Reseau[[#This Row],[Cell_ID]],'CKadeaTelcoRegistre_Maintenance'!A:A,'CKadeaTelcoRegistre_Maintenance'!E:E,"Non repertorié")</f>
        <v>Non repertorié</v>
      </c>
      <c r="I951" t="str">
        <f>_xlfn.XLOOKUP(CKadeaTelcoLogs_Reseau[[#This Row],[Cell_ID]],'CKadeaTelcoRegistre_Maintenance'!A:A,'CKadeaTelcoRegistre_Maintenance'!F:F,"Non repertorié")</f>
        <v>Non repertorié</v>
      </c>
    </row>
    <row r="952" spans="1:9" ht="20.5" customHeight="1" x14ac:dyDescent="0.35">
      <c r="A952" s="1">
        <v>45216.435416666667</v>
      </c>
      <c r="B952" s="5" t="s">
        <v>459</v>
      </c>
      <c r="C952">
        <v>88</v>
      </c>
      <c r="D952" t="s">
        <v>5</v>
      </c>
      <c r="E952" t="str">
        <f>_xlfn.XLOOKUP(CKadeaTelcoLogs_Reseau[[#This Row],[Cell_ID]],'CKadeaTelcoRegistre_Maintenance'!A:A,'CKadeaTelcoRegistre_Maintenance'!B:B,"Non repertorié")</f>
        <v>Maniema</v>
      </c>
      <c r="F952">
        <f>_xlfn.XLOOKUP(CKadeaTelcoLogs_Reseau[[#This Row],[Cell_ID]],'CKadeaTelcoRegistre_Maintenance'!A:A,'CKadeaTelcoRegistre_Maintenance'!C:C,"Non repertorié")</f>
        <v>1.938083</v>
      </c>
      <c r="G952">
        <f>_xlfn.XLOOKUP(CKadeaTelcoLogs_Reseau[[#This Row],[Cell_ID]],'CKadeaTelcoRegistre_Maintenance'!A:A,'CKadeaTelcoRegistre_Maintenance'!D:D,"Non repertorié")</f>
        <v>28.25281</v>
      </c>
      <c r="H952" t="str">
        <f>_xlfn.XLOOKUP(CKadeaTelcoLogs_Reseau[[#This Row],[Cell_ID]],'CKadeaTelcoRegistre_Maintenance'!A:A,'CKadeaTelcoRegistre_Maintenance'!E:E,"Non repertorié")</f>
        <v>4G</v>
      </c>
      <c r="I952" t="str">
        <f>_xlfn.XLOOKUP(CKadeaTelcoLogs_Reseau[[#This Row],[Cell_ID]],'CKadeaTelcoRegistre_Maintenance'!A:A,'CKadeaTelcoRegistre_Maintenance'!F:F,"Non repertorié")</f>
        <v>Nokia</v>
      </c>
    </row>
    <row r="953" spans="1:9" ht="20.5" customHeight="1" x14ac:dyDescent="0.35">
      <c r="A953" s="1">
        <v>45228.880555555559</v>
      </c>
      <c r="B953" s="5" t="s">
        <v>292</v>
      </c>
      <c r="C953">
        <v>112</v>
      </c>
      <c r="D953" t="s">
        <v>10</v>
      </c>
      <c r="E953" t="str">
        <f>_xlfn.XLOOKUP(CKadeaTelcoLogs_Reseau[[#This Row],[Cell_ID]],'CKadeaTelcoRegistre_Maintenance'!A:A,'CKadeaTelcoRegistre_Maintenance'!B:B,"Non repertorié")</f>
        <v>Ituri</v>
      </c>
      <c r="F953">
        <f>_xlfn.XLOOKUP(CKadeaTelcoLogs_Reseau[[#This Row],[Cell_ID]],'CKadeaTelcoRegistre_Maintenance'!A:A,'CKadeaTelcoRegistre_Maintenance'!C:C,"Non repertorié")</f>
        <v>-4.1250960000000001</v>
      </c>
      <c r="G953">
        <f>_xlfn.XLOOKUP(CKadeaTelcoLogs_Reseau[[#This Row],[Cell_ID]],'CKadeaTelcoRegistre_Maintenance'!A:A,'CKadeaTelcoRegistre_Maintenance'!D:D,"Non repertorié")</f>
        <v>27.799897999999999</v>
      </c>
      <c r="H953" t="str">
        <f>_xlfn.XLOOKUP(CKadeaTelcoLogs_Reseau[[#This Row],[Cell_ID]],'CKadeaTelcoRegistre_Maintenance'!A:A,'CKadeaTelcoRegistre_Maintenance'!E:E,"Non repertorié")</f>
        <v>3G</v>
      </c>
      <c r="I953" t="str">
        <f>_xlfn.XLOOKUP(CKadeaTelcoLogs_Reseau[[#This Row],[Cell_ID]],'CKadeaTelcoRegistre_Maintenance'!A:A,'CKadeaTelcoRegistre_Maintenance'!F:F,"Non repertorié")</f>
        <v>Nokia</v>
      </c>
    </row>
    <row r="954" spans="1:9" ht="20.5" customHeight="1" x14ac:dyDescent="0.35">
      <c r="A954" s="1">
        <v>45211.888888888891</v>
      </c>
      <c r="B954" s="5" t="s">
        <v>402</v>
      </c>
      <c r="C954">
        <v>87</v>
      </c>
      <c r="D954" t="s">
        <v>8</v>
      </c>
      <c r="E954" t="str">
        <f>_xlfn.XLOOKUP(CKadeaTelcoLogs_Reseau[[#This Row],[Cell_ID]],'CKadeaTelcoRegistre_Maintenance'!A:A,'CKadeaTelcoRegistre_Maintenance'!B:B,"Non repertorié")</f>
        <v>Haut-Uele</v>
      </c>
      <c r="F954">
        <f>_xlfn.XLOOKUP(CKadeaTelcoLogs_Reseau[[#This Row],[Cell_ID]],'CKadeaTelcoRegistre_Maintenance'!A:A,'CKadeaTelcoRegistre_Maintenance'!C:C,"Non repertorié")</f>
        <v>-7.1483749999999997</v>
      </c>
      <c r="G954">
        <f>_xlfn.XLOOKUP(CKadeaTelcoLogs_Reseau[[#This Row],[Cell_ID]],'CKadeaTelcoRegistre_Maintenance'!A:A,'CKadeaTelcoRegistre_Maintenance'!D:D,"Non repertorié")</f>
        <v>26.014271000000001</v>
      </c>
      <c r="H954" t="str">
        <f>_xlfn.XLOOKUP(CKadeaTelcoLogs_Reseau[[#This Row],[Cell_ID]],'CKadeaTelcoRegistre_Maintenance'!A:A,'CKadeaTelcoRegistre_Maintenance'!E:E,"Non repertorié")</f>
        <v>5G</v>
      </c>
      <c r="I954" t="str">
        <f>_xlfn.XLOOKUP(CKadeaTelcoLogs_Reseau[[#This Row],[Cell_ID]],'CKadeaTelcoRegistre_Maintenance'!A:A,'CKadeaTelcoRegistre_Maintenance'!F:F,"Non repertorié")</f>
        <v>Huawei</v>
      </c>
    </row>
    <row r="955" spans="1:9" ht="20.5" customHeight="1" x14ac:dyDescent="0.35">
      <c r="A955" s="1">
        <v>45213.963194444441</v>
      </c>
      <c r="B955" s="5" t="s">
        <v>616</v>
      </c>
      <c r="C955">
        <v>25</v>
      </c>
      <c r="D955" t="s">
        <v>8</v>
      </c>
      <c r="E955" t="str">
        <f>_xlfn.XLOOKUP(CKadeaTelcoLogs_Reseau[[#This Row],[Cell_ID]],'CKadeaTelcoRegistre_Maintenance'!A:A,'CKadeaTelcoRegistre_Maintenance'!B:B,"Non repertorié")</f>
        <v>Non repertorié</v>
      </c>
      <c r="F955" t="str">
        <f>_xlfn.XLOOKUP(CKadeaTelcoLogs_Reseau[[#This Row],[Cell_ID]],'CKadeaTelcoRegistre_Maintenance'!A:A,'CKadeaTelcoRegistre_Maintenance'!C:C,"Non repertorié")</f>
        <v>Non repertorié</v>
      </c>
      <c r="G955" t="str">
        <f>_xlfn.XLOOKUP(CKadeaTelcoLogs_Reseau[[#This Row],[Cell_ID]],'CKadeaTelcoRegistre_Maintenance'!A:A,'CKadeaTelcoRegistre_Maintenance'!D:D,"Non repertorié")</f>
        <v>Non repertorié</v>
      </c>
      <c r="H955" t="str">
        <f>_xlfn.XLOOKUP(CKadeaTelcoLogs_Reseau[[#This Row],[Cell_ID]],'CKadeaTelcoRegistre_Maintenance'!A:A,'CKadeaTelcoRegistre_Maintenance'!E:E,"Non repertorié")</f>
        <v>Non repertorié</v>
      </c>
      <c r="I955" t="str">
        <f>_xlfn.XLOOKUP(CKadeaTelcoLogs_Reseau[[#This Row],[Cell_ID]],'CKadeaTelcoRegistre_Maintenance'!A:A,'CKadeaTelcoRegistre_Maintenance'!F:F,"Non repertorié")</f>
        <v>Non repertorié</v>
      </c>
    </row>
    <row r="956" spans="1:9" ht="20.5" customHeight="1" x14ac:dyDescent="0.35">
      <c r="A956" s="1">
        <v>45203.041666666664</v>
      </c>
      <c r="B956" s="5" t="s">
        <v>318</v>
      </c>
      <c r="C956">
        <v>69</v>
      </c>
      <c r="D956" t="s">
        <v>10</v>
      </c>
      <c r="E956" t="str">
        <f>_xlfn.XLOOKUP(CKadeaTelcoLogs_Reseau[[#This Row],[Cell_ID]],'CKadeaTelcoRegistre_Maintenance'!A:A,'CKadeaTelcoRegistre_Maintenance'!B:B,"Non repertorié")</f>
        <v>Bas-Uele</v>
      </c>
      <c r="F956">
        <f>_xlfn.XLOOKUP(CKadeaTelcoLogs_Reseau[[#This Row],[Cell_ID]],'CKadeaTelcoRegistre_Maintenance'!A:A,'CKadeaTelcoRegistre_Maintenance'!C:C,"Non repertorié")</f>
        <v>-2.2876210000000001</v>
      </c>
      <c r="G956">
        <f>_xlfn.XLOOKUP(CKadeaTelcoLogs_Reseau[[#This Row],[Cell_ID]],'CKadeaTelcoRegistre_Maintenance'!A:A,'CKadeaTelcoRegistre_Maintenance'!D:D,"Non repertorié")</f>
        <v>27.582545</v>
      </c>
      <c r="H956" t="str">
        <f>_xlfn.XLOOKUP(CKadeaTelcoLogs_Reseau[[#This Row],[Cell_ID]],'CKadeaTelcoRegistre_Maintenance'!A:A,'CKadeaTelcoRegistre_Maintenance'!E:E,"Non repertorié")</f>
        <v>4G</v>
      </c>
      <c r="I956" t="str">
        <f>_xlfn.XLOOKUP(CKadeaTelcoLogs_Reseau[[#This Row],[Cell_ID]],'CKadeaTelcoRegistre_Maintenance'!A:A,'CKadeaTelcoRegistre_Maintenance'!F:F,"Non repertorié")</f>
        <v>Huawei</v>
      </c>
    </row>
    <row r="957" spans="1:9" ht="20.5" customHeight="1" x14ac:dyDescent="0.35">
      <c r="A957" s="1">
        <v>45227.195833333331</v>
      </c>
      <c r="B957" s="5" t="s">
        <v>176</v>
      </c>
      <c r="C957">
        <v>113</v>
      </c>
      <c r="D957" t="s">
        <v>8</v>
      </c>
      <c r="E957" t="str">
        <f>_xlfn.XLOOKUP(CKadeaTelcoLogs_Reseau[[#This Row],[Cell_ID]],'CKadeaTelcoRegistre_Maintenance'!A:A,'CKadeaTelcoRegistre_Maintenance'!B:B,"Non repertorié")</f>
        <v>Kinshasa</v>
      </c>
      <c r="F957">
        <f>_xlfn.XLOOKUP(CKadeaTelcoLogs_Reseau[[#This Row],[Cell_ID]],'CKadeaTelcoRegistre_Maintenance'!A:A,'CKadeaTelcoRegistre_Maintenance'!C:C,"Non repertorié")</f>
        <v>-7.5418399999999997</v>
      </c>
      <c r="G957">
        <f>_xlfn.XLOOKUP(CKadeaTelcoLogs_Reseau[[#This Row],[Cell_ID]],'CKadeaTelcoRegistre_Maintenance'!A:A,'CKadeaTelcoRegistre_Maintenance'!D:D,"Non repertorié")</f>
        <v>16.931206</v>
      </c>
      <c r="H957" t="str">
        <f>_xlfn.XLOOKUP(CKadeaTelcoLogs_Reseau[[#This Row],[Cell_ID]],'CKadeaTelcoRegistre_Maintenance'!A:A,'CKadeaTelcoRegistre_Maintenance'!E:E,"Non repertorié")</f>
        <v>3G</v>
      </c>
      <c r="I957" t="str">
        <f>_xlfn.XLOOKUP(CKadeaTelcoLogs_Reseau[[#This Row],[Cell_ID]],'CKadeaTelcoRegistre_Maintenance'!A:A,'CKadeaTelcoRegistre_Maintenance'!F:F,"Non repertorié")</f>
        <v>Nokia</v>
      </c>
    </row>
    <row r="958" spans="1:9" ht="20.5" customHeight="1" x14ac:dyDescent="0.35">
      <c r="A958" s="1">
        <v>45220.222916666666</v>
      </c>
      <c r="B958" s="5" t="s">
        <v>529</v>
      </c>
      <c r="C958">
        <v>65</v>
      </c>
      <c r="D958" t="s">
        <v>10</v>
      </c>
      <c r="E958" t="str">
        <f>_xlfn.XLOOKUP(CKadeaTelcoLogs_Reseau[[#This Row],[Cell_ID]],'CKadeaTelcoRegistre_Maintenance'!A:A,'CKadeaTelcoRegistre_Maintenance'!B:B,"Non repertorié")</f>
        <v>Haut-Lomami</v>
      </c>
      <c r="F958">
        <f>_xlfn.XLOOKUP(CKadeaTelcoLogs_Reseau[[#This Row],[Cell_ID]],'CKadeaTelcoRegistre_Maintenance'!A:A,'CKadeaTelcoRegistre_Maintenance'!C:C,"Non repertorié")</f>
        <v>-1.3938550000000001</v>
      </c>
      <c r="G958">
        <f>_xlfn.XLOOKUP(CKadeaTelcoLogs_Reseau[[#This Row],[Cell_ID]],'CKadeaTelcoRegistre_Maintenance'!A:A,'CKadeaTelcoRegistre_Maintenance'!D:D,"Non repertorié")</f>
        <v>15.097554000000001</v>
      </c>
      <c r="H958" t="str">
        <f>_xlfn.XLOOKUP(CKadeaTelcoLogs_Reseau[[#This Row],[Cell_ID]],'CKadeaTelcoRegistre_Maintenance'!A:A,'CKadeaTelcoRegistre_Maintenance'!E:E,"Non repertorié")</f>
        <v>4G</v>
      </c>
      <c r="I958" t="str">
        <f>_xlfn.XLOOKUP(CKadeaTelcoLogs_Reseau[[#This Row],[Cell_ID]],'CKadeaTelcoRegistre_Maintenance'!A:A,'CKadeaTelcoRegistre_Maintenance'!F:F,"Non repertorié")</f>
        <v>Huawei</v>
      </c>
    </row>
    <row r="959" spans="1:9" ht="20.5" customHeight="1" x14ac:dyDescent="0.35">
      <c r="A959" s="1">
        <v>45211.61041666667</v>
      </c>
      <c r="B959" s="5" t="s">
        <v>85</v>
      </c>
      <c r="C959">
        <v>114</v>
      </c>
      <c r="D959" t="s">
        <v>5</v>
      </c>
      <c r="E959" t="str">
        <f>_xlfn.XLOOKUP(CKadeaTelcoLogs_Reseau[[#This Row],[Cell_ID]],'CKadeaTelcoRegistre_Maintenance'!A:A,'CKadeaTelcoRegistre_Maintenance'!B:B,"Non repertorié")</f>
        <v>Ituri</v>
      </c>
      <c r="F959">
        <f>_xlfn.XLOOKUP(CKadeaTelcoLogs_Reseau[[#This Row],[Cell_ID]],'CKadeaTelcoRegistre_Maintenance'!A:A,'CKadeaTelcoRegistre_Maintenance'!C:C,"Non repertorié")</f>
        <v>-7.0076900000000002</v>
      </c>
      <c r="G959">
        <f>_xlfn.XLOOKUP(CKadeaTelcoLogs_Reseau[[#This Row],[Cell_ID]],'CKadeaTelcoRegistre_Maintenance'!A:A,'CKadeaTelcoRegistre_Maintenance'!D:D,"Non repertorié")</f>
        <v>27.367121999999998</v>
      </c>
      <c r="H959" t="str">
        <f>_xlfn.XLOOKUP(CKadeaTelcoLogs_Reseau[[#This Row],[Cell_ID]],'CKadeaTelcoRegistre_Maintenance'!A:A,'CKadeaTelcoRegistre_Maintenance'!E:E,"Non repertorié")</f>
        <v>3G</v>
      </c>
      <c r="I959" t="str">
        <f>_xlfn.XLOOKUP(CKadeaTelcoLogs_Reseau[[#This Row],[Cell_ID]],'CKadeaTelcoRegistre_Maintenance'!A:A,'CKadeaTelcoRegistre_Maintenance'!F:F,"Non repertorié")</f>
        <v>Nokia</v>
      </c>
    </row>
    <row r="960" spans="1:9" ht="20.5" customHeight="1" x14ac:dyDescent="0.35">
      <c r="A960" s="1">
        <v>45208.961805555555</v>
      </c>
      <c r="B960" s="5" t="s">
        <v>617</v>
      </c>
      <c r="C960">
        <v>68</v>
      </c>
      <c r="D960" t="s">
        <v>5</v>
      </c>
      <c r="E960" t="str">
        <f>_xlfn.XLOOKUP(CKadeaTelcoLogs_Reseau[[#This Row],[Cell_ID]],'CKadeaTelcoRegistre_Maintenance'!A:A,'CKadeaTelcoRegistre_Maintenance'!B:B,"Non repertorié")</f>
        <v>Bas-Uele</v>
      </c>
      <c r="F960">
        <f>_xlfn.XLOOKUP(CKadeaTelcoLogs_Reseau[[#This Row],[Cell_ID]],'CKadeaTelcoRegistre_Maintenance'!A:A,'CKadeaTelcoRegistre_Maintenance'!C:C,"Non repertorié")</f>
        <v>-2.3269820000000001</v>
      </c>
      <c r="G960">
        <f>_xlfn.XLOOKUP(CKadeaTelcoLogs_Reseau[[#This Row],[Cell_ID]],'CKadeaTelcoRegistre_Maintenance'!A:A,'CKadeaTelcoRegistre_Maintenance'!D:D,"Non repertorié")</f>
        <v>14.609259</v>
      </c>
      <c r="H960" t="str">
        <f>_xlfn.XLOOKUP(CKadeaTelcoLogs_Reseau[[#This Row],[Cell_ID]],'CKadeaTelcoRegistre_Maintenance'!A:A,'CKadeaTelcoRegistre_Maintenance'!E:E,"Non repertorié")</f>
        <v>3G</v>
      </c>
      <c r="I960" t="str">
        <f>_xlfn.XLOOKUP(CKadeaTelcoLogs_Reseau[[#This Row],[Cell_ID]],'CKadeaTelcoRegistre_Maintenance'!A:A,'CKadeaTelcoRegistre_Maintenance'!F:F,"Non repertorié")</f>
        <v>Nokia</v>
      </c>
    </row>
    <row r="961" spans="1:9" ht="20.5" customHeight="1" x14ac:dyDescent="0.35">
      <c r="A961" s="1">
        <v>45211.424305555556</v>
      </c>
      <c r="B961" s="5" t="s">
        <v>196</v>
      </c>
      <c r="C961">
        <v>116</v>
      </c>
      <c r="D961" t="s">
        <v>8</v>
      </c>
      <c r="E961" t="str">
        <f>_xlfn.XLOOKUP(CKadeaTelcoLogs_Reseau[[#This Row],[Cell_ID]],'CKadeaTelcoRegistre_Maintenance'!A:A,'CKadeaTelcoRegistre_Maintenance'!B:B,"Non repertorié")</f>
        <v>Nord-Kivu</v>
      </c>
      <c r="F961">
        <f>_xlfn.XLOOKUP(CKadeaTelcoLogs_Reseau[[#This Row],[Cell_ID]],'CKadeaTelcoRegistre_Maintenance'!A:A,'CKadeaTelcoRegistre_Maintenance'!C:C,"Non repertorié")</f>
        <v>-1.8555980000000001</v>
      </c>
      <c r="G961">
        <f>_xlfn.XLOOKUP(CKadeaTelcoLogs_Reseau[[#This Row],[Cell_ID]],'CKadeaTelcoRegistre_Maintenance'!A:A,'CKadeaTelcoRegistre_Maintenance'!D:D,"Non repertorié")</f>
        <v>30.421918000000002</v>
      </c>
      <c r="H961" t="str">
        <f>_xlfn.XLOOKUP(CKadeaTelcoLogs_Reseau[[#This Row],[Cell_ID]],'CKadeaTelcoRegistre_Maintenance'!A:A,'CKadeaTelcoRegistre_Maintenance'!E:E,"Non repertorié")</f>
        <v>3G</v>
      </c>
      <c r="I961" t="str">
        <f>_xlfn.XLOOKUP(CKadeaTelcoLogs_Reseau[[#This Row],[Cell_ID]],'CKadeaTelcoRegistre_Maintenance'!A:A,'CKadeaTelcoRegistre_Maintenance'!F:F,"Non repertorié")</f>
        <v>ZTE</v>
      </c>
    </row>
    <row r="962" spans="1:9" ht="20.5" customHeight="1" x14ac:dyDescent="0.35">
      <c r="A962" s="1">
        <v>45203.517361111109</v>
      </c>
      <c r="B962" s="5" t="s">
        <v>36</v>
      </c>
      <c r="C962">
        <v>26</v>
      </c>
      <c r="D962" t="s">
        <v>5</v>
      </c>
      <c r="E962" t="str">
        <f>_xlfn.XLOOKUP(CKadeaTelcoLogs_Reseau[[#This Row],[Cell_ID]],'CKadeaTelcoRegistre_Maintenance'!A:A,'CKadeaTelcoRegistre_Maintenance'!B:B,"Non repertorié")</f>
        <v>Nord-Ubangi</v>
      </c>
      <c r="F962">
        <f>_xlfn.XLOOKUP(CKadeaTelcoLogs_Reseau[[#This Row],[Cell_ID]],'CKadeaTelcoRegistre_Maintenance'!A:A,'CKadeaTelcoRegistre_Maintenance'!C:C,"Non repertorié")</f>
        <v>-8.1437910000000002</v>
      </c>
      <c r="G962">
        <f>_xlfn.XLOOKUP(CKadeaTelcoLogs_Reseau[[#This Row],[Cell_ID]],'CKadeaTelcoRegistre_Maintenance'!A:A,'CKadeaTelcoRegistre_Maintenance'!D:D,"Non repertorié")</f>
        <v>28.946161</v>
      </c>
      <c r="H962" t="str">
        <f>_xlfn.XLOOKUP(CKadeaTelcoLogs_Reseau[[#This Row],[Cell_ID]],'CKadeaTelcoRegistre_Maintenance'!A:A,'CKadeaTelcoRegistre_Maintenance'!E:E,"Non repertorié")</f>
        <v>4G</v>
      </c>
      <c r="I962" t="str">
        <f>_xlfn.XLOOKUP(CKadeaTelcoLogs_Reseau[[#This Row],[Cell_ID]],'CKadeaTelcoRegistre_Maintenance'!A:A,'CKadeaTelcoRegistre_Maintenance'!F:F,"Non repertorié")</f>
        <v>ZTE</v>
      </c>
    </row>
    <row r="963" spans="1:9" ht="20.5" customHeight="1" x14ac:dyDescent="0.35">
      <c r="A963" s="1">
        <v>45230.595138888886</v>
      </c>
      <c r="B963" s="5" t="s">
        <v>618</v>
      </c>
      <c r="C963">
        <v>14</v>
      </c>
      <c r="D963" t="s">
        <v>5</v>
      </c>
      <c r="E963" t="str">
        <f>_xlfn.XLOOKUP(CKadeaTelcoLogs_Reseau[[#This Row],[Cell_ID]],'CKadeaTelcoRegistre_Maintenance'!A:A,'CKadeaTelcoRegistre_Maintenance'!B:B,"Non repertorié")</f>
        <v>Kinshasa</v>
      </c>
      <c r="F963">
        <f>_xlfn.XLOOKUP(CKadeaTelcoLogs_Reseau[[#This Row],[Cell_ID]],'CKadeaTelcoRegistre_Maintenance'!A:A,'CKadeaTelcoRegistre_Maintenance'!C:C,"Non repertorié")</f>
        <v>-7.1079169999999996</v>
      </c>
      <c r="G963">
        <f>_xlfn.XLOOKUP(CKadeaTelcoLogs_Reseau[[#This Row],[Cell_ID]],'CKadeaTelcoRegistre_Maintenance'!A:A,'CKadeaTelcoRegistre_Maintenance'!D:D,"Non repertorié")</f>
        <v>13.636272</v>
      </c>
      <c r="H963" t="str">
        <f>_xlfn.XLOOKUP(CKadeaTelcoLogs_Reseau[[#This Row],[Cell_ID]],'CKadeaTelcoRegistre_Maintenance'!A:A,'CKadeaTelcoRegistre_Maintenance'!E:E,"Non repertorié")</f>
        <v>5G</v>
      </c>
      <c r="I963" t="str">
        <f>_xlfn.XLOOKUP(CKadeaTelcoLogs_Reseau[[#This Row],[Cell_ID]],'CKadeaTelcoRegistre_Maintenance'!A:A,'CKadeaTelcoRegistre_Maintenance'!F:F,"Non repertorié")</f>
        <v>Nokia</v>
      </c>
    </row>
    <row r="964" spans="1:9" ht="20.5" customHeight="1" x14ac:dyDescent="0.35">
      <c r="A964" s="1">
        <v>45226.530555555553</v>
      </c>
      <c r="B964" s="5" t="s">
        <v>619</v>
      </c>
      <c r="C964">
        <v>101</v>
      </c>
      <c r="D964" t="s">
        <v>10</v>
      </c>
      <c r="E964" t="str">
        <f>_xlfn.XLOOKUP(CKadeaTelcoLogs_Reseau[[#This Row],[Cell_ID]],'CKadeaTelcoRegistre_Maintenance'!A:A,'CKadeaTelcoRegistre_Maintenance'!B:B,"Non repertorié")</f>
        <v>Maniema</v>
      </c>
      <c r="F964">
        <f>_xlfn.XLOOKUP(CKadeaTelcoLogs_Reseau[[#This Row],[Cell_ID]],'CKadeaTelcoRegistre_Maintenance'!A:A,'CKadeaTelcoRegistre_Maintenance'!C:C,"Non repertorié")</f>
        <v>-10.650321</v>
      </c>
      <c r="G964">
        <f>_xlfn.XLOOKUP(CKadeaTelcoLogs_Reseau[[#This Row],[Cell_ID]],'CKadeaTelcoRegistre_Maintenance'!A:A,'CKadeaTelcoRegistre_Maintenance'!D:D,"Non repertorié")</f>
        <v>15.917044000000001</v>
      </c>
      <c r="H964" t="str">
        <f>_xlfn.XLOOKUP(CKadeaTelcoLogs_Reseau[[#This Row],[Cell_ID]],'CKadeaTelcoRegistre_Maintenance'!A:A,'CKadeaTelcoRegistre_Maintenance'!E:E,"Non repertorié")</f>
        <v>4G</v>
      </c>
      <c r="I964" t="str">
        <f>_xlfn.XLOOKUP(CKadeaTelcoLogs_Reseau[[#This Row],[Cell_ID]],'CKadeaTelcoRegistre_Maintenance'!A:A,'CKadeaTelcoRegistre_Maintenance'!F:F,"Non repertorié")</f>
        <v>Nokia</v>
      </c>
    </row>
    <row r="965" spans="1:9" ht="20.5" customHeight="1" x14ac:dyDescent="0.35">
      <c r="A965" s="1">
        <v>45227.660416666666</v>
      </c>
      <c r="B965" s="5" t="s">
        <v>332</v>
      </c>
      <c r="C965">
        <v>67</v>
      </c>
      <c r="D965" t="s">
        <v>10</v>
      </c>
      <c r="E965" t="str">
        <f>_xlfn.XLOOKUP(CKadeaTelcoLogs_Reseau[[#This Row],[Cell_ID]],'CKadeaTelcoRegistre_Maintenance'!A:A,'CKadeaTelcoRegistre_Maintenance'!B:B,"Non repertorié")</f>
        <v>Kasai</v>
      </c>
      <c r="F965">
        <f>_xlfn.XLOOKUP(CKadeaTelcoLogs_Reseau[[#This Row],[Cell_ID]],'CKadeaTelcoRegistre_Maintenance'!A:A,'CKadeaTelcoRegistre_Maintenance'!C:C,"Non repertorié")</f>
        <v>-5.125</v>
      </c>
      <c r="G965">
        <f>_xlfn.XLOOKUP(CKadeaTelcoLogs_Reseau[[#This Row],[Cell_ID]],'CKadeaTelcoRegistre_Maintenance'!A:A,'CKadeaTelcoRegistre_Maintenance'!D:D,"Non repertorié")</f>
        <v>23.513119</v>
      </c>
      <c r="H965" t="str">
        <f>_xlfn.XLOOKUP(CKadeaTelcoLogs_Reseau[[#This Row],[Cell_ID]],'CKadeaTelcoRegistre_Maintenance'!A:A,'CKadeaTelcoRegistre_Maintenance'!E:E,"Non repertorié")</f>
        <v>5G</v>
      </c>
      <c r="I965" t="str">
        <f>_xlfn.XLOOKUP(CKadeaTelcoLogs_Reseau[[#This Row],[Cell_ID]],'CKadeaTelcoRegistre_Maintenance'!A:A,'CKadeaTelcoRegistre_Maintenance'!F:F,"Non repertorié")</f>
        <v>Huawei</v>
      </c>
    </row>
    <row r="966" spans="1:9" ht="20.5" customHeight="1" x14ac:dyDescent="0.35">
      <c r="A966" s="1">
        <v>45213.87222222222</v>
      </c>
      <c r="B966" s="5" t="s">
        <v>620</v>
      </c>
      <c r="C966">
        <v>46</v>
      </c>
      <c r="D966" t="s">
        <v>8</v>
      </c>
      <c r="E966" t="str">
        <f>_xlfn.XLOOKUP(CKadeaTelcoLogs_Reseau[[#This Row],[Cell_ID]],'CKadeaTelcoRegistre_Maintenance'!A:A,'CKadeaTelcoRegistre_Maintenance'!B:B,"Non repertorié")</f>
        <v>Sankuru</v>
      </c>
      <c r="F966">
        <f>_xlfn.XLOOKUP(CKadeaTelcoLogs_Reseau[[#This Row],[Cell_ID]],'CKadeaTelcoRegistre_Maintenance'!A:A,'CKadeaTelcoRegistre_Maintenance'!C:C,"Non repertorié")</f>
        <v>-7.513261</v>
      </c>
      <c r="G966">
        <f>_xlfn.XLOOKUP(CKadeaTelcoLogs_Reseau[[#This Row],[Cell_ID]],'CKadeaTelcoRegistre_Maintenance'!A:A,'CKadeaTelcoRegistre_Maintenance'!D:D,"Non repertorié")</f>
        <v>24.338812000000001</v>
      </c>
      <c r="H966" t="str">
        <f>_xlfn.XLOOKUP(CKadeaTelcoLogs_Reseau[[#This Row],[Cell_ID]],'CKadeaTelcoRegistre_Maintenance'!A:A,'CKadeaTelcoRegistre_Maintenance'!E:E,"Non repertorié")</f>
        <v>5G</v>
      </c>
      <c r="I966" t="str">
        <f>_xlfn.XLOOKUP(CKadeaTelcoLogs_Reseau[[#This Row],[Cell_ID]],'CKadeaTelcoRegistre_Maintenance'!A:A,'CKadeaTelcoRegistre_Maintenance'!F:F,"Non repertorié")</f>
        <v>Huawei</v>
      </c>
    </row>
    <row r="967" spans="1:9" ht="20.5" customHeight="1" x14ac:dyDescent="0.35">
      <c r="A967" s="1">
        <v>45225.213194444441</v>
      </c>
      <c r="B967" s="5" t="s">
        <v>621</v>
      </c>
      <c r="C967">
        <v>35</v>
      </c>
      <c r="D967" t="s">
        <v>10</v>
      </c>
      <c r="E967" t="str">
        <f>_xlfn.XLOOKUP(CKadeaTelcoLogs_Reseau[[#This Row],[Cell_ID]],'CKadeaTelcoRegistre_Maintenance'!A:A,'CKadeaTelcoRegistre_Maintenance'!B:B,"Non repertorié")</f>
        <v>Non repertorié</v>
      </c>
      <c r="F967" t="str">
        <f>_xlfn.XLOOKUP(CKadeaTelcoLogs_Reseau[[#This Row],[Cell_ID]],'CKadeaTelcoRegistre_Maintenance'!A:A,'CKadeaTelcoRegistre_Maintenance'!C:C,"Non repertorié")</f>
        <v>Non repertorié</v>
      </c>
      <c r="G967" t="str">
        <f>_xlfn.XLOOKUP(CKadeaTelcoLogs_Reseau[[#This Row],[Cell_ID]],'CKadeaTelcoRegistre_Maintenance'!A:A,'CKadeaTelcoRegistre_Maintenance'!D:D,"Non repertorié")</f>
        <v>Non repertorié</v>
      </c>
      <c r="H967" t="str">
        <f>_xlfn.XLOOKUP(CKadeaTelcoLogs_Reseau[[#This Row],[Cell_ID]],'CKadeaTelcoRegistre_Maintenance'!A:A,'CKadeaTelcoRegistre_Maintenance'!E:E,"Non repertorié")</f>
        <v>Non repertorié</v>
      </c>
      <c r="I967" t="str">
        <f>_xlfn.XLOOKUP(CKadeaTelcoLogs_Reseau[[#This Row],[Cell_ID]],'CKadeaTelcoRegistre_Maintenance'!A:A,'CKadeaTelcoRegistre_Maintenance'!F:F,"Non repertorié")</f>
        <v>Non repertorié</v>
      </c>
    </row>
    <row r="968" spans="1:9" ht="20.5" customHeight="1" x14ac:dyDescent="0.35">
      <c r="A968" s="1">
        <v>45204.948611111111</v>
      </c>
      <c r="B968" s="5" t="s">
        <v>622</v>
      </c>
      <c r="C968">
        <v>47</v>
      </c>
      <c r="D968" t="s">
        <v>8</v>
      </c>
      <c r="E968" t="str">
        <f>_xlfn.XLOOKUP(CKadeaTelcoLogs_Reseau[[#This Row],[Cell_ID]],'CKadeaTelcoRegistre_Maintenance'!A:A,'CKadeaTelcoRegistre_Maintenance'!B:B,"Non repertorié")</f>
        <v>Non repertorié</v>
      </c>
      <c r="F968" t="str">
        <f>_xlfn.XLOOKUP(CKadeaTelcoLogs_Reseau[[#This Row],[Cell_ID]],'CKadeaTelcoRegistre_Maintenance'!A:A,'CKadeaTelcoRegistre_Maintenance'!C:C,"Non repertorié")</f>
        <v>Non repertorié</v>
      </c>
      <c r="G968" t="str">
        <f>_xlfn.XLOOKUP(CKadeaTelcoLogs_Reseau[[#This Row],[Cell_ID]],'CKadeaTelcoRegistre_Maintenance'!A:A,'CKadeaTelcoRegistre_Maintenance'!D:D,"Non repertorié")</f>
        <v>Non repertorié</v>
      </c>
      <c r="H968" t="str">
        <f>_xlfn.XLOOKUP(CKadeaTelcoLogs_Reseau[[#This Row],[Cell_ID]],'CKadeaTelcoRegistre_Maintenance'!A:A,'CKadeaTelcoRegistre_Maintenance'!E:E,"Non repertorié")</f>
        <v>Non repertorié</v>
      </c>
      <c r="I968" t="str">
        <f>_xlfn.XLOOKUP(CKadeaTelcoLogs_Reseau[[#This Row],[Cell_ID]],'CKadeaTelcoRegistre_Maintenance'!A:A,'CKadeaTelcoRegistre_Maintenance'!F:F,"Non repertorié")</f>
        <v>Non repertorié</v>
      </c>
    </row>
    <row r="969" spans="1:9" ht="20.5" customHeight="1" x14ac:dyDescent="0.35">
      <c r="A969" s="1">
        <v>45201.212500000001</v>
      </c>
      <c r="B969" s="5" t="s">
        <v>69</v>
      </c>
      <c r="C969">
        <v>40</v>
      </c>
      <c r="D969" t="s">
        <v>8</v>
      </c>
      <c r="E969" t="str">
        <f>_xlfn.XLOOKUP(CKadeaTelcoLogs_Reseau[[#This Row],[Cell_ID]],'CKadeaTelcoRegistre_Maintenance'!A:A,'CKadeaTelcoRegistre_Maintenance'!B:B,"Non repertorié")</f>
        <v>Nord-Kivu</v>
      </c>
      <c r="F969">
        <f>_xlfn.XLOOKUP(CKadeaTelcoLogs_Reseau[[#This Row],[Cell_ID]],'CKadeaTelcoRegistre_Maintenance'!A:A,'CKadeaTelcoRegistre_Maintenance'!C:C,"Non repertorié")</f>
        <v>0.82868600000000003</v>
      </c>
      <c r="G969">
        <f>_xlfn.XLOOKUP(CKadeaTelcoLogs_Reseau[[#This Row],[Cell_ID]],'CKadeaTelcoRegistre_Maintenance'!A:A,'CKadeaTelcoRegistre_Maintenance'!D:D,"Non repertorié")</f>
        <v>26.958843999999999</v>
      </c>
      <c r="H969" t="str">
        <f>_xlfn.XLOOKUP(CKadeaTelcoLogs_Reseau[[#This Row],[Cell_ID]],'CKadeaTelcoRegistre_Maintenance'!A:A,'CKadeaTelcoRegistre_Maintenance'!E:E,"Non repertorié")</f>
        <v>5G</v>
      </c>
      <c r="I969" t="str">
        <f>_xlfn.XLOOKUP(CKadeaTelcoLogs_Reseau[[#This Row],[Cell_ID]],'CKadeaTelcoRegistre_Maintenance'!A:A,'CKadeaTelcoRegistre_Maintenance'!F:F,"Non repertorié")</f>
        <v>ZTE</v>
      </c>
    </row>
    <row r="970" spans="1:9" ht="20.5" customHeight="1" x14ac:dyDescent="0.35">
      <c r="A970" s="1">
        <v>45213.770833333336</v>
      </c>
      <c r="B970" s="5" t="s">
        <v>623</v>
      </c>
      <c r="C970">
        <v>11</v>
      </c>
      <c r="D970" t="s">
        <v>10</v>
      </c>
      <c r="E970" t="str">
        <f>_xlfn.XLOOKUP(CKadeaTelcoLogs_Reseau[[#This Row],[Cell_ID]],'CKadeaTelcoRegistre_Maintenance'!A:A,'CKadeaTelcoRegistre_Maintenance'!B:B,"Non repertorié")</f>
        <v>Non repertorié</v>
      </c>
      <c r="F970" t="str">
        <f>_xlfn.XLOOKUP(CKadeaTelcoLogs_Reseau[[#This Row],[Cell_ID]],'CKadeaTelcoRegistre_Maintenance'!A:A,'CKadeaTelcoRegistre_Maintenance'!C:C,"Non repertorié")</f>
        <v>Non repertorié</v>
      </c>
      <c r="G970" t="str">
        <f>_xlfn.XLOOKUP(CKadeaTelcoLogs_Reseau[[#This Row],[Cell_ID]],'CKadeaTelcoRegistre_Maintenance'!A:A,'CKadeaTelcoRegistre_Maintenance'!D:D,"Non repertorié")</f>
        <v>Non repertorié</v>
      </c>
      <c r="H970" t="str">
        <f>_xlfn.XLOOKUP(CKadeaTelcoLogs_Reseau[[#This Row],[Cell_ID]],'CKadeaTelcoRegistre_Maintenance'!A:A,'CKadeaTelcoRegistre_Maintenance'!E:E,"Non repertorié")</f>
        <v>Non repertorié</v>
      </c>
      <c r="I970" t="str">
        <f>_xlfn.XLOOKUP(CKadeaTelcoLogs_Reseau[[#This Row],[Cell_ID]],'CKadeaTelcoRegistre_Maintenance'!A:A,'CKadeaTelcoRegistre_Maintenance'!F:F,"Non repertorié")</f>
        <v>Non repertorié</v>
      </c>
    </row>
    <row r="971" spans="1:9" ht="20.5" customHeight="1" x14ac:dyDescent="0.35">
      <c r="A971" s="1">
        <v>45225.779861111114</v>
      </c>
      <c r="B971" s="5" t="s">
        <v>624</v>
      </c>
      <c r="C971">
        <v>69</v>
      </c>
      <c r="D971" t="s">
        <v>8</v>
      </c>
      <c r="E971" t="str">
        <f>_xlfn.XLOOKUP(CKadeaTelcoLogs_Reseau[[#This Row],[Cell_ID]],'CKadeaTelcoRegistre_Maintenance'!A:A,'CKadeaTelcoRegistre_Maintenance'!B:B,"Non repertorié")</f>
        <v>Non repertorié</v>
      </c>
      <c r="F971" t="str">
        <f>_xlfn.XLOOKUP(CKadeaTelcoLogs_Reseau[[#This Row],[Cell_ID]],'CKadeaTelcoRegistre_Maintenance'!A:A,'CKadeaTelcoRegistre_Maintenance'!C:C,"Non repertorié")</f>
        <v>Non repertorié</v>
      </c>
      <c r="G971" t="str">
        <f>_xlfn.XLOOKUP(CKadeaTelcoLogs_Reseau[[#This Row],[Cell_ID]],'CKadeaTelcoRegistre_Maintenance'!A:A,'CKadeaTelcoRegistre_Maintenance'!D:D,"Non repertorié")</f>
        <v>Non repertorié</v>
      </c>
      <c r="H971" t="str">
        <f>_xlfn.XLOOKUP(CKadeaTelcoLogs_Reseau[[#This Row],[Cell_ID]],'CKadeaTelcoRegistre_Maintenance'!A:A,'CKadeaTelcoRegistre_Maintenance'!E:E,"Non repertorié")</f>
        <v>Non repertorié</v>
      </c>
      <c r="I971" t="str">
        <f>_xlfn.XLOOKUP(CKadeaTelcoLogs_Reseau[[#This Row],[Cell_ID]],'CKadeaTelcoRegistre_Maintenance'!A:A,'CKadeaTelcoRegistre_Maintenance'!F:F,"Non repertorié")</f>
        <v>Non repertorié</v>
      </c>
    </row>
    <row r="972" spans="1:9" ht="20.5" customHeight="1" x14ac:dyDescent="0.35">
      <c r="A972" s="1">
        <v>45214.23541666667</v>
      </c>
      <c r="B972" s="5" t="s">
        <v>625</v>
      </c>
      <c r="C972">
        <v>33</v>
      </c>
      <c r="D972" t="s">
        <v>5</v>
      </c>
      <c r="E972" t="str">
        <f>_xlfn.XLOOKUP(CKadeaTelcoLogs_Reseau[[#This Row],[Cell_ID]],'CKadeaTelcoRegistre_Maintenance'!A:A,'CKadeaTelcoRegistre_Maintenance'!B:B,"Non repertorié")</f>
        <v>Maniema</v>
      </c>
      <c r="F972">
        <f>_xlfn.XLOOKUP(CKadeaTelcoLogs_Reseau[[#This Row],[Cell_ID]],'CKadeaTelcoRegistre_Maintenance'!A:A,'CKadeaTelcoRegistre_Maintenance'!C:C,"Non repertorié")</f>
        <v>-10.318835</v>
      </c>
      <c r="G972">
        <f>_xlfn.XLOOKUP(CKadeaTelcoLogs_Reseau[[#This Row],[Cell_ID]],'CKadeaTelcoRegistre_Maintenance'!A:A,'CKadeaTelcoRegistre_Maintenance'!D:D,"Non repertorié")</f>
        <v>21.252382000000001</v>
      </c>
      <c r="H972" t="str">
        <f>_xlfn.XLOOKUP(CKadeaTelcoLogs_Reseau[[#This Row],[Cell_ID]],'CKadeaTelcoRegistre_Maintenance'!A:A,'CKadeaTelcoRegistre_Maintenance'!E:E,"Non repertorié")</f>
        <v>4G</v>
      </c>
      <c r="I972" t="str">
        <f>_xlfn.XLOOKUP(CKadeaTelcoLogs_Reseau[[#This Row],[Cell_ID]],'CKadeaTelcoRegistre_Maintenance'!A:A,'CKadeaTelcoRegistre_Maintenance'!F:F,"Non repertorié")</f>
        <v>Ericsson</v>
      </c>
    </row>
    <row r="973" spans="1:9" ht="20.5" customHeight="1" x14ac:dyDescent="0.35">
      <c r="A973" s="1">
        <v>45212.48541666667</v>
      </c>
      <c r="B973" s="5" t="s">
        <v>626</v>
      </c>
      <c r="C973">
        <v>75</v>
      </c>
      <c r="D973" t="s">
        <v>5</v>
      </c>
      <c r="E973" t="str">
        <f>_xlfn.XLOOKUP(CKadeaTelcoLogs_Reseau[[#This Row],[Cell_ID]],'CKadeaTelcoRegistre_Maintenance'!A:A,'CKadeaTelcoRegistre_Maintenance'!B:B,"Non repertorié")</f>
        <v>Non repertorié</v>
      </c>
      <c r="F973" t="str">
        <f>_xlfn.XLOOKUP(CKadeaTelcoLogs_Reseau[[#This Row],[Cell_ID]],'CKadeaTelcoRegistre_Maintenance'!A:A,'CKadeaTelcoRegistre_Maintenance'!C:C,"Non repertorié")</f>
        <v>Non repertorié</v>
      </c>
      <c r="G973" t="str">
        <f>_xlfn.XLOOKUP(CKadeaTelcoLogs_Reseau[[#This Row],[Cell_ID]],'CKadeaTelcoRegistre_Maintenance'!A:A,'CKadeaTelcoRegistre_Maintenance'!D:D,"Non repertorié")</f>
        <v>Non repertorié</v>
      </c>
      <c r="H973" t="str">
        <f>_xlfn.XLOOKUP(CKadeaTelcoLogs_Reseau[[#This Row],[Cell_ID]],'CKadeaTelcoRegistre_Maintenance'!A:A,'CKadeaTelcoRegistre_Maintenance'!E:E,"Non repertorié")</f>
        <v>Non repertorié</v>
      </c>
      <c r="I973" t="str">
        <f>_xlfn.XLOOKUP(CKadeaTelcoLogs_Reseau[[#This Row],[Cell_ID]],'CKadeaTelcoRegistre_Maintenance'!A:A,'CKadeaTelcoRegistre_Maintenance'!F:F,"Non repertorié")</f>
        <v>Non repertorié</v>
      </c>
    </row>
    <row r="974" spans="1:9" ht="20.5" customHeight="1" x14ac:dyDescent="0.35">
      <c r="A974" s="1">
        <v>45200.913888888892</v>
      </c>
      <c r="B974" s="5" t="s">
        <v>627</v>
      </c>
      <c r="C974">
        <v>87</v>
      </c>
      <c r="D974" t="s">
        <v>5</v>
      </c>
      <c r="E974" t="str">
        <f>_xlfn.XLOOKUP(CKadeaTelcoLogs_Reseau[[#This Row],[Cell_ID]],'CKadeaTelcoRegistre_Maintenance'!A:A,'CKadeaTelcoRegistre_Maintenance'!B:B,"Non repertorié")</f>
        <v>Sankuru</v>
      </c>
      <c r="F974">
        <f>_xlfn.XLOOKUP(CKadeaTelcoLogs_Reseau[[#This Row],[Cell_ID]],'CKadeaTelcoRegistre_Maintenance'!A:A,'CKadeaTelcoRegistre_Maintenance'!C:C,"Non repertorié")</f>
        <v>3.175935</v>
      </c>
      <c r="G974">
        <f>_xlfn.XLOOKUP(CKadeaTelcoLogs_Reseau[[#This Row],[Cell_ID]],'CKadeaTelcoRegistre_Maintenance'!A:A,'CKadeaTelcoRegistre_Maintenance'!D:D,"Non repertorié")</f>
        <v>16.862832000000001</v>
      </c>
      <c r="H974" t="str">
        <f>_xlfn.XLOOKUP(CKadeaTelcoLogs_Reseau[[#This Row],[Cell_ID]],'CKadeaTelcoRegistre_Maintenance'!A:A,'CKadeaTelcoRegistre_Maintenance'!E:E,"Non repertorié")</f>
        <v>5G</v>
      </c>
      <c r="I974" t="str">
        <f>_xlfn.XLOOKUP(CKadeaTelcoLogs_Reseau[[#This Row],[Cell_ID]],'CKadeaTelcoRegistre_Maintenance'!A:A,'CKadeaTelcoRegistre_Maintenance'!F:F,"Non repertorié")</f>
        <v>Ericsson</v>
      </c>
    </row>
    <row r="975" spans="1:9" ht="20.5" customHeight="1" x14ac:dyDescent="0.35">
      <c r="A975" s="1">
        <v>45226.997916666667</v>
      </c>
      <c r="B975" s="5" t="s">
        <v>628</v>
      </c>
      <c r="C975">
        <v>53</v>
      </c>
      <c r="D975" t="s">
        <v>10</v>
      </c>
      <c r="E975" t="str">
        <f>_xlfn.XLOOKUP(CKadeaTelcoLogs_Reseau[[#This Row],[Cell_ID]],'CKadeaTelcoRegistre_Maintenance'!A:A,'CKadeaTelcoRegistre_Maintenance'!B:B,"Non repertorié")</f>
        <v>Nord-Ubangi</v>
      </c>
      <c r="F975">
        <f>_xlfn.XLOOKUP(CKadeaTelcoLogs_Reseau[[#This Row],[Cell_ID]],'CKadeaTelcoRegistre_Maintenance'!A:A,'CKadeaTelcoRegistre_Maintenance'!C:C,"Non repertorié")</f>
        <v>-7.8373179999999998</v>
      </c>
      <c r="G975">
        <f>_xlfn.XLOOKUP(CKadeaTelcoLogs_Reseau[[#This Row],[Cell_ID]],'CKadeaTelcoRegistre_Maintenance'!A:A,'CKadeaTelcoRegistre_Maintenance'!D:D,"Non repertorié")</f>
        <v>20.527591999999999</v>
      </c>
      <c r="H975" t="str">
        <f>_xlfn.XLOOKUP(CKadeaTelcoLogs_Reseau[[#This Row],[Cell_ID]],'CKadeaTelcoRegistre_Maintenance'!A:A,'CKadeaTelcoRegistre_Maintenance'!E:E,"Non repertorié")</f>
        <v>4G</v>
      </c>
      <c r="I975" t="str">
        <f>_xlfn.XLOOKUP(CKadeaTelcoLogs_Reseau[[#This Row],[Cell_ID]],'CKadeaTelcoRegistre_Maintenance'!A:A,'CKadeaTelcoRegistre_Maintenance'!F:F,"Non repertorié")</f>
        <v>Ericsson</v>
      </c>
    </row>
    <row r="976" spans="1:9" ht="20.5" customHeight="1" x14ac:dyDescent="0.35">
      <c r="A976" s="1">
        <v>45204.665277777778</v>
      </c>
      <c r="B976" s="5" t="s">
        <v>335</v>
      </c>
      <c r="C976">
        <v>56</v>
      </c>
      <c r="D976" t="s">
        <v>5</v>
      </c>
      <c r="E976" t="str">
        <f>_xlfn.XLOOKUP(CKadeaTelcoLogs_Reseau[[#This Row],[Cell_ID]],'CKadeaTelcoRegistre_Maintenance'!A:A,'CKadeaTelcoRegistre_Maintenance'!B:B,"Non repertorié")</f>
        <v>Non repertorié</v>
      </c>
      <c r="F976" t="str">
        <f>_xlfn.XLOOKUP(CKadeaTelcoLogs_Reseau[[#This Row],[Cell_ID]],'CKadeaTelcoRegistre_Maintenance'!A:A,'CKadeaTelcoRegistre_Maintenance'!C:C,"Non repertorié")</f>
        <v>Non repertorié</v>
      </c>
      <c r="G976" t="str">
        <f>_xlfn.XLOOKUP(CKadeaTelcoLogs_Reseau[[#This Row],[Cell_ID]],'CKadeaTelcoRegistre_Maintenance'!A:A,'CKadeaTelcoRegistre_Maintenance'!D:D,"Non repertorié")</f>
        <v>Non repertorié</v>
      </c>
      <c r="H976" t="str">
        <f>_xlfn.XLOOKUP(CKadeaTelcoLogs_Reseau[[#This Row],[Cell_ID]],'CKadeaTelcoRegistre_Maintenance'!A:A,'CKadeaTelcoRegistre_Maintenance'!E:E,"Non repertorié")</f>
        <v>Non repertorié</v>
      </c>
      <c r="I976" t="str">
        <f>_xlfn.XLOOKUP(CKadeaTelcoLogs_Reseau[[#This Row],[Cell_ID]],'CKadeaTelcoRegistre_Maintenance'!A:A,'CKadeaTelcoRegistre_Maintenance'!F:F,"Non repertorié")</f>
        <v>Non repertorié</v>
      </c>
    </row>
    <row r="977" spans="1:9" ht="20.5" customHeight="1" x14ac:dyDescent="0.35">
      <c r="A977" s="1">
        <v>45215.163888888892</v>
      </c>
      <c r="B977" s="5" t="s">
        <v>629</v>
      </c>
      <c r="C977">
        <v>109</v>
      </c>
      <c r="D977" t="s">
        <v>8</v>
      </c>
      <c r="E977" t="str">
        <f>_xlfn.XLOOKUP(CKadeaTelcoLogs_Reseau[[#This Row],[Cell_ID]],'CKadeaTelcoRegistre_Maintenance'!A:A,'CKadeaTelcoRegistre_Maintenance'!B:B,"Non repertorié")</f>
        <v>Non repertorié</v>
      </c>
      <c r="F977" t="str">
        <f>_xlfn.XLOOKUP(CKadeaTelcoLogs_Reseau[[#This Row],[Cell_ID]],'CKadeaTelcoRegistre_Maintenance'!A:A,'CKadeaTelcoRegistre_Maintenance'!C:C,"Non repertorié")</f>
        <v>Non repertorié</v>
      </c>
      <c r="G977" t="str">
        <f>_xlfn.XLOOKUP(CKadeaTelcoLogs_Reseau[[#This Row],[Cell_ID]],'CKadeaTelcoRegistre_Maintenance'!A:A,'CKadeaTelcoRegistre_Maintenance'!D:D,"Non repertorié")</f>
        <v>Non repertorié</v>
      </c>
      <c r="H977" t="str">
        <f>_xlfn.XLOOKUP(CKadeaTelcoLogs_Reseau[[#This Row],[Cell_ID]],'CKadeaTelcoRegistre_Maintenance'!A:A,'CKadeaTelcoRegistre_Maintenance'!E:E,"Non repertorié")</f>
        <v>Non repertorié</v>
      </c>
      <c r="I977" t="str">
        <f>_xlfn.XLOOKUP(CKadeaTelcoLogs_Reseau[[#This Row],[Cell_ID]],'CKadeaTelcoRegistre_Maintenance'!A:A,'CKadeaTelcoRegistre_Maintenance'!F:F,"Non repertorié")</f>
        <v>Non repertorié</v>
      </c>
    </row>
    <row r="978" spans="1:9" ht="20.5" customHeight="1" x14ac:dyDescent="0.35">
      <c r="A978" s="1">
        <v>45213.584722222222</v>
      </c>
      <c r="B978" s="5" t="s">
        <v>630</v>
      </c>
      <c r="C978">
        <v>35</v>
      </c>
      <c r="D978" t="s">
        <v>8</v>
      </c>
      <c r="E978" t="str">
        <f>_xlfn.XLOOKUP(CKadeaTelcoLogs_Reseau[[#This Row],[Cell_ID]],'CKadeaTelcoRegistre_Maintenance'!A:A,'CKadeaTelcoRegistre_Maintenance'!B:B,"Non repertorié")</f>
        <v>Non repertorié</v>
      </c>
      <c r="F978" t="str">
        <f>_xlfn.XLOOKUP(CKadeaTelcoLogs_Reseau[[#This Row],[Cell_ID]],'CKadeaTelcoRegistre_Maintenance'!A:A,'CKadeaTelcoRegistre_Maintenance'!C:C,"Non repertorié")</f>
        <v>Non repertorié</v>
      </c>
      <c r="G978" t="str">
        <f>_xlfn.XLOOKUP(CKadeaTelcoLogs_Reseau[[#This Row],[Cell_ID]],'CKadeaTelcoRegistre_Maintenance'!A:A,'CKadeaTelcoRegistre_Maintenance'!D:D,"Non repertorié")</f>
        <v>Non repertorié</v>
      </c>
      <c r="H978" t="str">
        <f>_xlfn.XLOOKUP(CKadeaTelcoLogs_Reseau[[#This Row],[Cell_ID]],'CKadeaTelcoRegistre_Maintenance'!A:A,'CKadeaTelcoRegistre_Maintenance'!E:E,"Non repertorié")</f>
        <v>Non repertorié</v>
      </c>
      <c r="I978" t="str">
        <f>_xlfn.XLOOKUP(CKadeaTelcoLogs_Reseau[[#This Row],[Cell_ID]],'CKadeaTelcoRegistre_Maintenance'!A:A,'CKadeaTelcoRegistre_Maintenance'!F:F,"Non repertorié")</f>
        <v>Non repertorié</v>
      </c>
    </row>
    <row r="979" spans="1:9" ht="20.5" customHeight="1" x14ac:dyDescent="0.35">
      <c r="A979" s="1">
        <v>45202.361805555556</v>
      </c>
      <c r="B979" s="5" t="s">
        <v>631</v>
      </c>
      <c r="C979">
        <v>15</v>
      </c>
      <c r="D979" t="s">
        <v>8</v>
      </c>
      <c r="E979" t="str">
        <f>_xlfn.XLOOKUP(CKadeaTelcoLogs_Reseau[[#This Row],[Cell_ID]],'CKadeaTelcoRegistre_Maintenance'!A:A,'CKadeaTelcoRegistre_Maintenance'!B:B,"Non repertorié")</f>
        <v>Non repertorié</v>
      </c>
      <c r="F979" t="str">
        <f>_xlfn.XLOOKUP(CKadeaTelcoLogs_Reseau[[#This Row],[Cell_ID]],'CKadeaTelcoRegistre_Maintenance'!A:A,'CKadeaTelcoRegistre_Maintenance'!C:C,"Non repertorié")</f>
        <v>Non repertorié</v>
      </c>
      <c r="G979" t="str">
        <f>_xlfn.XLOOKUP(CKadeaTelcoLogs_Reseau[[#This Row],[Cell_ID]],'CKadeaTelcoRegistre_Maintenance'!A:A,'CKadeaTelcoRegistre_Maintenance'!D:D,"Non repertorié")</f>
        <v>Non repertorié</v>
      </c>
      <c r="H979" t="str">
        <f>_xlfn.XLOOKUP(CKadeaTelcoLogs_Reseau[[#This Row],[Cell_ID]],'CKadeaTelcoRegistre_Maintenance'!A:A,'CKadeaTelcoRegistre_Maintenance'!E:E,"Non repertorié")</f>
        <v>Non repertorié</v>
      </c>
      <c r="I979" t="str">
        <f>_xlfn.XLOOKUP(CKadeaTelcoLogs_Reseau[[#This Row],[Cell_ID]],'CKadeaTelcoRegistre_Maintenance'!A:A,'CKadeaTelcoRegistre_Maintenance'!F:F,"Non repertorié")</f>
        <v>Non repertorié</v>
      </c>
    </row>
    <row r="980" spans="1:9" ht="20.5" customHeight="1" x14ac:dyDescent="0.35">
      <c r="A980" s="1">
        <v>45210.03125</v>
      </c>
      <c r="B980" s="5" t="s">
        <v>337</v>
      </c>
      <c r="C980">
        <v>63</v>
      </c>
      <c r="D980" t="s">
        <v>10</v>
      </c>
      <c r="E980" t="str">
        <f>_xlfn.XLOOKUP(CKadeaTelcoLogs_Reseau[[#This Row],[Cell_ID]],'CKadeaTelcoRegistre_Maintenance'!A:A,'CKadeaTelcoRegistre_Maintenance'!B:B,"Non repertorié")</f>
        <v>Kwango</v>
      </c>
      <c r="F980">
        <f>_xlfn.XLOOKUP(CKadeaTelcoLogs_Reseau[[#This Row],[Cell_ID]],'CKadeaTelcoRegistre_Maintenance'!A:A,'CKadeaTelcoRegistre_Maintenance'!C:C,"Non repertorié")</f>
        <v>-9.0798120000000004</v>
      </c>
      <c r="G980">
        <f>_xlfn.XLOOKUP(CKadeaTelcoLogs_Reseau[[#This Row],[Cell_ID]],'CKadeaTelcoRegistre_Maintenance'!A:A,'CKadeaTelcoRegistre_Maintenance'!D:D,"Non repertorié")</f>
        <v>14.945484</v>
      </c>
      <c r="H980" t="str">
        <f>_xlfn.XLOOKUP(CKadeaTelcoLogs_Reseau[[#This Row],[Cell_ID]],'CKadeaTelcoRegistre_Maintenance'!A:A,'CKadeaTelcoRegistre_Maintenance'!E:E,"Non repertorié")</f>
        <v>5G</v>
      </c>
      <c r="I980" t="str">
        <f>_xlfn.XLOOKUP(CKadeaTelcoLogs_Reseau[[#This Row],[Cell_ID]],'CKadeaTelcoRegistre_Maintenance'!A:A,'CKadeaTelcoRegistre_Maintenance'!F:F,"Non repertorié")</f>
        <v>Ericsson</v>
      </c>
    </row>
    <row r="981" spans="1:9" ht="20.5" customHeight="1" x14ac:dyDescent="0.35">
      <c r="A981" s="1">
        <v>45227.897916666669</v>
      </c>
      <c r="B981" s="5" t="s">
        <v>618</v>
      </c>
      <c r="C981">
        <v>61</v>
      </c>
      <c r="D981" t="s">
        <v>5</v>
      </c>
      <c r="E981" t="str">
        <f>_xlfn.XLOOKUP(CKadeaTelcoLogs_Reseau[[#This Row],[Cell_ID]],'CKadeaTelcoRegistre_Maintenance'!A:A,'CKadeaTelcoRegistre_Maintenance'!B:B,"Non repertorié")</f>
        <v>Kinshasa</v>
      </c>
      <c r="F981">
        <f>_xlfn.XLOOKUP(CKadeaTelcoLogs_Reseau[[#This Row],[Cell_ID]],'CKadeaTelcoRegistre_Maintenance'!A:A,'CKadeaTelcoRegistre_Maintenance'!C:C,"Non repertorié")</f>
        <v>-7.1079169999999996</v>
      </c>
      <c r="G981">
        <f>_xlfn.XLOOKUP(CKadeaTelcoLogs_Reseau[[#This Row],[Cell_ID]],'CKadeaTelcoRegistre_Maintenance'!A:A,'CKadeaTelcoRegistre_Maintenance'!D:D,"Non repertorié")</f>
        <v>13.636272</v>
      </c>
      <c r="H981" t="str">
        <f>_xlfn.XLOOKUP(CKadeaTelcoLogs_Reseau[[#This Row],[Cell_ID]],'CKadeaTelcoRegistre_Maintenance'!A:A,'CKadeaTelcoRegistre_Maintenance'!E:E,"Non repertorié")</f>
        <v>5G</v>
      </c>
      <c r="I981" t="str">
        <f>_xlfn.XLOOKUP(CKadeaTelcoLogs_Reseau[[#This Row],[Cell_ID]],'CKadeaTelcoRegistre_Maintenance'!A:A,'CKadeaTelcoRegistre_Maintenance'!F:F,"Non repertorié")</f>
        <v>Nokia</v>
      </c>
    </row>
    <row r="982" spans="1:9" ht="20.5" customHeight="1" x14ac:dyDescent="0.35">
      <c r="A982" s="1">
        <v>45224.98333333333</v>
      </c>
      <c r="B982" s="5" t="s">
        <v>186</v>
      </c>
      <c r="C982">
        <v>107</v>
      </c>
      <c r="D982" t="s">
        <v>10</v>
      </c>
      <c r="E982" t="str">
        <f>_xlfn.XLOOKUP(CKadeaTelcoLogs_Reseau[[#This Row],[Cell_ID]],'CKadeaTelcoRegistre_Maintenance'!A:A,'CKadeaTelcoRegistre_Maintenance'!B:B,"Non repertorié")</f>
        <v>Mai-Ndombe</v>
      </c>
      <c r="F982">
        <f>_xlfn.XLOOKUP(CKadeaTelcoLogs_Reseau[[#This Row],[Cell_ID]],'CKadeaTelcoRegistre_Maintenance'!A:A,'CKadeaTelcoRegistre_Maintenance'!C:C,"Non repertorié")</f>
        <v>-9.3652280000000001</v>
      </c>
      <c r="G982">
        <f>_xlfn.XLOOKUP(CKadeaTelcoLogs_Reseau[[#This Row],[Cell_ID]],'CKadeaTelcoRegistre_Maintenance'!A:A,'CKadeaTelcoRegistre_Maintenance'!D:D,"Non repertorié")</f>
        <v>18.674116000000001</v>
      </c>
      <c r="H982" t="str">
        <f>_xlfn.XLOOKUP(CKadeaTelcoLogs_Reseau[[#This Row],[Cell_ID]],'CKadeaTelcoRegistre_Maintenance'!A:A,'CKadeaTelcoRegistre_Maintenance'!E:E,"Non repertorié")</f>
        <v>4G</v>
      </c>
      <c r="I982" t="str">
        <f>_xlfn.XLOOKUP(CKadeaTelcoLogs_Reseau[[#This Row],[Cell_ID]],'CKadeaTelcoRegistre_Maintenance'!A:A,'CKadeaTelcoRegistre_Maintenance'!F:F,"Non repertorié")</f>
        <v>Huawei</v>
      </c>
    </row>
    <row r="983" spans="1:9" ht="20.5" customHeight="1" x14ac:dyDescent="0.35">
      <c r="A983" s="1">
        <v>45223.759722222225</v>
      </c>
      <c r="B983" s="5" t="s">
        <v>306</v>
      </c>
      <c r="C983">
        <v>78</v>
      </c>
      <c r="D983" t="s">
        <v>8</v>
      </c>
      <c r="E983" t="str">
        <f>_xlfn.XLOOKUP(CKadeaTelcoLogs_Reseau[[#This Row],[Cell_ID]],'CKadeaTelcoRegistre_Maintenance'!A:A,'CKadeaTelcoRegistre_Maintenance'!B:B,"Non repertorié")</f>
        <v>Mongala</v>
      </c>
      <c r="F983">
        <f>_xlfn.XLOOKUP(CKadeaTelcoLogs_Reseau[[#This Row],[Cell_ID]],'CKadeaTelcoRegistre_Maintenance'!A:A,'CKadeaTelcoRegistre_Maintenance'!C:C,"Non repertorié")</f>
        <v>-5.3762689999999997</v>
      </c>
      <c r="G983">
        <f>_xlfn.XLOOKUP(CKadeaTelcoLogs_Reseau[[#This Row],[Cell_ID]],'CKadeaTelcoRegistre_Maintenance'!A:A,'CKadeaTelcoRegistre_Maintenance'!D:D,"Non repertorié")</f>
        <v>28.189575999999999</v>
      </c>
      <c r="H983" t="str">
        <f>_xlfn.XLOOKUP(CKadeaTelcoLogs_Reseau[[#This Row],[Cell_ID]],'CKadeaTelcoRegistre_Maintenance'!A:A,'CKadeaTelcoRegistre_Maintenance'!E:E,"Non repertorié")</f>
        <v>5G</v>
      </c>
      <c r="I983" t="str">
        <f>_xlfn.XLOOKUP(CKadeaTelcoLogs_Reseau[[#This Row],[Cell_ID]],'CKadeaTelcoRegistre_Maintenance'!A:A,'CKadeaTelcoRegistre_Maintenance'!F:F,"Non repertorié")</f>
        <v>Huawei</v>
      </c>
    </row>
    <row r="984" spans="1:9" ht="20.5" customHeight="1" x14ac:dyDescent="0.35">
      <c r="A984" s="1">
        <v>45230.913194444445</v>
      </c>
      <c r="B984" s="5" t="s">
        <v>409</v>
      </c>
      <c r="C984">
        <v>62</v>
      </c>
      <c r="D984" t="s">
        <v>5</v>
      </c>
      <c r="E984" t="str">
        <f>_xlfn.XLOOKUP(CKadeaTelcoLogs_Reseau[[#This Row],[Cell_ID]],'CKadeaTelcoRegistre_Maintenance'!A:A,'CKadeaTelcoRegistre_Maintenance'!B:B,"Non repertorié")</f>
        <v>Tshuapa</v>
      </c>
      <c r="F984">
        <f>_xlfn.XLOOKUP(CKadeaTelcoLogs_Reseau[[#This Row],[Cell_ID]],'CKadeaTelcoRegistre_Maintenance'!A:A,'CKadeaTelcoRegistre_Maintenance'!C:C,"Non repertorié")</f>
        <v>-1.9540519999999999</v>
      </c>
      <c r="G984">
        <f>_xlfn.XLOOKUP(CKadeaTelcoLogs_Reseau[[#This Row],[Cell_ID]],'CKadeaTelcoRegistre_Maintenance'!A:A,'CKadeaTelcoRegistre_Maintenance'!D:D,"Non repertorié")</f>
        <v>12.667945</v>
      </c>
      <c r="H984" t="str">
        <f>_xlfn.XLOOKUP(CKadeaTelcoLogs_Reseau[[#This Row],[Cell_ID]],'CKadeaTelcoRegistre_Maintenance'!A:A,'CKadeaTelcoRegistre_Maintenance'!E:E,"Non repertorié")</f>
        <v>4G</v>
      </c>
      <c r="I984" t="str">
        <f>_xlfn.XLOOKUP(CKadeaTelcoLogs_Reseau[[#This Row],[Cell_ID]],'CKadeaTelcoRegistre_Maintenance'!A:A,'CKadeaTelcoRegistre_Maintenance'!F:F,"Non repertorié")</f>
        <v>Huawei</v>
      </c>
    </row>
    <row r="985" spans="1:9" ht="20.5" customHeight="1" x14ac:dyDescent="0.35">
      <c r="A985" s="1">
        <v>45210.689583333333</v>
      </c>
      <c r="B985" s="5" t="s">
        <v>278</v>
      </c>
      <c r="C985">
        <v>16</v>
      </c>
      <c r="D985" t="s">
        <v>5</v>
      </c>
      <c r="E985" t="str">
        <f>_xlfn.XLOOKUP(CKadeaTelcoLogs_Reseau[[#This Row],[Cell_ID]],'CKadeaTelcoRegistre_Maintenance'!A:A,'CKadeaTelcoRegistre_Maintenance'!B:B,"Non repertorié")</f>
        <v>Haut-Uele</v>
      </c>
      <c r="F985">
        <f>_xlfn.XLOOKUP(CKadeaTelcoLogs_Reseau[[#This Row],[Cell_ID]],'CKadeaTelcoRegistre_Maintenance'!A:A,'CKadeaTelcoRegistre_Maintenance'!C:C,"Non repertorié")</f>
        <v>-4.869434</v>
      </c>
      <c r="G985">
        <f>_xlfn.XLOOKUP(CKadeaTelcoLogs_Reseau[[#This Row],[Cell_ID]],'CKadeaTelcoRegistre_Maintenance'!A:A,'CKadeaTelcoRegistre_Maintenance'!D:D,"Non repertorié")</f>
        <v>22.326522000000001</v>
      </c>
      <c r="H985" t="str">
        <f>_xlfn.XLOOKUP(CKadeaTelcoLogs_Reseau[[#This Row],[Cell_ID]],'CKadeaTelcoRegistre_Maintenance'!A:A,'CKadeaTelcoRegistre_Maintenance'!E:E,"Non repertorié")</f>
        <v>5G</v>
      </c>
      <c r="I985" t="str">
        <f>_xlfn.XLOOKUP(CKadeaTelcoLogs_Reseau[[#This Row],[Cell_ID]],'CKadeaTelcoRegistre_Maintenance'!A:A,'CKadeaTelcoRegistre_Maintenance'!F:F,"Non repertorié")</f>
        <v>Ericsson</v>
      </c>
    </row>
    <row r="986" spans="1:9" ht="20.5" customHeight="1" x14ac:dyDescent="0.35">
      <c r="A986" s="1">
        <v>45222.943749999999</v>
      </c>
      <c r="B986" s="5" t="s">
        <v>632</v>
      </c>
      <c r="C986">
        <v>114</v>
      </c>
      <c r="D986" t="s">
        <v>5</v>
      </c>
      <c r="E986" t="str">
        <f>_xlfn.XLOOKUP(CKadeaTelcoLogs_Reseau[[#This Row],[Cell_ID]],'CKadeaTelcoRegistre_Maintenance'!A:A,'CKadeaTelcoRegistre_Maintenance'!B:B,"Non repertorié")</f>
        <v>Haut-Lomami</v>
      </c>
      <c r="F986">
        <f>_xlfn.XLOOKUP(CKadeaTelcoLogs_Reseau[[#This Row],[Cell_ID]],'CKadeaTelcoRegistre_Maintenance'!A:A,'CKadeaTelcoRegistre_Maintenance'!C:C,"Non repertorié")</f>
        <v>-9.6407190000000007</v>
      </c>
      <c r="G986">
        <f>_xlfn.XLOOKUP(CKadeaTelcoLogs_Reseau[[#This Row],[Cell_ID]],'CKadeaTelcoRegistre_Maintenance'!A:A,'CKadeaTelcoRegistre_Maintenance'!D:D,"Non repertorié")</f>
        <v>21.336704999999998</v>
      </c>
      <c r="H986" t="str">
        <f>_xlfn.XLOOKUP(CKadeaTelcoLogs_Reseau[[#This Row],[Cell_ID]],'CKadeaTelcoRegistre_Maintenance'!A:A,'CKadeaTelcoRegistre_Maintenance'!E:E,"Non repertorié")</f>
        <v>4G</v>
      </c>
      <c r="I986" t="str">
        <f>_xlfn.XLOOKUP(CKadeaTelcoLogs_Reseau[[#This Row],[Cell_ID]],'CKadeaTelcoRegistre_Maintenance'!A:A,'CKadeaTelcoRegistre_Maintenance'!F:F,"Non repertorié")</f>
        <v>ZTE</v>
      </c>
    </row>
    <row r="987" spans="1:9" ht="20.5" customHeight="1" x14ac:dyDescent="0.35">
      <c r="A987" s="1">
        <v>45203.570833333331</v>
      </c>
      <c r="B987" s="5" t="s">
        <v>633</v>
      </c>
      <c r="C987">
        <v>68</v>
      </c>
      <c r="D987" t="s">
        <v>10</v>
      </c>
      <c r="E987" t="str">
        <f>_xlfn.XLOOKUP(CKadeaTelcoLogs_Reseau[[#This Row],[Cell_ID]],'CKadeaTelcoRegistre_Maintenance'!A:A,'CKadeaTelcoRegistre_Maintenance'!B:B,"Non repertorié")</f>
        <v>Non repertorié</v>
      </c>
      <c r="F987" t="str">
        <f>_xlfn.XLOOKUP(CKadeaTelcoLogs_Reseau[[#This Row],[Cell_ID]],'CKadeaTelcoRegistre_Maintenance'!A:A,'CKadeaTelcoRegistre_Maintenance'!C:C,"Non repertorié")</f>
        <v>Non repertorié</v>
      </c>
      <c r="G987" t="str">
        <f>_xlfn.XLOOKUP(CKadeaTelcoLogs_Reseau[[#This Row],[Cell_ID]],'CKadeaTelcoRegistre_Maintenance'!A:A,'CKadeaTelcoRegistre_Maintenance'!D:D,"Non repertorié")</f>
        <v>Non repertorié</v>
      </c>
      <c r="H987" t="str">
        <f>_xlfn.XLOOKUP(CKadeaTelcoLogs_Reseau[[#This Row],[Cell_ID]],'CKadeaTelcoRegistre_Maintenance'!A:A,'CKadeaTelcoRegistre_Maintenance'!E:E,"Non repertorié")</f>
        <v>Non repertorié</v>
      </c>
      <c r="I987" t="str">
        <f>_xlfn.XLOOKUP(CKadeaTelcoLogs_Reseau[[#This Row],[Cell_ID]],'CKadeaTelcoRegistre_Maintenance'!A:A,'CKadeaTelcoRegistre_Maintenance'!F:F,"Non repertorié")</f>
        <v>Non repertorié</v>
      </c>
    </row>
    <row r="988" spans="1:9" ht="20.5" customHeight="1" x14ac:dyDescent="0.35">
      <c r="A988" s="1">
        <v>45223.3125</v>
      </c>
      <c r="B988" s="5" t="s">
        <v>634</v>
      </c>
      <c r="C988">
        <v>62</v>
      </c>
      <c r="D988" t="s">
        <v>5</v>
      </c>
      <c r="E988" t="str">
        <f>_xlfn.XLOOKUP(CKadeaTelcoLogs_Reseau[[#This Row],[Cell_ID]],'CKadeaTelcoRegistre_Maintenance'!A:A,'CKadeaTelcoRegistre_Maintenance'!B:B,"Non repertorié")</f>
        <v>Non repertorié</v>
      </c>
      <c r="F988" t="str">
        <f>_xlfn.XLOOKUP(CKadeaTelcoLogs_Reseau[[#This Row],[Cell_ID]],'CKadeaTelcoRegistre_Maintenance'!A:A,'CKadeaTelcoRegistre_Maintenance'!C:C,"Non repertorié")</f>
        <v>Non repertorié</v>
      </c>
      <c r="G988" t="str">
        <f>_xlfn.XLOOKUP(CKadeaTelcoLogs_Reseau[[#This Row],[Cell_ID]],'CKadeaTelcoRegistre_Maintenance'!A:A,'CKadeaTelcoRegistre_Maintenance'!D:D,"Non repertorié")</f>
        <v>Non repertorié</v>
      </c>
      <c r="H988" t="str">
        <f>_xlfn.XLOOKUP(CKadeaTelcoLogs_Reseau[[#This Row],[Cell_ID]],'CKadeaTelcoRegistre_Maintenance'!A:A,'CKadeaTelcoRegistre_Maintenance'!E:E,"Non repertorié")</f>
        <v>Non repertorié</v>
      </c>
      <c r="I988" t="str">
        <f>_xlfn.XLOOKUP(CKadeaTelcoLogs_Reseau[[#This Row],[Cell_ID]],'CKadeaTelcoRegistre_Maintenance'!A:A,'CKadeaTelcoRegistre_Maintenance'!F:F,"Non repertorié")</f>
        <v>Non repertorié</v>
      </c>
    </row>
    <row r="989" spans="1:9" ht="20.5" customHeight="1" x14ac:dyDescent="0.35">
      <c r="A989" s="1">
        <v>45211.904861111114</v>
      </c>
      <c r="B989" s="5" t="s">
        <v>209</v>
      </c>
      <c r="C989">
        <v>45</v>
      </c>
      <c r="D989" t="s">
        <v>10</v>
      </c>
      <c r="E989" t="str">
        <f>_xlfn.XLOOKUP(CKadeaTelcoLogs_Reseau[[#This Row],[Cell_ID]],'CKadeaTelcoRegistre_Maintenance'!A:A,'CKadeaTelcoRegistre_Maintenance'!B:B,"Non repertorié")</f>
        <v>Sud-Ubangi</v>
      </c>
      <c r="F989">
        <f>_xlfn.XLOOKUP(CKadeaTelcoLogs_Reseau[[#This Row],[Cell_ID]],'CKadeaTelcoRegistre_Maintenance'!A:A,'CKadeaTelcoRegistre_Maintenance'!C:C,"Non repertorié")</f>
        <v>-12.342053999999999</v>
      </c>
      <c r="G989">
        <f>_xlfn.XLOOKUP(CKadeaTelcoLogs_Reseau[[#This Row],[Cell_ID]],'CKadeaTelcoRegistre_Maintenance'!A:A,'CKadeaTelcoRegistre_Maintenance'!D:D,"Non repertorié")</f>
        <v>18.756862000000002</v>
      </c>
      <c r="H989" t="str">
        <f>_xlfn.XLOOKUP(CKadeaTelcoLogs_Reseau[[#This Row],[Cell_ID]],'CKadeaTelcoRegistre_Maintenance'!A:A,'CKadeaTelcoRegistre_Maintenance'!E:E,"Non repertorié")</f>
        <v>3G</v>
      </c>
      <c r="I989" t="str">
        <f>_xlfn.XLOOKUP(CKadeaTelcoLogs_Reseau[[#This Row],[Cell_ID]],'CKadeaTelcoRegistre_Maintenance'!A:A,'CKadeaTelcoRegistre_Maintenance'!F:F,"Non repertorié")</f>
        <v>Ericsson</v>
      </c>
    </row>
    <row r="990" spans="1:9" ht="20.5" customHeight="1" x14ac:dyDescent="0.35">
      <c r="A990" s="1">
        <v>45220.506249999999</v>
      </c>
      <c r="B990" s="5" t="s">
        <v>442</v>
      </c>
      <c r="C990">
        <v>20</v>
      </c>
      <c r="D990" t="s">
        <v>5</v>
      </c>
      <c r="E990" t="str">
        <f>_xlfn.XLOOKUP(CKadeaTelcoLogs_Reseau[[#This Row],[Cell_ID]],'CKadeaTelcoRegistre_Maintenance'!A:A,'CKadeaTelcoRegistre_Maintenance'!B:B,"Non repertorié")</f>
        <v>Non repertorié</v>
      </c>
      <c r="F990" t="str">
        <f>_xlfn.XLOOKUP(CKadeaTelcoLogs_Reseau[[#This Row],[Cell_ID]],'CKadeaTelcoRegistre_Maintenance'!A:A,'CKadeaTelcoRegistre_Maintenance'!C:C,"Non repertorié")</f>
        <v>Non repertorié</v>
      </c>
      <c r="G990" t="str">
        <f>_xlfn.XLOOKUP(CKadeaTelcoLogs_Reseau[[#This Row],[Cell_ID]],'CKadeaTelcoRegistre_Maintenance'!A:A,'CKadeaTelcoRegistre_Maintenance'!D:D,"Non repertorié")</f>
        <v>Non repertorié</v>
      </c>
      <c r="H990" t="str">
        <f>_xlfn.XLOOKUP(CKadeaTelcoLogs_Reseau[[#This Row],[Cell_ID]],'CKadeaTelcoRegistre_Maintenance'!A:A,'CKadeaTelcoRegistre_Maintenance'!E:E,"Non repertorié")</f>
        <v>Non repertorié</v>
      </c>
      <c r="I990" t="str">
        <f>_xlfn.XLOOKUP(CKadeaTelcoLogs_Reseau[[#This Row],[Cell_ID]],'CKadeaTelcoRegistre_Maintenance'!A:A,'CKadeaTelcoRegistre_Maintenance'!F:F,"Non repertorié")</f>
        <v>Non repertorié</v>
      </c>
    </row>
    <row r="991" spans="1:9" ht="20.5" customHeight="1" x14ac:dyDescent="0.35">
      <c r="A991" s="1">
        <v>45226.747916666667</v>
      </c>
      <c r="B991" s="5" t="s">
        <v>635</v>
      </c>
      <c r="C991">
        <v>68</v>
      </c>
      <c r="D991" t="s">
        <v>8</v>
      </c>
      <c r="E991" t="str">
        <f>_xlfn.XLOOKUP(CKadeaTelcoLogs_Reseau[[#This Row],[Cell_ID]],'CKadeaTelcoRegistre_Maintenance'!A:A,'CKadeaTelcoRegistre_Maintenance'!B:B,"Non repertorié")</f>
        <v>Non repertorié</v>
      </c>
      <c r="F991" t="str">
        <f>_xlfn.XLOOKUP(CKadeaTelcoLogs_Reseau[[#This Row],[Cell_ID]],'CKadeaTelcoRegistre_Maintenance'!A:A,'CKadeaTelcoRegistre_Maintenance'!C:C,"Non repertorié")</f>
        <v>Non repertorié</v>
      </c>
      <c r="G991" t="str">
        <f>_xlfn.XLOOKUP(CKadeaTelcoLogs_Reseau[[#This Row],[Cell_ID]],'CKadeaTelcoRegistre_Maintenance'!A:A,'CKadeaTelcoRegistre_Maintenance'!D:D,"Non repertorié")</f>
        <v>Non repertorié</v>
      </c>
      <c r="H991" t="str">
        <f>_xlfn.XLOOKUP(CKadeaTelcoLogs_Reseau[[#This Row],[Cell_ID]],'CKadeaTelcoRegistre_Maintenance'!A:A,'CKadeaTelcoRegistre_Maintenance'!E:E,"Non repertorié")</f>
        <v>Non repertorié</v>
      </c>
      <c r="I991" t="str">
        <f>_xlfn.XLOOKUP(CKadeaTelcoLogs_Reseau[[#This Row],[Cell_ID]],'CKadeaTelcoRegistre_Maintenance'!A:A,'CKadeaTelcoRegistre_Maintenance'!F:F,"Non repertorié")</f>
        <v>Non repertorié</v>
      </c>
    </row>
    <row r="992" spans="1:9" ht="20.5" customHeight="1" x14ac:dyDescent="0.35">
      <c r="A992" s="1">
        <v>45219.041666666664</v>
      </c>
      <c r="B992" s="5" t="s">
        <v>165</v>
      </c>
      <c r="C992">
        <v>100</v>
      </c>
      <c r="D992" t="s">
        <v>10</v>
      </c>
      <c r="E992" t="str">
        <f>_xlfn.XLOOKUP(CKadeaTelcoLogs_Reseau[[#This Row],[Cell_ID]],'CKadeaTelcoRegistre_Maintenance'!A:A,'CKadeaTelcoRegistre_Maintenance'!B:B,"Non repertorié")</f>
        <v>Non repertorié</v>
      </c>
      <c r="F992" t="str">
        <f>_xlfn.XLOOKUP(CKadeaTelcoLogs_Reseau[[#This Row],[Cell_ID]],'CKadeaTelcoRegistre_Maintenance'!A:A,'CKadeaTelcoRegistre_Maintenance'!C:C,"Non repertorié")</f>
        <v>Non repertorié</v>
      </c>
      <c r="G992" t="str">
        <f>_xlfn.XLOOKUP(CKadeaTelcoLogs_Reseau[[#This Row],[Cell_ID]],'CKadeaTelcoRegistre_Maintenance'!A:A,'CKadeaTelcoRegistre_Maintenance'!D:D,"Non repertorié")</f>
        <v>Non repertorié</v>
      </c>
      <c r="H992" t="str">
        <f>_xlfn.XLOOKUP(CKadeaTelcoLogs_Reseau[[#This Row],[Cell_ID]],'CKadeaTelcoRegistre_Maintenance'!A:A,'CKadeaTelcoRegistre_Maintenance'!E:E,"Non repertorié")</f>
        <v>Non repertorié</v>
      </c>
      <c r="I992" t="str">
        <f>_xlfn.XLOOKUP(CKadeaTelcoLogs_Reseau[[#This Row],[Cell_ID]],'CKadeaTelcoRegistre_Maintenance'!A:A,'CKadeaTelcoRegistre_Maintenance'!F:F,"Non repertorié")</f>
        <v>Non repertorié</v>
      </c>
    </row>
    <row r="993" spans="1:9" ht="20.5" customHeight="1" x14ac:dyDescent="0.35">
      <c r="A993" s="1">
        <v>45203.603472222225</v>
      </c>
      <c r="B993" s="5" t="s">
        <v>636</v>
      </c>
      <c r="C993">
        <v>106</v>
      </c>
      <c r="D993" t="s">
        <v>8</v>
      </c>
      <c r="E993" t="str">
        <f>_xlfn.XLOOKUP(CKadeaTelcoLogs_Reseau[[#This Row],[Cell_ID]],'CKadeaTelcoRegistre_Maintenance'!A:A,'CKadeaTelcoRegistre_Maintenance'!B:B,"Non repertorié")</f>
        <v>Haut-Katanga</v>
      </c>
      <c r="F993">
        <f>_xlfn.XLOOKUP(CKadeaTelcoLogs_Reseau[[#This Row],[Cell_ID]],'CKadeaTelcoRegistre_Maintenance'!A:A,'CKadeaTelcoRegistre_Maintenance'!C:C,"Non repertorié")</f>
        <v>-5.1507670000000001</v>
      </c>
      <c r="G993">
        <f>_xlfn.XLOOKUP(CKadeaTelcoLogs_Reseau[[#This Row],[Cell_ID]],'CKadeaTelcoRegistre_Maintenance'!A:A,'CKadeaTelcoRegistre_Maintenance'!D:D,"Non repertorié")</f>
        <v>28.075324999999999</v>
      </c>
      <c r="H993" t="str">
        <f>_xlfn.XLOOKUP(CKadeaTelcoLogs_Reseau[[#This Row],[Cell_ID]],'CKadeaTelcoRegistre_Maintenance'!A:A,'CKadeaTelcoRegistre_Maintenance'!E:E,"Non repertorié")</f>
        <v>5G</v>
      </c>
      <c r="I993" t="str">
        <f>_xlfn.XLOOKUP(CKadeaTelcoLogs_Reseau[[#This Row],[Cell_ID]],'CKadeaTelcoRegistre_Maintenance'!A:A,'CKadeaTelcoRegistre_Maintenance'!F:F,"Non repertorié")</f>
        <v>Huawei</v>
      </c>
    </row>
    <row r="994" spans="1:9" ht="20.5" customHeight="1" x14ac:dyDescent="0.35">
      <c r="A994" s="1">
        <v>45221.772222222222</v>
      </c>
      <c r="B994" s="5" t="s">
        <v>178</v>
      </c>
      <c r="C994">
        <v>107</v>
      </c>
      <c r="D994" t="s">
        <v>5</v>
      </c>
      <c r="E994" t="str">
        <f>_xlfn.XLOOKUP(CKadeaTelcoLogs_Reseau[[#This Row],[Cell_ID]],'CKadeaTelcoRegistre_Maintenance'!A:A,'CKadeaTelcoRegistre_Maintenance'!B:B,"Non repertorié")</f>
        <v>Kasai-Central</v>
      </c>
      <c r="F994">
        <f>_xlfn.XLOOKUP(CKadeaTelcoLogs_Reseau[[#This Row],[Cell_ID]],'CKadeaTelcoRegistre_Maintenance'!A:A,'CKadeaTelcoRegistre_Maintenance'!C:C,"Non repertorié")</f>
        <v>-4.4451280000000004</v>
      </c>
      <c r="G994">
        <f>_xlfn.XLOOKUP(CKadeaTelcoLogs_Reseau[[#This Row],[Cell_ID]],'CKadeaTelcoRegistre_Maintenance'!A:A,'CKadeaTelcoRegistre_Maintenance'!D:D,"Non repertorié")</f>
        <v>16.536944999999999</v>
      </c>
      <c r="H994" t="str">
        <f>_xlfn.XLOOKUP(CKadeaTelcoLogs_Reseau[[#This Row],[Cell_ID]],'CKadeaTelcoRegistre_Maintenance'!A:A,'CKadeaTelcoRegistre_Maintenance'!E:E,"Non repertorié")</f>
        <v>4G</v>
      </c>
      <c r="I994" t="str">
        <f>_xlfn.XLOOKUP(CKadeaTelcoLogs_Reseau[[#This Row],[Cell_ID]],'CKadeaTelcoRegistre_Maintenance'!A:A,'CKadeaTelcoRegistre_Maintenance'!F:F,"Non repertorié")</f>
        <v>Ericsson</v>
      </c>
    </row>
    <row r="995" spans="1:9" ht="20.5" customHeight="1" x14ac:dyDescent="0.35">
      <c r="A995" s="1">
        <v>45204.625</v>
      </c>
      <c r="B995" s="5" t="s">
        <v>637</v>
      </c>
      <c r="C995">
        <v>94</v>
      </c>
      <c r="D995" t="s">
        <v>10</v>
      </c>
      <c r="E995" t="str">
        <f>_xlfn.XLOOKUP(CKadeaTelcoLogs_Reseau[[#This Row],[Cell_ID]],'CKadeaTelcoRegistre_Maintenance'!A:A,'CKadeaTelcoRegistre_Maintenance'!B:B,"Non repertorié")</f>
        <v>Bas-Uele</v>
      </c>
      <c r="F995">
        <f>_xlfn.XLOOKUP(CKadeaTelcoLogs_Reseau[[#This Row],[Cell_ID]],'CKadeaTelcoRegistre_Maintenance'!A:A,'CKadeaTelcoRegistre_Maintenance'!C:C,"Non repertorié")</f>
        <v>-1.6893210000000001</v>
      </c>
      <c r="G995">
        <f>_xlfn.XLOOKUP(CKadeaTelcoLogs_Reseau[[#This Row],[Cell_ID]],'CKadeaTelcoRegistre_Maintenance'!A:A,'CKadeaTelcoRegistre_Maintenance'!D:D,"Non repertorié")</f>
        <v>30.446543999999999</v>
      </c>
      <c r="H995" t="str">
        <f>_xlfn.XLOOKUP(CKadeaTelcoLogs_Reseau[[#This Row],[Cell_ID]],'CKadeaTelcoRegistre_Maintenance'!A:A,'CKadeaTelcoRegistre_Maintenance'!E:E,"Non repertorié")</f>
        <v>4G</v>
      </c>
      <c r="I995" t="str">
        <f>_xlfn.XLOOKUP(CKadeaTelcoLogs_Reseau[[#This Row],[Cell_ID]],'CKadeaTelcoRegistre_Maintenance'!A:A,'CKadeaTelcoRegistre_Maintenance'!F:F,"Non repertorié")</f>
        <v>Huawei</v>
      </c>
    </row>
    <row r="996" spans="1:9" ht="20.5" customHeight="1" x14ac:dyDescent="0.35">
      <c r="A996" s="1">
        <v>45216.960416666669</v>
      </c>
      <c r="B996" s="5" t="s">
        <v>638</v>
      </c>
      <c r="C996">
        <v>41</v>
      </c>
      <c r="D996" t="s">
        <v>8</v>
      </c>
      <c r="E996" t="str">
        <f>_xlfn.XLOOKUP(CKadeaTelcoLogs_Reseau[[#This Row],[Cell_ID]],'CKadeaTelcoRegistre_Maintenance'!A:A,'CKadeaTelcoRegistre_Maintenance'!B:B,"Non repertorié")</f>
        <v>Mai-Ndombe</v>
      </c>
      <c r="F996">
        <f>_xlfn.XLOOKUP(CKadeaTelcoLogs_Reseau[[#This Row],[Cell_ID]],'CKadeaTelcoRegistre_Maintenance'!A:A,'CKadeaTelcoRegistre_Maintenance'!C:C,"Non repertorié")</f>
        <v>-7.5641280000000002</v>
      </c>
      <c r="G996">
        <f>_xlfn.XLOOKUP(CKadeaTelcoLogs_Reseau[[#This Row],[Cell_ID]],'CKadeaTelcoRegistre_Maintenance'!A:A,'CKadeaTelcoRegistre_Maintenance'!D:D,"Non repertorié")</f>
        <v>18.129529999999999</v>
      </c>
      <c r="H996" t="str">
        <f>_xlfn.XLOOKUP(CKadeaTelcoLogs_Reseau[[#This Row],[Cell_ID]],'CKadeaTelcoRegistre_Maintenance'!A:A,'CKadeaTelcoRegistre_Maintenance'!E:E,"Non repertorié")</f>
        <v>3G</v>
      </c>
      <c r="I996" t="str">
        <f>_xlfn.XLOOKUP(CKadeaTelcoLogs_Reseau[[#This Row],[Cell_ID]],'CKadeaTelcoRegistre_Maintenance'!A:A,'CKadeaTelcoRegistre_Maintenance'!F:F,"Non repertorié")</f>
        <v>Huawei</v>
      </c>
    </row>
    <row r="997" spans="1:9" ht="20.5" customHeight="1" x14ac:dyDescent="0.35">
      <c r="A997" s="1">
        <v>45217.578472222223</v>
      </c>
      <c r="B997" s="5" t="s">
        <v>639</v>
      </c>
      <c r="C997">
        <v>93</v>
      </c>
      <c r="D997" t="s">
        <v>8</v>
      </c>
      <c r="E997" t="str">
        <f>_xlfn.XLOOKUP(CKadeaTelcoLogs_Reseau[[#This Row],[Cell_ID]],'CKadeaTelcoRegistre_Maintenance'!A:A,'CKadeaTelcoRegistre_Maintenance'!B:B,"Non repertorié")</f>
        <v>Kasai-Central</v>
      </c>
      <c r="F997">
        <f>_xlfn.XLOOKUP(CKadeaTelcoLogs_Reseau[[#This Row],[Cell_ID]],'CKadeaTelcoRegistre_Maintenance'!A:A,'CKadeaTelcoRegistre_Maintenance'!C:C,"Non repertorié")</f>
        <v>-10.735106</v>
      </c>
      <c r="G997">
        <f>_xlfn.XLOOKUP(CKadeaTelcoLogs_Reseau[[#This Row],[Cell_ID]],'CKadeaTelcoRegistre_Maintenance'!A:A,'CKadeaTelcoRegistre_Maintenance'!D:D,"Non repertorié")</f>
        <v>27.868673999999999</v>
      </c>
      <c r="H997" t="str">
        <f>_xlfn.XLOOKUP(CKadeaTelcoLogs_Reseau[[#This Row],[Cell_ID]],'CKadeaTelcoRegistre_Maintenance'!A:A,'CKadeaTelcoRegistre_Maintenance'!E:E,"Non repertorié")</f>
        <v>3G</v>
      </c>
      <c r="I997" t="str">
        <f>_xlfn.XLOOKUP(CKadeaTelcoLogs_Reseau[[#This Row],[Cell_ID]],'CKadeaTelcoRegistre_Maintenance'!A:A,'CKadeaTelcoRegistre_Maintenance'!F:F,"Non repertorié")</f>
        <v>Ericsson</v>
      </c>
    </row>
    <row r="998" spans="1:9" ht="20.5" customHeight="1" x14ac:dyDescent="0.35">
      <c r="A998" s="1">
        <v>45218.665972222225</v>
      </c>
      <c r="B998" s="5" t="s">
        <v>640</v>
      </c>
      <c r="C998">
        <v>90</v>
      </c>
      <c r="D998" t="s">
        <v>10</v>
      </c>
      <c r="E998" t="str">
        <f>_xlfn.XLOOKUP(CKadeaTelcoLogs_Reseau[[#This Row],[Cell_ID]],'CKadeaTelcoRegistre_Maintenance'!A:A,'CKadeaTelcoRegistre_Maintenance'!B:B,"Non repertorié")</f>
        <v>Non repertorié</v>
      </c>
      <c r="F998" t="str">
        <f>_xlfn.XLOOKUP(CKadeaTelcoLogs_Reseau[[#This Row],[Cell_ID]],'CKadeaTelcoRegistre_Maintenance'!A:A,'CKadeaTelcoRegistre_Maintenance'!C:C,"Non repertorié")</f>
        <v>Non repertorié</v>
      </c>
      <c r="G998" t="str">
        <f>_xlfn.XLOOKUP(CKadeaTelcoLogs_Reseau[[#This Row],[Cell_ID]],'CKadeaTelcoRegistre_Maintenance'!A:A,'CKadeaTelcoRegistre_Maintenance'!D:D,"Non repertorié")</f>
        <v>Non repertorié</v>
      </c>
      <c r="H998" t="str">
        <f>_xlfn.XLOOKUP(CKadeaTelcoLogs_Reseau[[#This Row],[Cell_ID]],'CKadeaTelcoRegistre_Maintenance'!A:A,'CKadeaTelcoRegistre_Maintenance'!E:E,"Non repertorié")</f>
        <v>Non repertorié</v>
      </c>
      <c r="I998" t="str">
        <f>_xlfn.XLOOKUP(CKadeaTelcoLogs_Reseau[[#This Row],[Cell_ID]],'CKadeaTelcoRegistre_Maintenance'!A:A,'CKadeaTelcoRegistre_Maintenance'!F:F,"Non repertorié")</f>
        <v>Non repertorié</v>
      </c>
    </row>
    <row r="999" spans="1:9" ht="20.5" customHeight="1" x14ac:dyDescent="0.35">
      <c r="A999" s="1">
        <v>45216.238888888889</v>
      </c>
      <c r="B999" s="5" t="s">
        <v>641</v>
      </c>
      <c r="C999">
        <v>11</v>
      </c>
      <c r="D999" t="s">
        <v>5</v>
      </c>
      <c r="E999" t="str">
        <f>_xlfn.XLOOKUP(CKadeaTelcoLogs_Reseau[[#This Row],[Cell_ID]],'CKadeaTelcoRegistre_Maintenance'!A:A,'CKadeaTelcoRegistre_Maintenance'!B:B,"Non repertorié")</f>
        <v>Non repertorié</v>
      </c>
      <c r="F999" t="str">
        <f>_xlfn.XLOOKUP(CKadeaTelcoLogs_Reseau[[#This Row],[Cell_ID]],'CKadeaTelcoRegistre_Maintenance'!A:A,'CKadeaTelcoRegistre_Maintenance'!C:C,"Non repertorié")</f>
        <v>Non repertorié</v>
      </c>
      <c r="G999" t="str">
        <f>_xlfn.XLOOKUP(CKadeaTelcoLogs_Reseau[[#This Row],[Cell_ID]],'CKadeaTelcoRegistre_Maintenance'!A:A,'CKadeaTelcoRegistre_Maintenance'!D:D,"Non repertorié")</f>
        <v>Non repertorié</v>
      </c>
      <c r="H999" t="str">
        <f>_xlfn.XLOOKUP(CKadeaTelcoLogs_Reseau[[#This Row],[Cell_ID]],'CKadeaTelcoRegistre_Maintenance'!A:A,'CKadeaTelcoRegistre_Maintenance'!E:E,"Non repertorié")</f>
        <v>Non repertorié</v>
      </c>
      <c r="I999" t="str">
        <f>_xlfn.XLOOKUP(CKadeaTelcoLogs_Reseau[[#This Row],[Cell_ID]],'CKadeaTelcoRegistre_Maintenance'!A:A,'CKadeaTelcoRegistre_Maintenance'!F:F,"Non repertorié")</f>
        <v>Non repertorié</v>
      </c>
    </row>
    <row r="1000" spans="1:9" ht="20.5" customHeight="1" x14ac:dyDescent="0.35">
      <c r="A1000" s="1">
        <v>45218.240277777775</v>
      </c>
      <c r="B1000" s="5" t="s">
        <v>137</v>
      </c>
      <c r="C1000">
        <v>53</v>
      </c>
      <c r="D1000" t="s">
        <v>10</v>
      </c>
      <c r="E1000" t="str">
        <f>_xlfn.XLOOKUP(CKadeaTelcoLogs_Reseau[[#This Row],[Cell_ID]],'CKadeaTelcoRegistre_Maintenance'!A:A,'CKadeaTelcoRegistre_Maintenance'!B:B,"Non repertorié")</f>
        <v>Non repertorié</v>
      </c>
      <c r="F1000" t="str">
        <f>_xlfn.XLOOKUP(CKadeaTelcoLogs_Reseau[[#This Row],[Cell_ID]],'CKadeaTelcoRegistre_Maintenance'!A:A,'CKadeaTelcoRegistre_Maintenance'!C:C,"Non repertorié")</f>
        <v>Non repertorié</v>
      </c>
      <c r="G1000" t="str">
        <f>_xlfn.XLOOKUP(CKadeaTelcoLogs_Reseau[[#This Row],[Cell_ID]],'CKadeaTelcoRegistre_Maintenance'!A:A,'CKadeaTelcoRegistre_Maintenance'!D:D,"Non repertorié")</f>
        <v>Non repertorié</v>
      </c>
      <c r="H1000" t="str">
        <f>_xlfn.XLOOKUP(CKadeaTelcoLogs_Reseau[[#This Row],[Cell_ID]],'CKadeaTelcoRegistre_Maintenance'!A:A,'CKadeaTelcoRegistre_Maintenance'!E:E,"Non repertorié")</f>
        <v>Non repertorié</v>
      </c>
      <c r="I1000" t="str">
        <f>_xlfn.XLOOKUP(CKadeaTelcoLogs_Reseau[[#This Row],[Cell_ID]],'CKadeaTelcoRegistre_Maintenance'!A:A,'CKadeaTelcoRegistre_Maintenance'!F:F,"Non repertorié")</f>
        <v>Non repertorié</v>
      </c>
    </row>
    <row r="1001" spans="1:9" ht="20.5" customHeight="1" x14ac:dyDescent="0.35">
      <c r="A1001" s="1">
        <v>45226.17083333333</v>
      </c>
      <c r="B1001" s="5" t="s">
        <v>54</v>
      </c>
      <c r="C1001">
        <v>54</v>
      </c>
      <c r="D1001" t="s">
        <v>5</v>
      </c>
      <c r="E1001" t="str">
        <f>_xlfn.XLOOKUP(CKadeaTelcoLogs_Reseau[[#This Row],[Cell_ID]],'CKadeaTelcoRegistre_Maintenance'!A:A,'CKadeaTelcoRegistre_Maintenance'!B:B,"Non repertorié")</f>
        <v>Tshuapa</v>
      </c>
      <c r="F1001">
        <f>_xlfn.XLOOKUP(CKadeaTelcoLogs_Reseau[[#This Row],[Cell_ID]],'CKadeaTelcoRegistre_Maintenance'!A:A,'CKadeaTelcoRegistre_Maintenance'!C:C,"Non repertorié")</f>
        <v>-5.1030600000000002</v>
      </c>
      <c r="G1001">
        <f>_xlfn.XLOOKUP(CKadeaTelcoLogs_Reseau[[#This Row],[Cell_ID]],'CKadeaTelcoRegistre_Maintenance'!A:A,'CKadeaTelcoRegistre_Maintenance'!D:D,"Non repertorié")</f>
        <v>22.849231</v>
      </c>
      <c r="H1001" t="str">
        <f>_xlfn.XLOOKUP(CKadeaTelcoLogs_Reseau[[#This Row],[Cell_ID]],'CKadeaTelcoRegistre_Maintenance'!A:A,'CKadeaTelcoRegistre_Maintenance'!E:E,"Non repertorié")</f>
        <v>5G</v>
      </c>
      <c r="I1001" t="str">
        <f>_xlfn.XLOOKUP(CKadeaTelcoLogs_Reseau[[#This Row],[Cell_ID]],'CKadeaTelcoRegistre_Maintenance'!A:A,'CKadeaTelcoRegistre_Maintenance'!F:F,"Non repertorié")</f>
        <v>ZTE</v>
      </c>
    </row>
    <row r="1002" spans="1:9" ht="20.5" customHeight="1" x14ac:dyDescent="0.35">
      <c r="A1002" s="1">
        <v>45212.901388888888</v>
      </c>
      <c r="B1002" s="5" t="s">
        <v>68</v>
      </c>
      <c r="C1002">
        <v>58</v>
      </c>
      <c r="D1002" t="s">
        <v>5</v>
      </c>
      <c r="E1002" t="str">
        <f>_xlfn.XLOOKUP(CKadeaTelcoLogs_Reseau[[#This Row],[Cell_ID]],'CKadeaTelcoRegistre_Maintenance'!A:A,'CKadeaTelcoRegistre_Maintenance'!B:B,"Non repertorié")</f>
        <v>Kwango</v>
      </c>
      <c r="F1002">
        <f>_xlfn.XLOOKUP(CKadeaTelcoLogs_Reseau[[#This Row],[Cell_ID]],'CKadeaTelcoRegistre_Maintenance'!A:A,'CKadeaTelcoRegistre_Maintenance'!C:C,"Non repertorié")</f>
        <v>-10.963041</v>
      </c>
      <c r="G1002">
        <f>_xlfn.XLOOKUP(CKadeaTelcoLogs_Reseau[[#This Row],[Cell_ID]],'CKadeaTelcoRegistre_Maintenance'!A:A,'CKadeaTelcoRegistre_Maintenance'!D:D,"Non repertorié")</f>
        <v>12.269857</v>
      </c>
      <c r="H1002" t="str">
        <f>_xlfn.XLOOKUP(CKadeaTelcoLogs_Reseau[[#This Row],[Cell_ID]],'CKadeaTelcoRegistre_Maintenance'!A:A,'CKadeaTelcoRegistre_Maintenance'!E:E,"Non repertorié")</f>
        <v>4G</v>
      </c>
      <c r="I1002" t="str">
        <f>_xlfn.XLOOKUP(CKadeaTelcoLogs_Reseau[[#This Row],[Cell_ID]],'CKadeaTelcoRegistre_Maintenance'!A:A,'CKadeaTelcoRegistre_Maintenance'!F:F,"Non repertorié")</f>
        <v>Huawei</v>
      </c>
    </row>
    <row r="1003" spans="1:9" ht="20.5" customHeight="1" x14ac:dyDescent="0.35">
      <c r="A1003" s="1">
        <v>45219.438888888886</v>
      </c>
      <c r="B1003" s="5" t="s">
        <v>642</v>
      </c>
      <c r="C1003">
        <v>105</v>
      </c>
      <c r="D1003" t="s">
        <v>8</v>
      </c>
      <c r="E1003" t="str">
        <f>_xlfn.XLOOKUP(CKadeaTelcoLogs_Reseau[[#This Row],[Cell_ID]],'CKadeaTelcoRegistre_Maintenance'!A:A,'CKadeaTelcoRegistre_Maintenance'!B:B,"Non repertorié")</f>
        <v>Sud-Ubangi</v>
      </c>
      <c r="F1003">
        <f>_xlfn.XLOOKUP(CKadeaTelcoLogs_Reseau[[#This Row],[Cell_ID]],'CKadeaTelcoRegistre_Maintenance'!A:A,'CKadeaTelcoRegistre_Maintenance'!C:C,"Non repertorié")</f>
        <v>-0.54908599999999996</v>
      </c>
      <c r="G1003">
        <f>_xlfn.XLOOKUP(CKadeaTelcoLogs_Reseau[[#This Row],[Cell_ID]],'CKadeaTelcoRegistre_Maintenance'!A:A,'CKadeaTelcoRegistre_Maintenance'!D:D,"Non repertorié")</f>
        <v>14.816867</v>
      </c>
      <c r="H1003" t="str">
        <f>_xlfn.XLOOKUP(CKadeaTelcoLogs_Reseau[[#This Row],[Cell_ID]],'CKadeaTelcoRegistre_Maintenance'!A:A,'CKadeaTelcoRegistre_Maintenance'!E:E,"Non repertorié")</f>
        <v>5G</v>
      </c>
      <c r="I1003" t="str">
        <f>_xlfn.XLOOKUP(CKadeaTelcoLogs_Reseau[[#This Row],[Cell_ID]],'CKadeaTelcoRegistre_Maintenance'!A:A,'CKadeaTelcoRegistre_Maintenance'!F:F,"Non repertorié")</f>
        <v>ZTE</v>
      </c>
    </row>
    <row r="1004" spans="1:9" ht="20.5" customHeight="1" x14ac:dyDescent="0.35">
      <c r="A1004" s="1">
        <v>45228.518055555556</v>
      </c>
      <c r="B1004" s="5" t="s">
        <v>587</v>
      </c>
      <c r="C1004">
        <v>92</v>
      </c>
      <c r="D1004" t="s">
        <v>10</v>
      </c>
      <c r="E1004" t="str">
        <f>_xlfn.XLOOKUP(CKadeaTelcoLogs_Reseau[[#This Row],[Cell_ID]],'CKadeaTelcoRegistre_Maintenance'!A:A,'CKadeaTelcoRegistre_Maintenance'!B:B,"Non repertorié")</f>
        <v>Non repertorié</v>
      </c>
      <c r="F1004" t="str">
        <f>_xlfn.XLOOKUP(CKadeaTelcoLogs_Reseau[[#This Row],[Cell_ID]],'CKadeaTelcoRegistre_Maintenance'!A:A,'CKadeaTelcoRegistre_Maintenance'!C:C,"Non repertorié")</f>
        <v>Non repertorié</v>
      </c>
      <c r="G1004" t="str">
        <f>_xlfn.XLOOKUP(CKadeaTelcoLogs_Reseau[[#This Row],[Cell_ID]],'CKadeaTelcoRegistre_Maintenance'!A:A,'CKadeaTelcoRegistre_Maintenance'!D:D,"Non repertorié")</f>
        <v>Non repertorié</v>
      </c>
      <c r="H1004" t="str">
        <f>_xlfn.XLOOKUP(CKadeaTelcoLogs_Reseau[[#This Row],[Cell_ID]],'CKadeaTelcoRegistre_Maintenance'!A:A,'CKadeaTelcoRegistre_Maintenance'!E:E,"Non repertorié")</f>
        <v>Non repertorié</v>
      </c>
      <c r="I1004" t="str">
        <f>_xlfn.XLOOKUP(CKadeaTelcoLogs_Reseau[[#This Row],[Cell_ID]],'CKadeaTelcoRegistre_Maintenance'!A:A,'CKadeaTelcoRegistre_Maintenance'!F:F,"Non repertorié")</f>
        <v>Non repertorié</v>
      </c>
    </row>
    <row r="1005" spans="1:9" ht="20.5" customHeight="1" x14ac:dyDescent="0.35">
      <c r="A1005" s="1">
        <v>45219.95</v>
      </c>
      <c r="B1005" s="5" t="s">
        <v>59</v>
      </c>
      <c r="C1005">
        <v>45</v>
      </c>
      <c r="D1005" t="s">
        <v>10</v>
      </c>
      <c r="E1005" t="str">
        <f>_xlfn.XLOOKUP(CKadeaTelcoLogs_Reseau[[#This Row],[Cell_ID]],'CKadeaTelcoRegistre_Maintenance'!A:A,'CKadeaTelcoRegistre_Maintenance'!B:B,"Non repertorié")</f>
        <v>Non repertorié</v>
      </c>
      <c r="F1005" t="str">
        <f>_xlfn.XLOOKUP(CKadeaTelcoLogs_Reseau[[#This Row],[Cell_ID]],'CKadeaTelcoRegistre_Maintenance'!A:A,'CKadeaTelcoRegistre_Maintenance'!C:C,"Non repertorié")</f>
        <v>Non repertorié</v>
      </c>
      <c r="G1005" t="str">
        <f>_xlfn.XLOOKUP(CKadeaTelcoLogs_Reseau[[#This Row],[Cell_ID]],'CKadeaTelcoRegistre_Maintenance'!A:A,'CKadeaTelcoRegistre_Maintenance'!D:D,"Non repertorié")</f>
        <v>Non repertorié</v>
      </c>
      <c r="H1005" t="str">
        <f>_xlfn.XLOOKUP(CKadeaTelcoLogs_Reseau[[#This Row],[Cell_ID]],'CKadeaTelcoRegistre_Maintenance'!A:A,'CKadeaTelcoRegistre_Maintenance'!E:E,"Non repertorié")</f>
        <v>Non repertorié</v>
      </c>
      <c r="I1005" t="str">
        <f>_xlfn.XLOOKUP(CKadeaTelcoLogs_Reseau[[#This Row],[Cell_ID]],'CKadeaTelcoRegistre_Maintenance'!A:A,'CKadeaTelcoRegistre_Maintenance'!F:F,"Non repertorié")</f>
        <v>Non repertorié</v>
      </c>
    </row>
    <row r="1006" spans="1:9" ht="20.5" customHeight="1" x14ac:dyDescent="0.35">
      <c r="A1006" s="1">
        <v>45207.350694444445</v>
      </c>
      <c r="B1006" s="5" t="s">
        <v>643</v>
      </c>
      <c r="C1006">
        <v>75</v>
      </c>
      <c r="D1006" t="s">
        <v>10</v>
      </c>
      <c r="E1006" t="str">
        <f>_xlfn.XLOOKUP(CKadeaTelcoLogs_Reseau[[#This Row],[Cell_ID]],'CKadeaTelcoRegistre_Maintenance'!A:A,'CKadeaTelcoRegistre_Maintenance'!B:B,"Non repertorié")</f>
        <v>Non repertorié</v>
      </c>
      <c r="F1006" t="str">
        <f>_xlfn.XLOOKUP(CKadeaTelcoLogs_Reseau[[#This Row],[Cell_ID]],'CKadeaTelcoRegistre_Maintenance'!A:A,'CKadeaTelcoRegistre_Maintenance'!C:C,"Non repertorié")</f>
        <v>Non repertorié</v>
      </c>
      <c r="G1006" t="str">
        <f>_xlfn.XLOOKUP(CKadeaTelcoLogs_Reseau[[#This Row],[Cell_ID]],'CKadeaTelcoRegistre_Maintenance'!A:A,'CKadeaTelcoRegistre_Maintenance'!D:D,"Non repertorié")</f>
        <v>Non repertorié</v>
      </c>
      <c r="H1006" t="str">
        <f>_xlfn.XLOOKUP(CKadeaTelcoLogs_Reseau[[#This Row],[Cell_ID]],'CKadeaTelcoRegistre_Maintenance'!A:A,'CKadeaTelcoRegistre_Maintenance'!E:E,"Non repertorié")</f>
        <v>Non repertorié</v>
      </c>
      <c r="I1006" t="str">
        <f>_xlfn.XLOOKUP(CKadeaTelcoLogs_Reseau[[#This Row],[Cell_ID]],'CKadeaTelcoRegistre_Maintenance'!A:A,'CKadeaTelcoRegistre_Maintenance'!F:F,"Non repertorié")</f>
        <v>Non repertorié</v>
      </c>
    </row>
    <row r="1007" spans="1:9" ht="20.5" customHeight="1" x14ac:dyDescent="0.35">
      <c r="A1007" s="1">
        <v>45230.429166666669</v>
      </c>
      <c r="B1007" s="5" t="s">
        <v>387</v>
      </c>
      <c r="C1007">
        <v>11</v>
      </c>
      <c r="D1007" t="s">
        <v>10</v>
      </c>
      <c r="E1007" t="str">
        <f>_xlfn.XLOOKUP(CKadeaTelcoLogs_Reseau[[#This Row],[Cell_ID]],'CKadeaTelcoRegistre_Maintenance'!A:A,'CKadeaTelcoRegistre_Maintenance'!B:B,"Non repertorié")</f>
        <v>Bas-Uele</v>
      </c>
      <c r="F1007">
        <f>_xlfn.XLOOKUP(CKadeaTelcoLogs_Reseau[[#This Row],[Cell_ID]],'CKadeaTelcoRegistre_Maintenance'!A:A,'CKadeaTelcoRegistre_Maintenance'!C:C,"Non repertorié")</f>
        <v>-2.8532869999999999</v>
      </c>
      <c r="G1007">
        <f>_xlfn.XLOOKUP(CKadeaTelcoLogs_Reseau[[#This Row],[Cell_ID]],'CKadeaTelcoRegistre_Maintenance'!A:A,'CKadeaTelcoRegistre_Maintenance'!D:D,"Non repertorié")</f>
        <v>22.117896000000002</v>
      </c>
      <c r="H1007" t="str">
        <f>_xlfn.XLOOKUP(CKadeaTelcoLogs_Reseau[[#This Row],[Cell_ID]],'CKadeaTelcoRegistre_Maintenance'!A:A,'CKadeaTelcoRegistre_Maintenance'!E:E,"Non repertorié")</f>
        <v>5G</v>
      </c>
      <c r="I1007" t="str">
        <f>_xlfn.XLOOKUP(CKadeaTelcoLogs_Reseau[[#This Row],[Cell_ID]],'CKadeaTelcoRegistre_Maintenance'!A:A,'CKadeaTelcoRegistre_Maintenance'!F:F,"Non repertorié")</f>
        <v>Huawei</v>
      </c>
    </row>
    <row r="1008" spans="1:9" ht="20.5" customHeight="1" x14ac:dyDescent="0.35">
      <c r="A1008" s="1">
        <v>45214.172222222223</v>
      </c>
      <c r="B1008" s="5" t="s">
        <v>171</v>
      </c>
      <c r="C1008">
        <v>6</v>
      </c>
      <c r="D1008" t="s">
        <v>5</v>
      </c>
      <c r="E1008" t="str">
        <f>_xlfn.XLOOKUP(CKadeaTelcoLogs_Reseau[[#This Row],[Cell_ID]],'CKadeaTelcoRegistre_Maintenance'!A:A,'CKadeaTelcoRegistre_Maintenance'!B:B,"Non repertorié")</f>
        <v>Bas-Uele</v>
      </c>
      <c r="F1008">
        <f>_xlfn.XLOOKUP(CKadeaTelcoLogs_Reseau[[#This Row],[Cell_ID]],'CKadeaTelcoRegistre_Maintenance'!A:A,'CKadeaTelcoRegistre_Maintenance'!C:C,"Non repertorié")</f>
        <v>-3.6945459999999999</v>
      </c>
      <c r="G1008">
        <f>_xlfn.XLOOKUP(CKadeaTelcoLogs_Reseau[[#This Row],[Cell_ID]],'CKadeaTelcoRegistre_Maintenance'!A:A,'CKadeaTelcoRegistre_Maintenance'!D:D,"Non repertorié")</f>
        <v>16.809108999999999</v>
      </c>
      <c r="H1008" t="str">
        <f>_xlfn.XLOOKUP(CKadeaTelcoLogs_Reseau[[#This Row],[Cell_ID]],'CKadeaTelcoRegistre_Maintenance'!A:A,'CKadeaTelcoRegistre_Maintenance'!E:E,"Non repertorié")</f>
        <v>5G</v>
      </c>
      <c r="I1008" t="str">
        <f>_xlfn.XLOOKUP(CKadeaTelcoLogs_Reseau[[#This Row],[Cell_ID]],'CKadeaTelcoRegistre_Maintenance'!A:A,'CKadeaTelcoRegistre_Maintenance'!F:F,"Non repertorié")</f>
        <v>ZTE</v>
      </c>
    </row>
    <row r="1009" spans="1:9" ht="20.5" customHeight="1" x14ac:dyDescent="0.35">
      <c r="A1009" s="1">
        <v>45213.822222222225</v>
      </c>
      <c r="B1009" s="5" t="s">
        <v>644</v>
      </c>
      <c r="C1009">
        <v>100</v>
      </c>
      <c r="D1009" t="s">
        <v>8</v>
      </c>
      <c r="E1009" t="str">
        <f>_xlfn.XLOOKUP(CKadeaTelcoLogs_Reseau[[#This Row],[Cell_ID]],'CKadeaTelcoRegistre_Maintenance'!A:A,'CKadeaTelcoRegistre_Maintenance'!B:B,"Non repertorié")</f>
        <v>Non repertorié</v>
      </c>
      <c r="F1009" t="str">
        <f>_xlfn.XLOOKUP(CKadeaTelcoLogs_Reseau[[#This Row],[Cell_ID]],'CKadeaTelcoRegistre_Maintenance'!A:A,'CKadeaTelcoRegistre_Maintenance'!C:C,"Non repertorié")</f>
        <v>Non repertorié</v>
      </c>
      <c r="G1009" t="str">
        <f>_xlfn.XLOOKUP(CKadeaTelcoLogs_Reseau[[#This Row],[Cell_ID]],'CKadeaTelcoRegistre_Maintenance'!A:A,'CKadeaTelcoRegistre_Maintenance'!D:D,"Non repertorié")</f>
        <v>Non repertorié</v>
      </c>
      <c r="H1009" t="str">
        <f>_xlfn.XLOOKUP(CKadeaTelcoLogs_Reseau[[#This Row],[Cell_ID]],'CKadeaTelcoRegistre_Maintenance'!A:A,'CKadeaTelcoRegistre_Maintenance'!E:E,"Non repertorié")</f>
        <v>Non repertorié</v>
      </c>
      <c r="I1009" t="str">
        <f>_xlfn.XLOOKUP(CKadeaTelcoLogs_Reseau[[#This Row],[Cell_ID]],'CKadeaTelcoRegistre_Maintenance'!A:A,'CKadeaTelcoRegistre_Maintenance'!F:F,"Non repertorié")</f>
        <v>Non repertorié</v>
      </c>
    </row>
    <row r="1010" spans="1:9" ht="20.5" customHeight="1" x14ac:dyDescent="0.35">
      <c r="A1010" s="1">
        <v>45228.980555555558</v>
      </c>
      <c r="B1010" s="5" t="s">
        <v>207</v>
      </c>
      <c r="C1010">
        <v>37</v>
      </c>
      <c r="D1010" t="s">
        <v>8</v>
      </c>
      <c r="E1010" t="str">
        <f>_xlfn.XLOOKUP(CKadeaTelcoLogs_Reseau[[#This Row],[Cell_ID]],'CKadeaTelcoRegistre_Maintenance'!A:A,'CKadeaTelcoRegistre_Maintenance'!B:B,"Non repertorié")</f>
        <v>Non repertorié</v>
      </c>
      <c r="F1010" t="str">
        <f>_xlfn.XLOOKUP(CKadeaTelcoLogs_Reseau[[#This Row],[Cell_ID]],'CKadeaTelcoRegistre_Maintenance'!A:A,'CKadeaTelcoRegistre_Maintenance'!C:C,"Non repertorié")</f>
        <v>Non repertorié</v>
      </c>
      <c r="G1010" t="str">
        <f>_xlfn.XLOOKUP(CKadeaTelcoLogs_Reseau[[#This Row],[Cell_ID]],'CKadeaTelcoRegistre_Maintenance'!A:A,'CKadeaTelcoRegistre_Maintenance'!D:D,"Non repertorié")</f>
        <v>Non repertorié</v>
      </c>
      <c r="H1010" t="str">
        <f>_xlfn.XLOOKUP(CKadeaTelcoLogs_Reseau[[#This Row],[Cell_ID]],'CKadeaTelcoRegistre_Maintenance'!A:A,'CKadeaTelcoRegistre_Maintenance'!E:E,"Non repertorié")</f>
        <v>Non repertorié</v>
      </c>
      <c r="I1010" t="str">
        <f>_xlfn.XLOOKUP(CKadeaTelcoLogs_Reseau[[#This Row],[Cell_ID]],'CKadeaTelcoRegistre_Maintenance'!A:A,'CKadeaTelcoRegistre_Maintenance'!F:F,"Non repertorié")</f>
        <v>Non repertorié</v>
      </c>
    </row>
    <row r="1011" spans="1:9" ht="20.5" customHeight="1" x14ac:dyDescent="0.35">
      <c r="A1011" s="1">
        <v>45209.940972222219</v>
      </c>
      <c r="B1011" s="5" t="s">
        <v>421</v>
      </c>
      <c r="C1011">
        <v>30</v>
      </c>
      <c r="D1011" t="s">
        <v>10</v>
      </c>
      <c r="E1011" t="str">
        <f>_xlfn.XLOOKUP(CKadeaTelcoLogs_Reseau[[#This Row],[Cell_ID]],'CKadeaTelcoRegistre_Maintenance'!A:A,'CKadeaTelcoRegistre_Maintenance'!B:B,"Non repertorié")</f>
        <v>Non repertorié</v>
      </c>
      <c r="F1011" t="str">
        <f>_xlfn.XLOOKUP(CKadeaTelcoLogs_Reseau[[#This Row],[Cell_ID]],'CKadeaTelcoRegistre_Maintenance'!A:A,'CKadeaTelcoRegistre_Maintenance'!C:C,"Non repertorié")</f>
        <v>Non repertorié</v>
      </c>
      <c r="G1011" t="str">
        <f>_xlfn.XLOOKUP(CKadeaTelcoLogs_Reseau[[#This Row],[Cell_ID]],'CKadeaTelcoRegistre_Maintenance'!A:A,'CKadeaTelcoRegistre_Maintenance'!D:D,"Non repertorié")</f>
        <v>Non repertorié</v>
      </c>
      <c r="H1011" t="str">
        <f>_xlfn.XLOOKUP(CKadeaTelcoLogs_Reseau[[#This Row],[Cell_ID]],'CKadeaTelcoRegistre_Maintenance'!A:A,'CKadeaTelcoRegistre_Maintenance'!E:E,"Non repertorié")</f>
        <v>Non repertorié</v>
      </c>
      <c r="I1011" t="str">
        <f>_xlfn.XLOOKUP(CKadeaTelcoLogs_Reseau[[#This Row],[Cell_ID]],'CKadeaTelcoRegistre_Maintenance'!A:A,'CKadeaTelcoRegistre_Maintenance'!F:F,"Non repertorié")</f>
        <v>Non repertorié</v>
      </c>
    </row>
    <row r="1012" spans="1:9" ht="20.5" customHeight="1" x14ac:dyDescent="0.35">
      <c r="A1012" s="1">
        <v>45227.447916666664</v>
      </c>
      <c r="B1012" s="5" t="s">
        <v>419</v>
      </c>
      <c r="C1012">
        <v>84</v>
      </c>
      <c r="D1012" t="s">
        <v>8</v>
      </c>
      <c r="E1012" t="str">
        <f>_xlfn.XLOOKUP(CKadeaTelcoLogs_Reseau[[#This Row],[Cell_ID]],'CKadeaTelcoRegistre_Maintenance'!A:A,'CKadeaTelcoRegistre_Maintenance'!B:B,"Non repertorié")</f>
        <v>Sud-Kivu</v>
      </c>
      <c r="F1012">
        <f>_xlfn.XLOOKUP(CKadeaTelcoLogs_Reseau[[#This Row],[Cell_ID]],'CKadeaTelcoRegistre_Maintenance'!A:A,'CKadeaTelcoRegistre_Maintenance'!C:C,"Non repertorié")</f>
        <v>2.4414509999999998</v>
      </c>
      <c r="G1012">
        <f>_xlfn.XLOOKUP(CKadeaTelcoLogs_Reseau[[#This Row],[Cell_ID]],'CKadeaTelcoRegistre_Maintenance'!A:A,'CKadeaTelcoRegistre_Maintenance'!D:D,"Non repertorié")</f>
        <v>30.167489</v>
      </c>
      <c r="H1012" t="str">
        <f>_xlfn.XLOOKUP(CKadeaTelcoLogs_Reseau[[#This Row],[Cell_ID]],'CKadeaTelcoRegistre_Maintenance'!A:A,'CKadeaTelcoRegistre_Maintenance'!E:E,"Non repertorié")</f>
        <v>5G</v>
      </c>
      <c r="I1012" t="str">
        <f>_xlfn.XLOOKUP(CKadeaTelcoLogs_Reseau[[#This Row],[Cell_ID]],'CKadeaTelcoRegistre_Maintenance'!A:A,'CKadeaTelcoRegistre_Maintenance'!F:F,"Non repertorié")</f>
        <v>Nokia</v>
      </c>
    </row>
    <row r="1013" spans="1:9" ht="20.5" customHeight="1" x14ac:dyDescent="0.35">
      <c r="A1013" s="1">
        <v>45223.736111111109</v>
      </c>
      <c r="B1013" s="5" t="s">
        <v>216</v>
      </c>
      <c r="C1013">
        <v>116</v>
      </c>
      <c r="D1013" t="s">
        <v>8</v>
      </c>
      <c r="E1013" t="str">
        <f>_xlfn.XLOOKUP(CKadeaTelcoLogs_Reseau[[#This Row],[Cell_ID]],'CKadeaTelcoRegistre_Maintenance'!A:A,'CKadeaTelcoRegistre_Maintenance'!B:B,"Non repertorié")</f>
        <v>Haut-Katanga</v>
      </c>
      <c r="F1013">
        <f>_xlfn.XLOOKUP(CKadeaTelcoLogs_Reseau[[#This Row],[Cell_ID]],'CKadeaTelcoRegistre_Maintenance'!A:A,'CKadeaTelcoRegistre_Maintenance'!C:C,"Non repertorié")</f>
        <v>0.16841400000000001</v>
      </c>
      <c r="G1013">
        <f>_xlfn.XLOOKUP(CKadeaTelcoLogs_Reseau[[#This Row],[Cell_ID]],'CKadeaTelcoRegistre_Maintenance'!A:A,'CKadeaTelcoRegistre_Maintenance'!D:D,"Non repertorié")</f>
        <v>30.029876999999999</v>
      </c>
      <c r="H1013" t="str">
        <f>_xlfn.XLOOKUP(CKadeaTelcoLogs_Reseau[[#This Row],[Cell_ID]],'CKadeaTelcoRegistre_Maintenance'!A:A,'CKadeaTelcoRegistre_Maintenance'!E:E,"Non repertorié")</f>
        <v>5G</v>
      </c>
      <c r="I1013" t="str">
        <f>_xlfn.XLOOKUP(CKadeaTelcoLogs_Reseau[[#This Row],[Cell_ID]],'CKadeaTelcoRegistre_Maintenance'!A:A,'CKadeaTelcoRegistre_Maintenance'!F:F,"Non repertorié")</f>
        <v>Huawei</v>
      </c>
    </row>
    <row r="1014" spans="1:9" ht="20.5" customHeight="1" x14ac:dyDescent="0.35">
      <c r="A1014" s="1">
        <v>45206.259027777778</v>
      </c>
      <c r="B1014" s="5" t="s">
        <v>645</v>
      </c>
      <c r="C1014">
        <v>104</v>
      </c>
      <c r="D1014" t="s">
        <v>5</v>
      </c>
      <c r="E1014" t="str">
        <f>_xlfn.XLOOKUP(CKadeaTelcoLogs_Reseau[[#This Row],[Cell_ID]],'CKadeaTelcoRegistre_Maintenance'!A:A,'CKadeaTelcoRegistre_Maintenance'!B:B,"Non repertorié")</f>
        <v>Non repertorié</v>
      </c>
      <c r="F1014" t="str">
        <f>_xlfn.XLOOKUP(CKadeaTelcoLogs_Reseau[[#This Row],[Cell_ID]],'CKadeaTelcoRegistre_Maintenance'!A:A,'CKadeaTelcoRegistre_Maintenance'!C:C,"Non repertorié")</f>
        <v>Non repertorié</v>
      </c>
      <c r="G1014" t="str">
        <f>_xlfn.XLOOKUP(CKadeaTelcoLogs_Reseau[[#This Row],[Cell_ID]],'CKadeaTelcoRegistre_Maintenance'!A:A,'CKadeaTelcoRegistre_Maintenance'!D:D,"Non repertorié")</f>
        <v>Non repertorié</v>
      </c>
      <c r="H1014" t="str">
        <f>_xlfn.XLOOKUP(CKadeaTelcoLogs_Reseau[[#This Row],[Cell_ID]],'CKadeaTelcoRegistre_Maintenance'!A:A,'CKadeaTelcoRegistre_Maintenance'!E:E,"Non repertorié")</f>
        <v>Non repertorié</v>
      </c>
      <c r="I1014" t="str">
        <f>_xlfn.XLOOKUP(CKadeaTelcoLogs_Reseau[[#This Row],[Cell_ID]],'CKadeaTelcoRegistre_Maintenance'!A:A,'CKadeaTelcoRegistre_Maintenance'!F:F,"Non repertorié")</f>
        <v>Non repertorié</v>
      </c>
    </row>
    <row r="1015" spans="1:9" ht="20.5" customHeight="1" x14ac:dyDescent="0.35">
      <c r="A1015" s="1">
        <v>45219.929166666669</v>
      </c>
      <c r="B1015" s="5" t="s">
        <v>646</v>
      </c>
      <c r="C1015">
        <v>115</v>
      </c>
      <c r="D1015" t="s">
        <v>5</v>
      </c>
      <c r="E1015" t="str">
        <f>_xlfn.XLOOKUP(CKadeaTelcoLogs_Reseau[[#This Row],[Cell_ID]],'CKadeaTelcoRegistre_Maintenance'!A:A,'CKadeaTelcoRegistre_Maintenance'!B:B,"Non repertorié")</f>
        <v>Non repertorié</v>
      </c>
      <c r="F1015" t="str">
        <f>_xlfn.XLOOKUP(CKadeaTelcoLogs_Reseau[[#This Row],[Cell_ID]],'CKadeaTelcoRegistre_Maintenance'!A:A,'CKadeaTelcoRegistre_Maintenance'!C:C,"Non repertorié")</f>
        <v>Non repertorié</v>
      </c>
      <c r="G1015" t="str">
        <f>_xlfn.XLOOKUP(CKadeaTelcoLogs_Reseau[[#This Row],[Cell_ID]],'CKadeaTelcoRegistre_Maintenance'!A:A,'CKadeaTelcoRegistre_Maintenance'!D:D,"Non repertorié")</f>
        <v>Non repertorié</v>
      </c>
      <c r="H1015" t="str">
        <f>_xlfn.XLOOKUP(CKadeaTelcoLogs_Reseau[[#This Row],[Cell_ID]],'CKadeaTelcoRegistre_Maintenance'!A:A,'CKadeaTelcoRegistre_Maintenance'!E:E,"Non repertorié")</f>
        <v>Non repertorié</v>
      </c>
      <c r="I1015" t="str">
        <f>_xlfn.XLOOKUP(CKadeaTelcoLogs_Reseau[[#This Row],[Cell_ID]],'CKadeaTelcoRegistre_Maintenance'!A:A,'CKadeaTelcoRegistre_Maintenance'!F:F,"Non repertorié")</f>
        <v>Non repertorié</v>
      </c>
    </row>
    <row r="1016" spans="1:9" ht="20.5" customHeight="1" x14ac:dyDescent="0.35">
      <c r="A1016" s="1">
        <v>45221.498611111114</v>
      </c>
      <c r="B1016" s="5" t="s">
        <v>647</v>
      </c>
      <c r="C1016">
        <v>116</v>
      </c>
      <c r="D1016" t="s">
        <v>8</v>
      </c>
      <c r="E1016" t="str">
        <f>_xlfn.XLOOKUP(CKadeaTelcoLogs_Reseau[[#This Row],[Cell_ID]],'CKadeaTelcoRegistre_Maintenance'!A:A,'CKadeaTelcoRegistre_Maintenance'!B:B,"Non repertorié")</f>
        <v>Non repertorié</v>
      </c>
      <c r="F1016" t="str">
        <f>_xlfn.XLOOKUP(CKadeaTelcoLogs_Reseau[[#This Row],[Cell_ID]],'CKadeaTelcoRegistre_Maintenance'!A:A,'CKadeaTelcoRegistre_Maintenance'!C:C,"Non repertorié")</f>
        <v>Non repertorié</v>
      </c>
      <c r="G1016" t="str">
        <f>_xlfn.XLOOKUP(CKadeaTelcoLogs_Reseau[[#This Row],[Cell_ID]],'CKadeaTelcoRegistre_Maintenance'!A:A,'CKadeaTelcoRegistre_Maintenance'!D:D,"Non repertorié")</f>
        <v>Non repertorié</v>
      </c>
      <c r="H1016" t="str">
        <f>_xlfn.XLOOKUP(CKadeaTelcoLogs_Reseau[[#This Row],[Cell_ID]],'CKadeaTelcoRegistre_Maintenance'!A:A,'CKadeaTelcoRegistre_Maintenance'!E:E,"Non repertorié")</f>
        <v>Non repertorié</v>
      </c>
      <c r="I1016" t="str">
        <f>_xlfn.XLOOKUP(CKadeaTelcoLogs_Reseau[[#This Row],[Cell_ID]],'CKadeaTelcoRegistre_Maintenance'!A:A,'CKadeaTelcoRegistre_Maintenance'!F:F,"Non repertorié")</f>
        <v>Non repertorié</v>
      </c>
    </row>
    <row r="1017" spans="1:9" ht="20.5" customHeight="1" x14ac:dyDescent="0.35">
      <c r="A1017" s="1">
        <v>45221.197916666664</v>
      </c>
      <c r="B1017" s="5" t="s">
        <v>261</v>
      </c>
      <c r="C1017">
        <v>61</v>
      </c>
      <c r="D1017" t="s">
        <v>10</v>
      </c>
      <c r="E1017" t="str">
        <f>_xlfn.XLOOKUP(CKadeaTelcoLogs_Reseau[[#This Row],[Cell_ID]],'CKadeaTelcoRegistre_Maintenance'!A:A,'CKadeaTelcoRegistre_Maintenance'!B:B,"Non repertorié")</f>
        <v>Kwango</v>
      </c>
      <c r="F1017">
        <f>_xlfn.XLOOKUP(CKadeaTelcoLogs_Reseau[[#This Row],[Cell_ID]],'CKadeaTelcoRegistre_Maintenance'!A:A,'CKadeaTelcoRegistre_Maintenance'!C:C,"Non repertorié")</f>
        <v>-7.5129409999999996</v>
      </c>
      <c r="G1017">
        <f>_xlfn.XLOOKUP(CKadeaTelcoLogs_Reseau[[#This Row],[Cell_ID]],'CKadeaTelcoRegistre_Maintenance'!A:A,'CKadeaTelcoRegistre_Maintenance'!D:D,"Non repertorié")</f>
        <v>18.701522000000001</v>
      </c>
      <c r="H1017" t="str">
        <f>_xlfn.XLOOKUP(CKadeaTelcoLogs_Reseau[[#This Row],[Cell_ID]],'CKadeaTelcoRegistre_Maintenance'!A:A,'CKadeaTelcoRegistre_Maintenance'!E:E,"Non repertorié")</f>
        <v>4G</v>
      </c>
      <c r="I1017" t="str">
        <f>_xlfn.XLOOKUP(CKadeaTelcoLogs_Reseau[[#This Row],[Cell_ID]],'CKadeaTelcoRegistre_Maintenance'!A:A,'CKadeaTelcoRegistre_Maintenance'!F:F,"Non repertorié")</f>
        <v>Nokia</v>
      </c>
    </row>
    <row r="1018" spans="1:9" ht="20.5" customHeight="1" x14ac:dyDescent="0.35">
      <c r="A1018" s="1">
        <v>45220.230555555558</v>
      </c>
      <c r="B1018" s="5" t="s">
        <v>60</v>
      </c>
      <c r="C1018">
        <v>111</v>
      </c>
      <c r="D1018" t="s">
        <v>10</v>
      </c>
      <c r="E1018" t="str">
        <f>_xlfn.XLOOKUP(CKadeaTelcoLogs_Reseau[[#This Row],[Cell_ID]],'CKadeaTelcoRegistre_Maintenance'!A:A,'CKadeaTelcoRegistre_Maintenance'!B:B,"Non repertorié")</f>
        <v>Non repertorié</v>
      </c>
      <c r="F1018" t="str">
        <f>_xlfn.XLOOKUP(CKadeaTelcoLogs_Reseau[[#This Row],[Cell_ID]],'CKadeaTelcoRegistre_Maintenance'!A:A,'CKadeaTelcoRegistre_Maintenance'!C:C,"Non repertorié")</f>
        <v>Non repertorié</v>
      </c>
      <c r="G1018" t="str">
        <f>_xlfn.XLOOKUP(CKadeaTelcoLogs_Reseau[[#This Row],[Cell_ID]],'CKadeaTelcoRegistre_Maintenance'!A:A,'CKadeaTelcoRegistre_Maintenance'!D:D,"Non repertorié")</f>
        <v>Non repertorié</v>
      </c>
      <c r="H1018" t="str">
        <f>_xlfn.XLOOKUP(CKadeaTelcoLogs_Reseau[[#This Row],[Cell_ID]],'CKadeaTelcoRegistre_Maintenance'!A:A,'CKadeaTelcoRegistre_Maintenance'!E:E,"Non repertorié")</f>
        <v>Non repertorié</v>
      </c>
      <c r="I1018" t="str">
        <f>_xlfn.XLOOKUP(CKadeaTelcoLogs_Reseau[[#This Row],[Cell_ID]],'CKadeaTelcoRegistre_Maintenance'!A:A,'CKadeaTelcoRegistre_Maintenance'!F:F,"Non repertorié")</f>
        <v>Non repertorié</v>
      </c>
    </row>
    <row r="1019" spans="1:9" ht="20.5" customHeight="1" x14ac:dyDescent="0.35">
      <c r="A1019" s="1">
        <v>45217.944444444445</v>
      </c>
      <c r="B1019" s="5" t="s">
        <v>648</v>
      </c>
      <c r="C1019">
        <v>33</v>
      </c>
      <c r="D1019" t="s">
        <v>5</v>
      </c>
      <c r="E1019" t="str">
        <f>_xlfn.XLOOKUP(CKadeaTelcoLogs_Reseau[[#This Row],[Cell_ID]],'CKadeaTelcoRegistre_Maintenance'!A:A,'CKadeaTelcoRegistre_Maintenance'!B:B,"Non repertorié")</f>
        <v>Non repertorié</v>
      </c>
      <c r="F1019" t="str">
        <f>_xlfn.XLOOKUP(CKadeaTelcoLogs_Reseau[[#This Row],[Cell_ID]],'CKadeaTelcoRegistre_Maintenance'!A:A,'CKadeaTelcoRegistre_Maintenance'!C:C,"Non repertorié")</f>
        <v>Non repertorié</v>
      </c>
      <c r="G1019" t="str">
        <f>_xlfn.XLOOKUP(CKadeaTelcoLogs_Reseau[[#This Row],[Cell_ID]],'CKadeaTelcoRegistre_Maintenance'!A:A,'CKadeaTelcoRegistre_Maintenance'!D:D,"Non repertorié")</f>
        <v>Non repertorié</v>
      </c>
      <c r="H1019" t="str">
        <f>_xlfn.XLOOKUP(CKadeaTelcoLogs_Reseau[[#This Row],[Cell_ID]],'CKadeaTelcoRegistre_Maintenance'!A:A,'CKadeaTelcoRegistre_Maintenance'!E:E,"Non repertorié")</f>
        <v>Non repertorié</v>
      </c>
      <c r="I1019" t="str">
        <f>_xlfn.XLOOKUP(CKadeaTelcoLogs_Reseau[[#This Row],[Cell_ID]],'CKadeaTelcoRegistre_Maintenance'!A:A,'CKadeaTelcoRegistre_Maintenance'!F:F,"Non repertorié")</f>
        <v>Non repertorié</v>
      </c>
    </row>
    <row r="1020" spans="1:9" ht="20.5" customHeight="1" x14ac:dyDescent="0.35">
      <c r="A1020" s="1">
        <v>45210.921527777777</v>
      </c>
      <c r="B1020" s="5" t="s">
        <v>460</v>
      </c>
      <c r="C1020">
        <v>86</v>
      </c>
      <c r="D1020" t="s">
        <v>8</v>
      </c>
      <c r="E1020" t="str">
        <f>_xlfn.XLOOKUP(CKadeaTelcoLogs_Reseau[[#This Row],[Cell_ID]],'CKadeaTelcoRegistre_Maintenance'!A:A,'CKadeaTelcoRegistre_Maintenance'!B:B,"Non repertorié")</f>
        <v>Non repertorié</v>
      </c>
      <c r="F1020" t="str">
        <f>_xlfn.XLOOKUP(CKadeaTelcoLogs_Reseau[[#This Row],[Cell_ID]],'CKadeaTelcoRegistre_Maintenance'!A:A,'CKadeaTelcoRegistre_Maintenance'!C:C,"Non repertorié")</f>
        <v>Non repertorié</v>
      </c>
      <c r="G1020" t="str">
        <f>_xlfn.XLOOKUP(CKadeaTelcoLogs_Reseau[[#This Row],[Cell_ID]],'CKadeaTelcoRegistre_Maintenance'!A:A,'CKadeaTelcoRegistre_Maintenance'!D:D,"Non repertorié")</f>
        <v>Non repertorié</v>
      </c>
      <c r="H1020" t="str">
        <f>_xlfn.XLOOKUP(CKadeaTelcoLogs_Reseau[[#This Row],[Cell_ID]],'CKadeaTelcoRegistre_Maintenance'!A:A,'CKadeaTelcoRegistre_Maintenance'!E:E,"Non repertorié")</f>
        <v>Non repertorié</v>
      </c>
      <c r="I1020" t="str">
        <f>_xlfn.XLOOKUP(CKadeaTelcoLogs_Reseau[[#This Row],[Cell_ID]],'CKadeaTelcoRegistre_Maintenance'!A:A,'CKadeaTelcoRegistre_Maintenance'!F:F,"Non repertorié")</f>
        <v>Non repertorié</v>
      </c>
    </row>
    <row r="1021" spans="1:9" ht="20.5" customHeight="1" x14ac:dyDescent="0.35">
      <c r="A1021" s="1">
        <v>45224.482638888891</v>
      </c>
      <c r="B1021" s="5" t="s">
        <v>22</v>
      </c>
      <c r="C1021">
        <v>95</v>
      </c>
      <c r="D1021" t="s">
        <v>8</v>
      </c>
      <c r="E1021" t="str">
        <f>_xlfn.XLOOKUP(CKadeaTelcoLogs_Reseau[[#This Row],[Cell_ID]],'CKadeaTelcoRegistre_Maintenance'!A:A,'CKadeaTelcoRegistre_Maintenance'!B:B,"Non repertorié")</f>
        <v>Lomami</v>
      </c>
      <c r="F1021">
        <f>_xlfn.XLOOKUP(CKadeaTelcoLogs_Reseau[[#This Row],[Cell_ID]],'CKadeaTelcoRegistre_Maintenance'!A:A,'CKadeaTelcoRegistre_Maintenance'!C:C,"Non repertorié")</f>
        <v>-2.2371569999999998</v>
      </c>
      <c r="G1021">
        <f>_xlfn.XLOOKUP(CKadeaTelcoLogs_Reseau[[#This Row],[Cell_ID]],'CKadeaTelcoRegistre_Maintenance'!A:A,'CKadeaTelcoRegistre_Maintenance'!D:D,"Non repertorié")</f>
        <v>25.926188</v>
      </c>
      <c r="H1021" t="str">
        <f>_xlfn.XLOOKUP(CKadeaTelcoLogs_Reseau[[#This Row],[Cell_ID]],'CKadeaTelcoRegistre_Maintenance'!A:A,'CKadeaTelcoRegistre_Maintenance'!E:E,"Non repertorié")</f>
        <v>3G</v>
      </c>
      <c r="I1021" t="str">
        <f>_xlfn.XLOOKUP(CKadeaTelcoLogs_Reseau[[#This Row],[Cell_ID]],'CKadeaTelcoRegistre_Maintenance'!A:A,'CKadeaTelcoRegistre_Maintenance'!F:F,"Non repertorié")</f>
        <v>Nokia</v>
      </c>
    </row>
    <row r="1022" spans="1:9" ht="20.5" customHeight="1" x14ac:dyDescent="0.35">
      <c r="A1022" s="1">
        <v>45215.775000000001</v>
      </c>
      <c r="B1022" s="5" t="s">
        <v>358</v>
      </c>
      <c r="C1022">
        <v>95</v>
      </c>
      <c r="D1022" t="s">
        <v>8</v>
      </c>
      <c r="E1022" t="str">
        <f>_xlfn.XLOOKUP(CKadeaTelcoLogs_Reseau[[#This Row],[Cell_ID]],'CKadeaTelcoRegistre_Maintenance'!A:A,'CKadeaTelcoRegistre_Maintenance'!B:B,"Non repertorié")</f>
        <v>Tshopo</v>
      </c>
      <c r="F1022">
        <f>_xlfn.XLOOKUP(CKadeaTelcoLogs_Reseau[[#This Row],[Cell_ID]],'CKadeaTelcoRegistre_Maintenance'!A:A,'CKadeaTelcoRegistre_Maintenance'!C:C,"Non repertorié")</f>
        <v>-0.85624699999999998</v>
      </c>
      <c r="G1022">
        <f>_xlfn.XLOOKUP(CKadeaTelcoLogs_Reseau[[#This Row],[Cell_ID]],'CKadeaTelcoRegistre_Maintenance'!A:A,'CKadeaTelcoRegistre_Maintenance'!D:D,"Non repertorié")</f>
        <v>28.624870000000001</v>
      </c>
      <c r="H1022" t="str">
        <f>_xlfn.XLOOKUP(CKadeaTelcoLogs_Reseau[[#This Row],[Cell_ID]],'CKadeaTelcoRegistre_Maintenance'!A:A,'CKadeaTelcoRegistre_Maintenance'!E:E,"Non repertorié")</f>
        <v>3G</v>
      </c>
      <c r="I1022" t="str">
        <f>_xlfn.XLOOKUP(CKadeaTelcoLogs_Reseau[[#This Row],[Cell_ID]],'CKadeaTelcoRegistre_Maintenance'!A:A,'CKadeaTelcoRegistre_Maintenance'!F:F,"Non repertorié")</f>
        <v>Ericsson</v>
      </c>
    </row>
    <row r="1023" spans="1:9" ht="20.5" customHeight="1" x14ac:dyDescent="0.35">
      <c r="A1023" s="1">
        <v>45230.90625</v>
      </c>
      <c r="B1023" s="5" t="s">
        <v>589</v>
      </c>
      <c r="C1023">
        <v>87</v>
      </c>
      <c r="D1023" t="s">
        <v>5</v>
      </c>
      <c r="E1023" t="str">
        <f>_xlfn.XLOOKUP(CKadeaTelcoLogs_Reseau[[#This Row],[Cell_ID]],'CKadeaTelcoRegistre_Maintenance'!A:A,'CKadeaTelcoRegistre_Maintenance'!B:B,"Non repertorié")</f>
        <v>Non repertorié</v>
      </c>
      <c r="F1023" t="str">
        <f>_xlfn.XLOOKUP(CKadeaTelcoLogs_Reseau[[#This Row],[Cell_ID]],'CKadeaTelcoRegistre_Maintenance'!A:A,'CKadeaTelcoRegistre_Maintenance'!C:C,"Non repertorié")</f>
        <v>Non repertorié</v>
      </c>
      <c r="G1023" t="str">
        <f>_xlfn.XLOOKUP(CKadeaTelcoLogs_Reseau[[#This Row],[Cell_ID]],'CKadeaTelcoRegistre_Maintenance'!A:A,'CKadeaTelcoRegistre_Maintenance'!D:D,"Non repertorié")</f>
        <v>Non repertorié</v>
      </c>
      <c r="H1023" t="str">
        <f>_xlfn.XLOOKUP(CKadeaTelcoLogs_Reseau[[#This Row],[Cell_ID]],'CKadeaTelcoRegistre_Maintenance'!A:A,'CKadeaTelcoRegistre_Maintenance'!E:E,"Non repertorié")</f>
        <v>Non repertorié</v>
      </c>
      <c r="I1023" t="str">
        <f>_xlfn.XLOOKUP(CKadeaTelcoLogs_Reseau[[#This Row],[Cell_ID]],'CKadeaTelcoRegistre_Maintenance'!A:A,'CKadeaTelcoRegistre_Maintenance'!F:F,"Non repertorié")</f>
        <v>Non repertorié</v>
      </c>
    </row>
    <row r="1024" spans="1:9" ht="20.5" customHeight="1" x14ac:dyDescent="0.35">
      <c r="A1024" s="1">
        <v>45213.907638888886</v>
      </c>
      <c r="B1024" s="5" t="s">
        <v>610</v>
      </c>
      <c r="C1024">
        <v>52</v>
      </c>
      <c r="D1024" t="s">
        <v>5</v>
      </c>
      <c r="E1024" t="str">
        <f>_xlfn.XLOOKUP(CKadeaTelcoLogs_Reseau[[#This Row],[Cell_ID]],'CKadeaTelcoRegistre_Maintenance'!A:A,'CKadeaTelcoRegistre_Maintenance'!B:B,"Non repertorié")</f>
        <v>Nord-Kivu</v>
      </c>
      <c r="F1024">
        <f>_xlfn.XLOOKUP(CKadeaTelcoLogs_Reseau[[#This Row],[Cell_ID]],'CKadeaTelcoRegistre_Maintenance'!A:A,'CKadeaTelcoRegistre_Maintenance'!C:C,"Non repertorié")</f>
        <v>-10.298385</v>
      </c>
      <c r="G1024">
        <f>_xlfn.XLOOKUP(CKadeaTelcoLogs_Reseau[[#This Row],[Cell_ID]],'CKadeaTelcoRegistre_Maintenance'!A:A,'CKadeaTelcoRegistre_Maintenance'!D:D,"Non repertorié")</f>
        <v>29.698117</v>
      </c>
      <c r="H1024" t="str">
        <f>_xlfn.XLOOKUP(CKadeaTelcoLogs_Reseau[[#This Row],[Cell_ID]],'CKadeaTelcoRegistre_Maintenance'!A:A,'CKadeaTelcoRegistre_Maintenance'!E:E,"Non repertorié")</f>
        <v>5G</v>
      </c>
      <c r="I1024" t="str">
        <f>_xlfn.XLOOKUP(CKadeaTelcoLogs_Reseau[[#This Row],[Cell_ID]],'CKadeaTelcoRegistre_Maintenance'!A:A,'CKadeaTelcoRegistre_Maintenance'!F:F,"Non repertorié")</f>
        <v>Nokia</v>
      </c>
    </row>
    <row r="1025" spans="1:9" ht="20.5" customHeight="1" x14ac:dyDescent="0.35">
      <c r="A1025" s="1">
        <v>45228.720833333333</v>
      </c>
      <c r="B1025" s="5" t="s">
        <v>649</v>
      </c>
      <c r="C1025">
        <v>101</v>
      </c>
      <c r="D1025" t="s">
        <v>8</v>
      </c>
      <c r="E1025" t="str">
        <f>_xlfn.XLOOKUP(CKadeaTelcoLogs_Reseau[[#This Row],[Cell_ID]],'CKadeaTelcoRegistre_Maintenance'!A:A,'CKadeaTelcoRegistre_Maintenance'!B:B,"Non repertorié")</f>
        <v>Non repertorié</v>
      </c>
      <c r="F1025" t="str">
        <f>_xlfn.XLOOKUP(CKadeaTelcoLogs_Reseau[[#This Row],[Cell_ID]],'CKadeaTelcoRegistre_Maintenance'!A:A,'CKadeaTelcoRegistre_Maintenance'!C:C,"Non repertorié")</f>
        <v>Non repertorié</v>
      </c>
      <c r="G1025" t="str">
        <f>_xlfn.XLOOKUP(CKadeaTelcoLogs_Reseau[[#This Row],[Cell_ID]],'CKadeaTelcoRegistre_Maintenance'!A:A,'CKadeaTelcoRegistre_Maintenance'!D:D,"Non repertorié")</f>
        <v>Non repertorié</v>
      </c>
      <c r="H1025" t="str">
        <f>_xlfn.XLOOKUP(CKadeaTelcoLogs_Reseau[[#This Row],[Cell_ID]],'CKadeaTelcoRegistre_Maintenance'!A:A,'CKadeaTelcoRegistre_Maintenance'!E:E,"Non repertorié")</f>
        <v>Non repertorié</v>
      </c>
      <c r="I1025" t="str">
        <f>_xlfn.XLOOKUP(CKadeaTelcoLogs_Reseau[[#This Row],[Cell_ID]],'CKadeaTelcoRegistre_Maintenance'!A:A,'CKadeaTelcoRegistre_Maintenance'!F:F,"Non repertorié")</f>
        <v>Non repertorié</v>
      </c>
    </row>
    <row r="1026" spans="1:9" ht="20.5" customHeight="1" x14ac:dyDescent="0.35">
      <c r="A1026" s="1">
        <v>45228.57708333333</v>
      </c>
      <c r="B1026" s="5" t="s">
        <v>151</v>
      </c>
      <c r="C1026">
        <v>80</v>
      </c>
      <c r="D1026" t="s">
        <v>10</v>
      </c>
      <c r="E1026" t="str">
        <f>_xlfn.XLOOKUP(CKadeaTelcoLogs_Reseau[[#This Row],[Cell_ID]],'CKadeaTelcoRegistre_Maintenance'!A:A,'CKadeaTelcoRegistre_Maintenance'!B:B,"Non repertorié")</f>
        <v>Haut-Uele</v>
      </c>
      <c r="F1026">
        <f>_xlfn.XLOOKUP(CKadeaTelcoLogs_Reseau[[#This Row],[Cell_ID]],'CKadeaTelcoRegistre_Maintenance'!A:A,'CKadeaTelcoRegistre_Maintenance'!C:C,"Non repertorié")</f>
        <v>-1.8045979999999999</v>
      </c>
      <c r="G1026">
        <f>_xlfn.XLOOKUP(CKadeaTelcoLogs_Reseau[[#This Row],[Cell_ID]],'CKadeaTelcoRegistre_Maintenance'!A:A,'CKadeaTelcoRegistre_Maintenance'!D:D,"Non repertorié")</f>
        <v>12.511096999999999</v>
      </c>
      <c r="H1026" t="str">
        <f>_xlfn.XLOOKUP(CKadeaTelcoLogs_Reseau[[#This Row],[Cell_ID]],'CKadeaTelcoRegistre_Maintenance'!A:A,'CKadeaTelcoRegistre_Maintenance'!E:E,"Non repertorié")</f>
        <v>3G</v>
      </c>
      <c r="I1026" t="str">
        <f>_xlfn.XLOOKUP(CKadeaTelcoLogs_Reseau[[#This Row],[Cell_ID]],'CKadeaTelcoRegistre_Maintenance'!A:A,'CKadeaTelcoRegistre_Maintenance'!F:F,"Non repertorié")</f>
        <v>Huawei</v>
      </c>
    </row>
    <row r="1027" spans="1:9" ht="20.5" customHeight="1" x14ac:dyDescent="0.35">
      <c r="A1027" s="1">
        <v>45200.67083333333</v>
      </c>
      <c r="B1027" s="5" t="s">
        <v>650</v>
      </c>
      <c r="C1027">
        <v>74</v>
      </c>
      <c r="D1027" t="s">
        <v>10</v>
      </c>
      <c r="E1027" t="str">
        <f>_xlfn.XLOOKUP(CKadeaTelcoLogs_Reseau[[#This Row],[Cell_ID]],'CKadeaTelcoRegistre_Maintenance'!A:A,'CKadeaTelcoRegistre_Maintenance'!B:B,"Non repertorié")</f>
        <v>Ituri</v>
      </c>
      <c r="F1027">
        <f>_xlfn.XLOOKUP(CKadeaTelcoLogs_Reseau[[#This Row],[Cell_ID]],'CKadeaTelcoRegistre_Maintenance'!A:A,'CKadeaTelcoRegistre_Maintenance'!C:C,"Non repertorié")</f>
        <v>-4.6426759999999998</v>
      </c>
      <c r="G1027">
        <f>_xlfn.XLOOKUP(CKadeaTelcoLogs_Reseau[[#This Row],[Cell_ID]],'CKadeaTelcoRegistre_Maintenance'!A:A,'CKadeaTelcoRegistre_Maintenance'!D:D,"Non repertorié")</f>
        <v>22.124254000000001</v>
      </c>
      <c r="H1027" t="str">
        <f>_xlfn.XLOOKUP(CKadeaTelcoLogs_Reseau[[#This Row],[Cell_ID]],'CKadeaTelcoRegistre_Maintenance'!A:A,'CKadeaTelcoRegistre_Maintenance'!E:E,"Non repertorié")</f>
        <v>4G</v>
      </c>
      <c r="I1027" t="str">
        <f>_xlfn.XLOOKUP(CKadeaTelcoLogs_Reseau[[#This Row],[Cell_ID]],'CKadeaTelcoRegistre_Maintenance'!A:A,'CKadeaTelcoRegistre_Maintenance'!F:F,"Non repertorié")</f>
        <v>ZTE</v>
      </c>
    </row>
    <row r="1028" spans="1:9" ht="20.5" customHeight="1" x14ac:dyDescent="0.35">
      <c r="A1028" s="1">
        <v>45200.506249999999</v>
      </c>
      <c r="B1028" s="5" t="s">
        <v>487</v>
      </c>
      <c r="C1028">
        <v>99</v>
      </c>
      <c r="D1028" t="s">
        <v>5</v>
      </c>
      <c r="E1028" t="str">
        <f>_xlfn.XLOOKUP(CKadeaTelcoLogs_Reseau[[#This Row],[Cell_ID]],'CKadeaTelcoRegistre_Maintenance'!A:A,'CKadeaTelcoRegistre_Maintenance'!B:B,"Non repertorié")</f>
        <v>Haut-Katanga</v>
      </c>
      <c r="F1028">
        <f>_xlfn.XLOOKUP(CKadeaTelcoLogs_Reseau[[#This Row],[Cell_ID]],'CKadeaTelcoRegistre_Maintenance'!A:A,'CKadeaTelcoRegistre_Maintenance'!C:C,"Non repertorié")</f>
        <v>-10.945031</v>
      </c>
      <c r="G1028">
        <f>_xlfn.XLOOKUP(CKadeaTelcoLogs_Reseau[[#This Row],[Cell_ID]],'CKadeaTelcoRegistre_Maintenance'!A:A,'CKadeaTelcoRegistre_Maintenance'!D:D,"Non repertorié")</f>
        <v>27.922274000000002</v>
      </c>
      <c r="H1028" t="str">
        <f>_xlfn.XLOOKUP(CKadeaTelcoLogs_Reseau[[#This Row],[Cell_ID]],'CKadeaTelcoRegistre_Maintenance'!A:A,'CKadeaTelcoRegistre_Maintenance'!E:E,"Non repertorié")</f>
        <v>4G</v>
      </c>
      <c r="I1028" t="str">
        <f>_xlfn.XLOOKUP(CKadeaTelcoLogs_Reseau[[#This Row],[Cell_ID]],'CKadeaTelcoRegistre_Maintenance'!A:A,'CKadeaTelcoRegistre_Maintenance'!F:F,"Non repertorié")</f>
        <v>Ericsson</v>
      </c>
    </row>
    <row r="1029" spans="1:9" ht="20.5" customHeight="1" x14ac:dyDescent="0.35">
      <c r="A1029" s="1">
        <v>45201.877083333333</v>
      </c>
      <c r="B1029" s="5" t="s">
        <v>170</v>
      </c>
      <c r="C1029">
        <v>82</v>
      </c>
      <c r="D1029" t="s">
        <v>10</v>
      </c>
      <c r="E1029" t="str">
        <f>_xlfn.XLOOKUP(CKadeaTelcoLogs_Reseau[[#This Row],[Cell_ID]],'CKadeaTelcoRegistre_Maintenance'!A:A,'CKadeaTelcoRegistre_Maintenance'!B:B,"Non repertorié")</f>
        <v>Nord-Kivu</v>
      </c>
      <c r="F1029">
        <f>_xlfn.XLOOKUP(CKadeaTelcoLogs_Reseau[[#This Row],[Cell_ID]],'CKadeaTelcoRegistre_Maintenance'!A:A,'CKadeaTelcoRegistre_Maintenance'!C:C,"Non repertorié")</f>
        <v>-12.336202</v>
      </c>
      <c r="G1029">
        <f>_xlfn.XLOOKUP(CKadeaTelcoLogs_Reseau[[#This Row],[Cell_ID]],'CKadeaTelcoRegistre_Maintenance'!A:A,'CKadeaTelcoRegistre_Maintenance'!D:D,"Non repertorié")</f>
        <v>13.693683999999999</v>
      </c>
      <c r="H1029" t="str">
        <f>_xlfn.XLOOKUP(CKadeaTelcoLogs_Reseau[[#This Row],[Cell_ID]],'CKadeaTelcoRegistre_Maintenance'!A:A,'CKadeaTelcoRegistre_Maintenance'!E:E,"Non repertorié")</f>
        <v>5G</v>
      </c>
      <c r="I1029" t="str">
        <f>_xlfn.XLOOKUP(CKadeaTelcoLogs_Reseau[[#This Row],[Cell_ID]],'CKadeaTelcoRegistre_Maintenance'!A:A,'CKadeaTelcoRegistre_Maintenance'!F:F,"Non repertorié")</f>
        <v>Huawei</v>
      </c>
    </row>
    <row r="1030" spans="1:9" ht="20.5" customHeight="1" x14ac:dyDescent="0.35">
      <c r="A1030" s="1">
        <v>45206.366666666669</v>
      </c>
      <c r="B1030" s="5" t="s">
        <v>651</v>
      </c>
      <c r="C1030">
        <v>30</v>
      </c>
      <c r="D1030" t="s">
        <v>10</v>
      </c>
      <c r="E1030" t="str">
        <f>_xlfn.XLOOKUP(CKadeaTelcoLogs_Reseau[[#This Row],[Cell_ID]],'CKadeaTelcoRegistre_Maintenance'!A:A,'CKadeaTelcoRegistre_Maintenance'!B:B,"Non repertorié")</f>
        <v>Non repertorié</v>
      </c>
      <c r="F1030" t="str">
        <f>_xlfn.XLOOKUP(CKadeaTelcoLogs_Reseau[[#This Row],[Cell_ID]],'CKadeaTelcoRegistre_Maintenance'!A:A,'CKadeaTelcoRegistre_Maintenance'!C:C,"Non repertorié")</f>
        <v>Non repertorié</v>
      </c>
      <c r="G1030" t="str">
        <f>_xlfn.XLOOKUP(CKadeaTelcoLogs_Reseau[[#This Row],[Cell_ID]],'CKadeaTelcoRegistre_Maintenance'!A:A,'CKadeaTelcoRegistre_Maintenance'!D:D,"Non repertorié")</f>
        <v>Non repertorié</v>
      </c>
      <c r="H1030" t="str">
        <f>_xlfn.XLOOKUP(CKadeaTelcoLogs_Reseau[[#This Row],[Cell_ID]],'CKadeaTelcoRegistre_Maintenance'!A:A,'CKadeaTelcoRegistre_Maintenance'!E:E,"Non repertorié")</f>
        <v>Non repertorié</v>
      </c>
      <c r="I1030" t="str">
        <f>_xlfn.XLOOKUP(CKadeaTelcoLogs_Reseau[[#This Row],[Cell_ID]],'CKadeaTelcoRegistre_Maintenance'!A:A,'CKadeaTelcoRegistre_Maintenance'!F:F,"Non repertorié")</f>
        <v>Non repertorié</v>
      </c>
    </row>
    <row r="1031" spans="1:9" ht="20.5" customHeight="1" x14ac:dyDescent="0.35">
      <c r="A1031" s="1">
        <v>45225.220833333333</v>
      </c>
      <c r="B1031" s="5" t="s">
        <v>652</v>
      </c>
      <c r="C1031">
        <v>104</v>
      </c>
      <c r="D1031" t="s">
        <v>8</v>
      </c>
      <c r="E1031" t="str">
        <f>_xlfn.XLOOKUP(CKadeaTelcoLogs_Reseau[[#This Row],[Cell_ID]],'CKadeaTelcoRegistre_Maintenance'!A:A,'CKadeaTelcoRegistre_Maintenance'!B:B,"Non repertorié")</f>
        <v>Kasai-Central</v>
      </c>
      <c r="F1031">
        <f>_xlfn.XLOOKUP(CKadeaTelcoLogs_Reseau[[#This Row],[Cell_ID]],'CKadeaTelcoRegistre_Maintenance'!A:A,'CKadeaTelcoRegistre_Maintenance'!C:C,"Non repertorié")</f>
        <v>-8.0800809999999998</v>
      </c>
      <c r="G1031">
        <f>_xlfn.XLOOKUP(CKadeaTelcoLogs_Reseau[[#This Row],[Cell_ID]],'CKadeaTelcoRegistre_Maintenance'!A:A,'CKadeaTelcoRegistre_Maintenance'!D:D,"Non repertorié")</f>
        <v>30.147970999999998</v>
      </c>
      <c r="H1031" t="str">
        <f>_xlfn.XLOOKUP(CKadeaTelcoLogs_Reseau[[#This Row],[Cell_ID]],'CKadeaTelcoRegistre_Maintenance'!A:A,'CKadeaTelcoRegistre_Maintenance'!E:E,"Non repertorié")</f>
        <v>5G</v>
      </c>
      <c r="I1031" t="str">
        <f>_xlfn.XLOOKUP(CKadeaTelcoLogs_Reseau[[#This Row],[Cell_ID]],'CKadeaTelcoRegistre_Maintenance'!A:A,'CKadeaTelcoRegistre_Maintenance'!F:F,"Non repertorié")</f>
        <v>Huawei</v>
      </c>
    </row>
    <row r="1032" spans="1:9" ht="20.5" customHeight="1" x14ac:dyDescent="0.35">
      <c r="A1032" s="1">
        <v>45221.339583333334</v>
      </c>
      <c r="B1032" s="5" t="s">
        <v>509</v>
      </c>
      <c r="C1032">
        <v>97</v>
      </c>
      <c r="D1032" t="s">
        <v>8</v>
      </c>
      <c r="E1032" t="str">
        <f>_xlfn.XLOOKUP(CKadeaTelcoLogs_Reseau[[#This Row],[Cell_ID]],'CKadeaTelcoRegistre_Maintenance'!A:A,'CKadeaTelcoRegistre_Maintenance'!B:B,"Non repertorié")</f>
        <v>Non repertorié</v>
      </c>
      <c r="F1032" t="str">
        <f>_xlfn.XLOOKUP(CKadeaTelcoLogs_Reseau[[#This Row],[Cell_ID]],'CKadeaTelcoRegistre_Maintenance'!A:A,'CKadeaTelcoRegistre_Maintenance'!C:C,"Non repertorié")</f>
        <v>Non repertorié</v>
      </c>
      <c r="G1032" t="str">
        <f>_xlfn.XLOOKUP(CKadeaTelcoLogs_Reseau[[#This Row],[Cell_ID]],'CKadeaTelcoRegistre_Maintenance'!A:A,'CKadeaTelcoRegistre_Maintenance'!D:D,"Non repertorié")</f>
        <v>Non repertorié</v>
      </c>
      <c r="H1032" t="str">
        <f>_xlfn.XLOOKUP(CKadeaTelcoLogs_Reseau[[#This Row],[Cell_ID]],'CKadeaTelcoRegistre_Maintenance'!A:A,'CKadeaTelcoRegistre_Maintenance'!E:E,"Non repertorié")</f>
        <v>Non repertorié</v>
      </c>
      <c r="I1032" t="str">
        <f>_xlfn.XLOOKUP(CKadeaTelcoLogs_Reseau[[#This Row],[Cell_ID]],'CKadeaTelcoRegistre_Maintenance'!A:A,'CKadeaTelcoRegistre_Maintenance'!F:F,"Non repertorié")</f>
        <v>Non repertorié</v>
      </c>
    </row>
    <row r="1033" spans="1:9" ht="20.5" customHeight="1" x14ac:dyDescent="0.35">
      <c r="A1033" s="1">
        <v>45226.072222222225</v>
      </c>
      <c r="B1033" s="5" t="s">
        <v>653</v>
      </c>
      <c r="C1033">
        <v>29</v>
      </c>
      <c r="D1033" t="s">
        <v>10</v>
      </c>
      <c r="E1033" t="str">
        <f>_xlfn.XLOOKUP(CKadeaTelcoLogs_Reseau[[#This Row],[Cell_ID]],'CKadeaTelcoRegistre_Maintenance'!A:A,'CKadeaTelcoRegistre_Maintenance'!B:B,"Non repertorié")</f>
        <v>Non repertorié</v>
      </c>
      <c r="F1033" t="str">
        <f>_xlfn.XLOOKUP(CKadeaTelcoLogs_Reseau[[#This Row],[Cell_ID]],'CKadeaTelcoRegistre_Maintenance'!A:A,'CKadeaTelcoRegistre_Maintenance'!C:C,"Non repertorié")</f>
        <v>Non repertorié</v>
      </c>
      <c r="G1033" t="str">
        <f>_xlfn.XLOOKUP(CKadeaTelcoLogs_Reseau[[#This Row],[Cell_ID]],'CKadeaTelcoRegistre_Maintenance'!A:A,'CKadeaTelcoRegistre_Maintenance'!D:D,"Non repertorié")</f>
        <v>Non repertorié</v>
      </c>
      <c r="H1033" t="str">
        <f>_xlfn.XLOOKUP(CKadeaTelcoLogs_Reseau[[#This Row],[Cell_ID]],'CKadeaTelcoRegistre_Maintenance'!A:A,'CKadeaTelcoRegistre_Maintenance'!E:E,"Non repertorié")</f>
        <v>Non repertorié</v>
      </c>
      <c r="I1033" t="str">
        <f>_xlfn.XLOOKUP(CKadeaTelcoLogs_Reseau[[#This Row],[Cell_ID]],'CKadeaTelcoRegistre_Maintenance'!A:A,'CKadeaTelcoRegistre_Maintenance'!F:F,"Non repertorié")</f>
        <v>Non repertorié</v>
      </c>
    </row>
    <row r="1034" spans="1:9" ht="20.5" customHeight="1" x14ac:dyDescent="0.35">
      <c r="A1034" s="1">
        <v>45225.384027777778</v>
      </c>
      <c r="B1034" s="5" t="s">
        <v>546</v>
      </c>
      <c r="C1034">
        <v>42</v>
      </c>
      <c r="D1034" t="s">
        <v>5</v>
      </c>
      <c r="E1034" t="str">
        <f>_xlfn.XLOOKUP(CKadeaTelcoLogs_Reseau[[#This Row],[Cell_ID]],'CKadeaTelcoRegistre_Maintenance'!A:A,'CKadeaTelcoRegistre_Maintenance'!B:B,"Non repertorié")</f>
        <v>Non repertorié</v>
      </c>
      <c r="F1034" t="str">
        <f>_xlfn.XLOOKUP(CKadeaTelcoLogs_Reseau[[#This Row],[Cell_ID]],'CKadeaTelcoRegistre_Maintenance'!A:A,'CKadeaTelcoRegistre_Maintenance'!C:C,"Non repertorié")</f>
        <v>Non repertorié</v>
      </c>
      <c r="G1034" t="str">
        <f>_xlfn.XLOOKUP(CKadeaTelcoLogs_Reseau[[#This Row],[Cell_ID]],'CKadeaTelcoRegistre_Maintenance'!A:A,'CKadeaTelcoRegistre_Maintenance'!D:D,"Non repertorié")</f>
        <v>Non repertorié</v>
      </c>
      <c r="H1034" t="str">
        <f>_xlfn.XLOOKUP(CKadeaTelcoLogs_Reseau[[#This Row],[Cell_ID]],'CKadeaTelcoRegistre_Maintenance'!A:A,'CKadeaTelcoRegistre_Maintenance'!E:E,"Non repertorié")</f>
        <v>Non repertorié</v>
      </c>
      <c r="I1034" t="str">
        <f>_xlfn.XLOOKUP(CKadeaTelcoLogs_Reseau[[#This Row],[Cell_ID]],'CKadeaTelcoRegistre_Maintenance'!A:A,'CKadeaTelcoRegistre_Maintenance'!F:F,"Non repertorié")</f>
        <v>Non repertorié</v>
      </c>
    </row>
    <row r="1035" spans="1:9" ht="20.5" customHeight="1" x14ac:dyDescent="0.35">
      <c r="A1035" s="1">
        <v>45224.709722222222</v>
      </c>
      <c r="B1035" s="5" t="s">
        <v>654</v>
      </c>
      <c r="C1035">
        <v>62</v>
      </c>
      <c r="D1035" t="s">
        <v>8</v>
      </c>
      <c r="E1035" t="str">
        <f>_xlfn.XLOOKUP(CKadeaTelcoLogs_Reseau[[#This Row],[Cell_ID]],'CKadeaTelcoRegistre_Maintenance'!A:A,'CKadeaTelcoRegistre_Maintenance'!B:B,"Non repertorié")</f>
        <v>Non repertorié</v>
      </c>
      <c r="F1035" t="str">
        <f>_xlfn.XLOOKUP(CKadeaTelcoLogs_Reseau[[#This Row],[Cell_ID]],'CKadeaTelcoRegistre_Maintenance'!A:A,'CKadeaTelcoRegistre_Maintenance'!C:C,"Non repertorié")</f>
        <v>Non repertorié</v>
      </c>
      <c r="G1035" t="str">
        <f>_xlfn.XLOOKUP(CKadeaTelcoLogs_Reseau[[#This Row],[Cell_ID]],'CKadeaTelcoRegistre_Maintenance'!A:A,'CKadeaTelcoRegistre_Maintenance'!D:D,"Non repertorié")</f>
        <v>Non repertorié</v>
      </c>
      <c r="H1035" t="str">
        <f>_xlfn.XLOOKUP(CKadeaTelcoLogs_Reseau[[#This Row],[Cell_ID]],'CKadeaTelcoRegistre_Maintenance'!A:A,'CKadeaTelcoRegistre_Maintenance'!E:E,"Non repertorié")</f>
        <v>Non repertorié</v>
      </c>
      <c r="I1035" t="str">
        <f>_xlfn.XLOOKUP(CKadeaTelcoLogs_Reseau[[#This Row],[Cell_ID]],'CKadeaTelcoRegistre_Maintenance'!A:A,'CKadeaTelcoRegistre_Maintenance'!F:F,"Non repertorié")</f>
        <v>Non repertorié</v>
      </c>
    </row>
    <row r="1036" spans="1:9" ht="20.5" customHeight="1" x14ac:dyDescent="0.35">
      <c r="A1036" s="1">
        <v>45211.587500000001</v>
      </c>
      <c r="B1036" s="5" t="s">
        <v>655</v>
      </c>
      <c r="C1036">
        <v>27</v>
      </c>
      <c r="D1036" t="s">
        <v>10</v>
      </c>
      <c r="E1036" t="str">
        <f>_xlfn.XLOOKUP(CKadeaTelcoLogs_Reseau[[#This Row],[Cell_ID]],'CKadeaTelcoRegistre_Maintenance'!A:A,'CKadeaTelcoRegistre_Maintenance'!B:B,"Non repertorié")</f>
        <v>Equateur</v>
      </c>
      <c r="F1036">
        <f>_xlfn.XLOOKUP(CKadeaTelcoLogs_Reseau[[#This Row],[Cell_ID]],'CKadeaTelcoRegistre_Maintenance'!A:A,'CKadeaTelcoRegistre_Maintenance'!C:C,"Non repertorié")</f>
        <v>-7.8215969999999997</v>
      </c>
      <c r="G1036">
        <f>_xlfn.XLOOKUP(CKadeaTelcoLogs_Reseau[[#This Row],[Cell_ID]],'CKadeaTelcoRegistre_Maintenance'!A:A,'CKadeaTelcoRegistre_Maintenance'!D:D,"Non repertorié")</f>
        <v>26.797349000000001</v>
      </c>
      <c r="H1036" t="str">
        <f>_xlfn.XLOOKUP(CKadeaTelcoLogs_Reseau[[#This Row],[Cell_ID]],'CKadeaTelcoRegistre_Maintenance'!A:A,'CKadeaTelcoRegistre_Maintenance'!E:E,"Non repertorié")</f>
        <v>3G</v>
      </c>
      <c r="I1036" t="str">
        <f>_xlfn.XLOOKUP(CKadeaTelcoLogs_Reseau[[#This Row],[Cell_ID]],'CKadeaTelcoRegistre_Maintenance'!A:A,'CKadeaTelcoRegistre_Maintenance'!F:F,"Non repertorié")</f>
        <v>Ericsson</v>
      </c>
    </row>
    <row r="1037" spans="1:9" ht="20.5" customHeight="1" x14ac:dyDescent="0.35">
      <c r="A1037" s="1">
        <v>45219.907638888886</v>
      </c>
      <c r="B1037" s="5" t="s">
        <v>656</v>
      </c>
      <c r="C1037">
        <v>92</v>
      </c>
      <c r="D1037" t="s">
        <v>8</v>
      </c>
      <c r="E1037" t="str">
        <f>_xlfn.XLOOKUP(CKadeaTelcoLogs_Reseau[[#This Row],[Cell_ID]],'CKadeaTelcoRegistre_Maintenance'!A:A,'CKadeaTelcoRegistre_Maintenance'!B:B,"Non repertorié")</f>
        <v>Non repertorié</v>
      </c>
      <c r="F1037" t="str">
        <f>_xlfn.XLOOKUP(CKadeaTelcoLogs_Reseau[[#This Row],[Cell_ID]],'CKadeaTelcoRegistre_Maintenance'!A:A,'CKadeaTelcoRegistre_Maintenance'!C:C,"Non repertorié")</f>
        <v>Non repertorié</v>
      </c>
      <c r="G1037" t="str">
        <f>_xlfn.XLOOKUP(CKadeaTelcoLogs_Reseau[[#This Row],[Cell_ID]],'CKadeaTelcoRegistre_Maintenance'!A:A,'CKadeaTelcoRegistre_Maintenance'!D:D,"Non repertorié")</f>
        <v>Non repertorié</v>
      </c>
      <c r="H1037" t="str">
        <f>_xlfn.XLOOKUP(CKadeaTelcoLogs_Reseau[[#This Row],[Cell_ID]],'CKadeaTelcoRegistre_Maintenance'!A:A,'CKadeaTelcoRegistre_Maintenance'!E:E,"Non repertorié")</f>
        <v>Non repertorié</v>
      </c>
      <c r="I1037" t="str">
        <f>_xlfn.XLOOKUP(CKadeaTelcoLogs_Reseau[[#This Row],[Cell_ID]],'CKadeaTelcoRegistre_Maintenance'!A:A,'CKadeaTelcoRegistre_Maintenance'!F:F,"Non repertorié")</f>
        <v>Non repertorié</v>
      </c>
    </row>
    <row r="1038" spans="1:9" ht="20.5" customHeight="1" x14ac:dyDescent="0.35">
      <c r="A1038" s="1">
        <v>45217.324305555558</v>
      </c>
      <c r="B1038" s="5" t="s">
        <v>657</v>
      </c>
      <c r="C1038">
        <v>14</v>
      </c>
      <c r="D1038" t="s">
        <v>8</v>
      </c>
      <c r="E1038" t="str">
        <f>_xlfn.XLOOKUP(CKadeaTelcoLogs_Reseau[[#This Row],[Cell_ID]],'CKadeaTelcoRegistre_Maintenance'!A:A,'CKadeaTelcoRegistre_Maintenance'!B:B,"Non repertorié")</f>
        <v>Non repertorié</v>
      </c>
      <c r="F1038" t="str">
        <f>_xlfn.XLOOKUP(CKadeaTelcoLogs_Reseau[[#This Row],[Cell_ID]],'CKadeaTelcoRegistre_Maintenance'!A:A,'CKadeaTelcoRegistre_Maintenance'!C:C,"Non repertorié")</f>
        <v>Non repertorié</v>
      </c>
      <c r="G1038" t="str">
        <f>_xlfn.XLOOKUP(CKadeaTelcoLogs_Reseau[[#This Row],[Cell_ID]],'CKadeaTelcoRegistre_Maintenance'!A:A,'CKadeaTelcoRegistre_Maintenance'!D:D,"Non repertorié")</f>
        <v>Non repertorié</v>
      </c>
      <c r="H1038" t="str">
        <f>_xlfn.XLOOKUP(CKadeaTelcoLogs_Reseau[[#This Row],[Cell_ID]],'CKadeaTelcoRegistre_Maintenance'!A:A,'CKadeaTelcoRegistre_Maintenance'!E:E,"Non repertorié")</f>
        <v>Non repertorié</v>
      </c>
      <c r="I1038" t="str">
        <f>_xlfn.XLOOKUP(CKadeaTelcoLogs_Reseau[[#This Row],[Cell_ID]],'CKadeaTelcoRegistre_Maintenance'!A:A,'CKadeaTelcoRegistre_Maintenance'!F:F,"Non repertorié")</f>
        <v>Non repertorié</v>
      </c>
    </row>
    <row r="1039" spans="1:9" ht="20.5" customHeight="1" x14ac:dyDescent="0.35">
      <c r="A1039" s="1">
        <v>45220.724999999999</v>
      </c>
      <c r="B1039" s="5" t="s">
        <v>123</v>
      </c>
      <c r="C1039">
        <v>28</v>
      </c>
      <c r="D1039" t="s">
        <v>10</v>
      </c>
      <c r="E1039" t="str">
        <f>_xlfn.XLOOKUP(CKadeaTelcoLogs_Reseau[[#This Row],[Cell_ID]],'CKadeaTelcoRegistre_Maintenance'!A:A,'CKadeaTelcoRegistre_Maintenance'!B:B,"Non repertorié")</f>
        <v>Tanganyika</v>
      </c>
      <c r="F1039">
        <f>_xlfn.XLOOKUP(CKadeaTelcoLogs_Reseau[[#This Row],[Cell_ID]],'CKadeaTelcoRegistre_Maintenance'!A:A,'CKadeaTelcoRegistre_Maintenance'!C:C,"Non repertorié")</f>
        <v>-9.002459</v>
      </c>
      <c r="G1039">
        <f>_xlfn.XLOOKUP(CKadeaTelcoLogs_Reseau[[#This Row],[Cell_ID]],'CKadeaTelcoRegistre_Maintenance'!A:A,'CKadeaTelcoRegistre_Maintenance'!D:D,"Non repertorié")</f>
        <v>25.182109000000001</v>
      </c>
      <c r="H1039" t="str">
        <f>_xlfn.XLOOKUP(CKadeaTelcoLogs_Reseau[[#This Row],[Cell_ID]],'CKadeaTelcoRegistre_Maintenance'!A:A,'CKadeaTelcoRegistre_Maintenance'!E:E,"Non repertorié")</f>
        <v>5G</v>
      </c>
      <c r="I1039" t="str">
        <f>_xlfn.XLOOKUP(CKadeaTelcoLogs_Reseau[[#This Row],[Cell_ID]],'CKadeaTelcoRegistre_Maintenance'!A:A,'CKadeaTelcoRegistre_Maintenance'!F:F,"Non repertorié")</f>
        <v>Huawei</v>
      </c>
    </row>
    <row r="1040" spans="1:9" ht="20.5" customHeight="1" x14ac:dyDescent="0.35">
      <c r="A1040" s="1">
        <v>45207.701388888891</v>
      </c>
      <c r="B1040" s="5" t="s">
        <v>658</v>
      </c>
      <c r="C1040">
        <v>27</v>
      </c>
      <c r="D1040" t="s">
        <v>10</v>
      </c>
      <c r="E1040" t="str">
        <f>_xlfn.XLOOKUP(CKadeaTelcoLogs_Reseau[[#This Row],[Cell_ID]],'CKadeaTelcoRegistre_Maintenance'!A:A,'CKadeaTelcoRegistre_Maintenance'!B:B,"Non repertorié")</f>
        <v>Sankuru</v>
      </c>
      <c r="F1040">
        <f>_xlfn.XLOOKUP(CKadeaTelcoLogs_Reseau[[#This Row],[Cell_ID]],'CKadeaTelcoRegistre_Maintenance'!A:A,'CKadeaTelcoRegistre_Maintenance'!C:C,"Non repertorié")</f>
        <v>-10.764815</v>
      </c>
      <c r="G1040">
        <f>_xlfn.XLOOKUP(CKadeaTelcoLogs_Reseau[[#This Row],[Cell_ID]],'CKadeaTelcoRegistre_Maintenance'!A:A,'CKadeaTelcoRegistre_Maintenance'!D:D,"Non repertorié")</f>
        <v>14.602039</v>
      </c>
      <c r="H1040" t="str">
        <f>_xlfn.XLOOKUP(CKadeaTelcoLogs_Reseau[[#This Row],[Cell_ID]],'CKadeaTelcoRegistre_Maintenance'!A:A,'CKadeaTelcoRegistre_Maintenance'!E:E,"Non repertorié")</f>
        <v>4G</v>
      </c>
      <c r="I1040" t="str">
        <f>_xlfn.XLOOKUP(CKadeaTelcoLogs_Reseau[[#This Row],[Cell_ID]],'CKadeaTelcoRegistre_Maintenance'!A:A,'CKadeaTelcoRegistre_Maintenance'!F:F,"Non repertorié")</f>
        <v>Nokia</v>
      </c>
    </row>
    <row r="1041" spans="1:9" ht="20.5" customHeight="1" x14ac:dyDescent="0.35">
      <c r="A1041" s="1">
        <v>45230.731944444444</v>
      </c>
      <c r="B1041" s="5" t="s">
        <v>295</v>
      </c>
      <c r="C1041">
        <v>52</v>
      </c>
      <c r="D1041" t="s">
        <v>5</v>
      </c>
      <c r="E1041" t="str">
        <f>_xlfn.XLOOKUP(CKadeaTelcoLogs_Reseau[[#This Row],[Cell_ID]],'CKadeaTelcoRegistre_Maintenance'!A:A,'CKadeaTelcoRegistre_Maintenance'!B:B,"Non repertorié")</f>
        <v>Non repertorié</v>
      </c>
      <c r="F1041" t="str">
        <f>_xlfn.XLOOKUP(CKadeaTelcoLogs_Reseau[[#This Row],[Cell_ID]],'CKadeaTelcoRegistre_Maintenance'!A:A,'CKadeaTelcoRegistre_Maintenance'!C:C,"Non repertorié")</f>
        <v>Non repertorié</v>
      </c>
      <c r="G1041" t="str">
        <f>_xlfn.XLOOKUP(CKadeaTelcoLogs_Reseau[[#This Row],[Cell_ID]],'CKadeaTelcoRegistre_Maintenance'!A:A,'CKadeaTelcoRegistre_Maintenance'!D:D,"Non repertorié")</f>
        <v>Non repertorié</v>
      </c>
      <c r="H1041" t="str">
        <f>_xlfn.XLOOKUP(CKadeaTelcoLogs_Reseau[[#This Row],[Cell_ID]],'CKadeaTelcoRegistre_Maintenance'!A:A,'CKadeaTelcoRegistre_Maintenance'!E:E,"Non repertorié")</f>
        <v>Non repertorié</v>
      </c>
      <c r="I1041" t="str">
        <f>_xlfn.XLOOKUP(CKadeaTelcoLogs_Reseau[[#This Row],[Cell_ID]],'CKadeaTelcoRegistre_Maintenance'!A:A,'CKadeaTelcoRegistre_Maintenance'!F:F,"Non repertorié")</f>
        <v>Non repertorié</v>
      </c>
    </row>
    <row r="1042" spans="1:9" ht="20.5" customHeight="1" x14ac:dyDescent="0.35">
      <c r="A1042" s="1">
        <v>45200.836111111108</v>
      </c>
      <c r="B1042" s="5" t="s">
        <v>265</v>
      </c>
      <c r="C1042">
        <v>6</v>
      </c>
      <c r="D1042" t="s">
        <v>5</v>
      </c>
      <c r="E1042" t="str">
        <f>_xlfn.XLOOKUP(CKadeaTelcoLogs_Reseau[[#This Row],[Cell_ID]],'CKadeaTelcoRegistre_Maintenance'!A:A,'CKadeaTelcoRegistre_Maintenance'!B:B,"Non repertorié")</f>
        <v>Non repertorié</v>
      </c>
      <c r="F1042" t="str">
        <f>_xlfn.XLOOKUP(CKadeaTelcoLogs_Reseau[[#This Row],[Cell_ID]],'CKadeaTelcoRegistre_Maintenance'!A:A,'CKadeaTelcoRegistre_Maintenance'!C:C,"Non repertorié")</f>
        <v>Non repertorié</v>
      </c>
      <c r="G1042" t="str">
        <f>_xlfn.XLOOKUP(CKadeaTelcoLogs_Reseau[[#This Row],[Cell_ID]],'CKadeaTelcoRegistre_Maintenance'!A:A,'CKadeaTelcoRegistre_Maintenance'!D:D,"Non repertorié")</f>
        <v>Non repertorié</v>
      </c>
      <c r="H1042" t="str">
        <f>_xlfn.XLOOKUP(CKadeaTelcoLogs_Reseau[[#This Row],[Cell_ID]],'CKadeaTelcoRegistre_Maintenance'!A:A,'CKadeaTelcoRegistre_Maintenance'!E:E,"Non repertorié")</f>
        <v>Non repertorié</v>
      </c>
      <c r="I1042" t="str">
        <f>_xlfn.XLOOKUP(CKadeaTelcoLogs_Reseau[[#This Row],[Cell_ID]],'CKadeaTelcoRegistre_Maintenance'!A:A,'CKadeaTelcoRegistre_Maintenance'!F:F,"Non repertorié")</f>
        <v>Non repertorié</v>
      </c>
    </row>
    <row r="1043" spans="1:9" ht="20.5" customHeight="1" x14ac:dyDescent="0.35">
      <c r="A1043" s="1">
        <v>45206.902777777781</v>
      </c>
      <c r="B1043" s="5" t="s">
        <v>659</v>
      </c>
      <c r="C1043">
        <v>75</v>
      </c>
      <c r="D1043" t="s">
        <v>10</v>
      </c>
      <c r="E1043" t="str">
        <f>_xlfn.XLOOKUP(CKadeaTelcoLogs_Reseau[[#This Row],[Cell_ID]],'CKadeaTelcoRegistre_Maintenance'!A:A,'CKadeaTelcoRegistre_Maintenance'!B:B,"Non repertorié")</f>
        <v>Non repertorié</v>
      </c>
      <c r="F1043" t="str">
        <f>_xlfn.XLOOKUP(CKadeaTelcoLogs_Reseau[[#This Row],[Cell_ID]],'CKadeaTelcoRegistre_Maintenance'!A:A,'CKadeaTelcoRegistre_Maintenance'!C:C,"Non repertorié")</f>
        <v>Non repertorié</v>
      </c>
      <c r="G1043" t="str">
        <f>_xlfn.XLOOKUP(CKadeaTelcoLogs_Reseau[[#This Row],[Cell_ID]],'CKadeaTelcoRegistre_Maintenance'!A:A,'CKadeaTelcoRegistre_Maintenance'!D:D,"Non repertorié")</f>
        <v>Non repertorié</v>
      </c>
      <c r="H1043" t="str">
        <f>_xlfn.XLOOKUP(CKadeaTelcoLogs_Reseau[[#This Row],[Cell_ID]],'CKadeaTelcoRegistre_Maintenance'!A:A,'CKadeaTelcoRegistre_Maintenance'!E:E,"Non repertorié")</f>
        <v>Non repertorié</v>
      </c>
      <c r="I1043" t="str">
        <f>_xlfn.XLOOKUP(CKadeaTelcoLogs_Reseau[[#This Row],[Cell_ID]],'CKadeaTelcoRegistre_Maintenance'!A:A,'CKadeaTelcoRegistre_Maintenance'!F:F,"Non repertorié")</f>
        <v>Non repertorié</v>
      </c>
    </row>
    <row r="1044" spans="1:9" ht="20.5" customHeight="1" x14ac:dyDescent="0.35">
      <c r="A1044" s="1">
        <v>45224.288194444445</v>
      </c>
      <c r="B1044" s="5" t="s">
        <v>335</v>
      </c>
      <c r="C1044">
        <v>116</v>
      </c>
      <c r="D1044" t="s">
        <v>10</v>
      </c>
      <c r="E1044" t="str">
        <f>_xlfn.XLOOKUP(CKadeaTelcoLogs_Reseau[[#This Row],[Cell_ID]],'CKadeaTelcoRegistre_Maintenance'!A:A,'CKadeaTelcoRegistre_Maintenance'!B:B,"Non repertorié")</f>
        <v>Non repertorié</v>
      </c>
      <c r="F1044" t="str">
        <f>_xlfn.XLOOKUP(CKadeaTelcoLogs_Reseau[[#This Row],[Cell_ID]],'CKadeaTelcoRegistre_Maintenance'!A:A,'CKadeaTelcoRegistre_Maintenance'!C:C,"Non repertorié")</f>
        <v>Non repertorié</v>
      </c>
      <c r="G1044" t="str">
        <f>_xlfn.XLOOKUP(CKadeaTelcoLogs_Reseau[[#This Row],[Cell_ID]],'CKadeaTelcoRegistre_Maintenance'!A:A,'CKadeaTelcoRegistre_Maintenance'!D:D,"Non repertorié")</f>
        <v>Non repertorié</v>
      </c>
      <c r="H1044" t="str">
        <f>_xlfn.XLOOKUP(CKadeaTelcoLogs_Reseau[[#This Row],[Cell_ID]],'CKadeaTelcoRegistre_Maintenance'!A:A,'CKadeaTelcoRegistre_Maintenance'!E:E,"Non repertorié")</f>
        <v>Non repertorié</v>
      </c>
      <c r="I1044" t="str">
        <f>_xlfn.XLOOKUP(CKadeaTelcoLogs_Reseau[[#This Row],[Cell_ID]],'CKadeaTelcoRegistre_Maintenance'!A:A,'CKadeaTelcoRegistre_Maintenance'!F:F,"Non repertorié")</f>
        <v>Non repertorié</v>
      </c>
    </row>
    <row r="1045" spans="1:9" ht="20.5" customHeight="1" x14ac:dyDescent="0.35">
      <c r="A1045" s="1">
        <v>45221.578472222223</v>
      </c>
      <c r="B1045" s="5" t="s">
        <v>206</v>
      </c>
      <c r="C1045">
        <v>76</v>
      </c>
      <c r="D1045" t="s">
        <v>10</v>
      </c>
      <c r="E1045" t="str">
        <f>_xlfn.XLOOKUP(CKadeaTelcoLogs_Reseau[[#This Row],[Cell_ID]],'CKadeaTelcoRegistre_Maintenance'!A:A,'CKadeaTelcoRegistre_Maintenance'!B:B,"Non repertorié")</f>
        <v>Non repertorié</v>
      </c>
      <c r="F1045" t="str">
        <f>_xlfn.XLOOKUP(CKadeaTelcoLogs_Reseau[[#This Row],[Cell_ID]],'CKadeaTelcoRegistre_Maintenance'!A:A,'CKadeaTelcoRegistre_Maintenance'!C:C,"Non repertorié")</f>
        <v>Non repertorié</v>
      </c>
      <c r="G1045" t="str">
        <f>_xlfn.XLOOKUP(CKadeaTelcoLogs_Reseau[[#This Row],[Cell_ID]],'CKadeaTelcoRegistre_Maintenance'!A:A,'CKadeaTelcoRegistre_Maintenance'!D:D,"Non repertorié")</f>
        <v>Non repertorié</v>
      </c>
      <c r="H1045" t="str">
        <f>_xlfn.XLOOKUP(CKadeaTelcoLogs_Reseau[[#This Row],[Cell_ID]],'CKadeaTelcoRegistre_Maintenance'!A:A,'CKadeaTelcoRegistre_Maintenance'!E:E,"Non repertorié")</f>
        <v>Non repertorié</v>
      </c>
      <c r="I1045" t="str">
        <f>_xlfn.XLOOKUP(CKadeaTelcoLogs_Reseau[[#This Row],[Cell_ID]],'CKadeaTelcoRegistre_Maintenance'!A:A,'CKadeaTelcoRegistre_Maintenance'!F:F,"Non repertorié")</f>
        <v>Non repertorié</v>
      </c>
    </row>
    <row r="1046" spans="1:9" ht="20.5" customHeight="1" x14ac:dyDescent="0.35">
      <c r="A1046" s="1">
        <v>45203.273611111108</v>
      </c>
      <c r="B1046" s="5" t="s">
        <v>50</v>
      </c>
      <c r="C1046">
        <v>23</v>
      </c>
      <c r="D1046" t="s">
        <v>10</v>
      </c>
      <c r="E1046" t="str">
        <f>_xlfn.XLOOKUP(CKadeaTelcoLogs_Reseau[[#This Row],[Cell_ID]],'CKadeaTelcoRegistre_Maintenance'!A:A,'CKadeaTelcoRegistre_Maintenance'!B:B,"Non repertorié")</f>
        <v>Non repertorié</v>
      </c>
      <c r="F1046" t="str">
        <f>_xlfn.XLOOKUP(CKadeaTelcoLogs_Reseau[[#This Row],[Cell_ID]],'CKadeaTelcoRegistre_Maintenance'!A:A,'CKadeaTelcoRegistre_Maintenance'!C:C,"Non repertorié")</f>
        <v>Non repertorié</v>
      </c>
      <c r="G1046" t="str">
        <f>_xlfn.XLOOKUP(CKadeaTelcoLogs_Reseau[[#This Row],[Cell_ID]],'CKadeaTelcoRegistre_Maintenance'!A:A,'CKadeaTelcoRegistre_Maintenance'!D:D,"Non repertorié")</f>
        <v>Non repertorié</v>
      </c>
      <c r="H1046" t="str">
        <f>_xlfn.XLOOKUP(CKadeaTelcoLogs_Reseau[[#This Row],[Cell_ID]],'CKadeaTelcoRegistre_Maintenance'!A:A,'CKadeaTelcoRegistre_Maintenance'!E:E,"Non repertorié")</f>
        <v>Non repertorié</v>
      </c>
      <c r="I1046" t="str">
        <f>_xlfn.XLOOKUP(CKadeaTelcoLogs_Reseau[[#This Row],[Cell_ID]],'CKadeaTelcoRegistre_Maintenance'!A:A,'CKadeaTelcoRegistre_Maintenance'!F:F,"Non repertorié")</f>
        <v>Non repertorié</v>
      </c>
    </row>
    <row r="1047" spans="1:9" ht="20.5" customHeight="1" x14ac:dyDescent="0.35">
      <c r="A1047" s="1">
        <v>45226.955555555556</v>
      </c>
      <c r="B1047" s="5" t="s">
        <v>660</v>
      </c>
      <c r="C1047">
        <v>20</v>
      </c>
      <c r="D1047" t="s">
        <v>8</v>
      </c>
      <c r="E1047" t="str">
        <f>_xlfn.XLOOKUP(CKadeaTelcoLogs_Reseau[[#This Row],[Cell_ID]],'CKadeaTelcoRegistre_Maintenance'!A:A,'CKadeaTelcoRegistre_Maintenance'!B:B,"Non repertorié")</f>
        <v>Non repertorié</v>
      </c>
      <c r="F1047" t="str">
        <f>_xlfn.XLOOKUP(CKadeaTelcoLogs_Reseau[[#This Row],[Cell_ID]],'CKadeaTelcoRegistre_Maintenance'!A:A,'CKadeaTelcoRegistre_Maintenance'!C:C,"Non repertorié")</f>
        <v>Non repertorié</v>
      </c>
      <c r="G1047" t="str">
        <f>_xlfn.XLOOKUP(CKadeaTelcoLogs_Reseau[[#This Row],[Cell_ID]],'CKadeaTelcoRegistre_Maintenance'!A:A,'CKadeaTelcoRegistre_Maintenance'!D:D,"Non repertorié")</f>
        <v>Non repertorié</v>
      </c>
      <c r="H1047" t="str">
        <f>_xlfn.XLOOKUP(CKadeaTelcoLogs_Reseau[[#This Row],[Cell_ID]],'CKadeaTelcoRegistre_Maintenance'!A:A,'CKadeaTelcoRegistre_Maintenance'!E:E,"Non repertorié")</f>
        <v>Non repertorié</v>
      </c>
      <c r="I1047" t="str">
        <f>_xlfn.XLOOKUP(CKadeaTelcoLogs_Reseau[[#This Row],[Cell_ID]],'CKadeaTelcoRegistre_Maintenance'!A:A,'CKadeaTelcoRegistre_Maintenance'!F:F,"Non repertorié")</f>
        <v>Non repertorié</v>
      </c>
    </row>
    <row r="1048" spans="1:9" ht="20.5" customHeight="1" x14ac:dyDescent="0.35">
      <c r="A1048" s="1">
        <v>45223.570138888892</v>
      </c>
      <c r="B1048" s="5" t="s">
        <v>186</v>
      </c>
      <c r="C1048">
        <v>10</v>
      </c>
      <c r="D1048" t="s">
        <v>8</v>
      </c>
      <c r="E1048" t="str">
        <f>_xlfn.XLOOKUP(CKadeaTelcoLogs_Reseau[[#This Row],[Cell_ID]],'CKadeaTelcoRegistre_Maintenance'!A:A,'CKadeaTelcoRegistre_Maintenance'!B:B,"Non repertorié")</f>
        <v>Mai-Ndombe</v>
      </c>
      <c r="F1048">
        <f>_xlfn.XLOOKUP(CKadeaTelcoLogs_Reseau[[#This Row],[Cell_ID]],'CKadeaTelcoRegistre_Maintenance'!A:A,'CKadeaTelcoRegistre_Maintenance'!C:C,"Non repertorié")</f>
        <v>-9.3652280000000001</v>
      </c>
      <c r="G1048">
        <f>_xlfn.XLOOKUP(CKadeaTelcoLogs_Reseau[[#This Row],[Cell_ID]],'CKadeaTelcoRegistre_Maintenance'!A:A,'CKadeaTelcoRegistre_Maintenance'!D:D,"Non repertorié")</f>
        <v>18.674116000000001</v>
      </c>
      <c r="H1048" t="str">
        <f>_xlfn.XLOOKUP(CKadeaTelcoLogs_Reseau[[#This Row],[Cell_ID]],'CKadeaTelcoRegistre_Maintenance'!A:A,'CKadeaTelcoRegistre_Maintenance'!E:E,"Non repertorié")</f>
        <v>4G</v>
      </c>
      <c r="I1048" t="str">
        <f>_xlfn.XLOOKUP(CKadeaTelcoLogs_Reseau[[#This Row],[Cell_ID]],'CKadeaTelcoRegistre_Maintenance'!A:A,'CKadeaTelcoRegistre_Maintenance'!F:F,"Non repertorié")</f>
        <v>Huawei</v>
      </c>
    </row>
    <row r="1049" spans="1:9" ht="20.5" customHeight="1" x14ac:dyDescent="0.35">
      <c r="A1049" s="1">
        <v>45226.115972222222</v>
      </c>
      <c r="B1049" s="5" t="s">
        <v>320</v>
      </c>
      <c r="C1049">
        <v>5</v>
      </c>
      <c r="D1049" t="s">
        <v>10</v>
      </c>
      <c r="E1049" t="str">
        <f>_xlfn.XLOOKUP(CKadeaTelcoLogs_Reseau[[#This Row],[Cell_ID]],'CKadeaTelcoRegistre_Maintenance'!A:A,'CKadeaTelcoRegistre_Maintenance'!B:B,"Non repertorié")</f>
        <v>Kasai-Oriental</v>
      </c>
      <c r="F1049">
        <f>_xlfn.XLOOKUP(CKadeaTelcoLogs_Reseau[[#This Row],[Cell_ID]],'CKadeaTelcoRegistre_Maintenance'!A:A,'CKadeaTelcoRegistre_Maintenance'!C:C,"Non repertorié")</f>
        <v>2.486888</v>
      </c>
      <c r="G1049">
        <f>_xlfn.XLOOKUP(CKadeaTelcoLogs_Reseau[[#This Row],[Cell_ID]],'CKadeaTelcoRegistre_Maintenance'!A:A,'CKadeaTelcoRegistre_Maintenance'!D:D,"Non repertorié")</f>
        <v>23.798074</v>
      </c>
      <c r="H1049" t="str">
        <f>_xlfn.XLOOKUP(CKadeaTelcoLogs_Reseau[[#This Row],[Cell_ID]],'CKadeaTelcoRegistre_Maintenance'!A:A,'CKadeaTelcoRegistre_Maintenance'!E:E,"Non repertorié")</f>
        <v>5G</v>
      </c>
      <c r="I1049" t="str">
        <f>_xlfn.XLOOKUP(CKadeaTelcoLogs_Reseau[[#This Row],[Cell_ID]],'CKadeaTelcoRegistre_Maintenance'!A:A,'CKadeaTelcoRegistre_Maintenance'!F:F,"Non repertorié")</f>
        <v>ZTE</v>
      </c>
    </row>
    <row r="1050" spans="1:9" ht="20.5" customHeight="1" x14ac:dyDescent="0.35">
      <c r="A1050" s="1">
        <v>45221.167361111111</v>
      </c>
      <c r="B1050" s="5" t="s">
        <v>118</v>
      </c>
      <c r="C1050">
        <v>78</v>
      </c>
      <c r="D1050" t="s">
        <v>8</v>
      </c>
      <c r="E1050" t="str">
        <f>_xlfn.XLOOKUP(CKadeaTelcoLogs_Reseau[[#This Row],[Cell_ID]],'CKadeaTelcoRegistre_Maintenance'!A:A,'CKadeaTelcoRegistre_Maintenance'!B:B,"Non repertorié")</f>
        <v>Kwilu</v>
      </c>
      <c r="F1050">
        <f>_xlfn.XLOOKUP(CKadeaTelcoLogs_Reseau[[#This Row],[Cell_ID]],'CKadeaTelcoRegistre_Maintenance'!A:A,'CKadeaTelcoRegistre_Maintenance'!C:C,"Non repertorié")</f>
        <v>2.4741019999999998</v>
      </c>
      <c r="G1050">
        <f>_xlfn.XLOOKUP(CKadeaTelcoLogs_Reseau[[#This Row],[Cell_ID]],'CKadeaTelcoRegistre_Maintenance'!A:A,'CKadeaTelcoRegistre_Maintenance'!D:D,"Non repertorié")</f>
        <v>29.297391000000001</v>
      </c>
      <c r="H1050" t="str">
        <f>_xlfn.XLOOKUP(CKadeaTelcoLogs_Reseau[[#This Row],[Cell_ID]],'CKadeaTelcoRegistre_Maintenance'!A:A,'CKadeaTelcoRegistre_Maintenance'!E:E,"Non repertorié")</f>
        <v>4G</v>
      </c>
      <c r="I1050" t="str">
        <f>_xlfn.XLOOKUP(CKadeaTelcoLogs_Reseau[[#This Row],[Cell_ID]],'CKadeaTelcoRegistre_Maintenance'!A:A,'CKadeaTelcoRegistre_Maintenance'!F:F,"Non repertorié")</f>
        <v>Ericsson</v>
      </c>
    </row>
    <row r="1051" spans="1:9" ht="20.5" customHeight="1" x14ac:dyDescent="0.35">
      <c r="A1051" s="1">
        <v>45214.931250000001</v>
      </c>
      <c r="B1051" s="5" t="s">
        <v>460</v>
      </c>
      <c r="C1051">
        <v>81</v>
      </c>
      <c r="D1051" t="s">
        <v>8</v>
      </c>
      <c r="E1051" t="str">
        <f>_xlfn.XLOOKUP(CKadeaTelcoLogs_Reseau[[#This Row],[Cell_ID]],'CKadeaTelcoRegistre_Maintenance'!A:A,'CKadeaTelcoRegistre_Maintenance'!B:B,"Non repertorié")</f>
        <v>Non repertorié</v>
      </c>
      <c r="F1051" t="str">
        <f>_xlfn.XLOOKUP(CKadeaTelcoLogs_Reseau[[#This Row],[Cell_ID]],'CKadeaTelcoRegistre_Maintenance'!A:A,'CKadeaTelcoRegistre_Maintenance'!C:C,"Non repertorié")</f>
        <v>Non repertorié</v>
      </c>
      <c r="G1051" t="str">
        <f>_xlfn.XLOOKUP(CKadeaTelcoLogs_Reseau[[#This Row],[Cell_ID]],'CKadeaTelcoRegistre_Maintenance'!A:A,'CKadeaTelcoRegistre_Maintenance'!D:D,"Non repertorié")</f>
        <v>Non repertorié</v>
      </c>
      <c r="H1051" t="str">
        <f>_xlfn.XLOOKUP(CKadeaTelcoLogs_Reseau[[#This Row],[Cell_ID]],'CKadeaTelcoRegistre_Maintenance'!A:A,'CKadeaTelcoRegistre_Maintenance'!E:E,"Non repertorié")</f>
        <v>Non repertorié</v>
      </c>
      <c r="I1051" t="str">
        <f>_xlfn.XLOOKUP(CKadeaTelcoLogs_Reseau[[#This Row],[Cell_ID]],'CKadeaTelcoRegistre_Maintenance'!A:A,'CKadeaTelcoRegistre_Maintenance'!F:F,"Non repertorié")</f>
        <v>Non repertorié</v>
      </c>
    </row>
    <row r="1052" spans="1:9" ht="20.5" customHeight="1" x14ac:dyDescent="0.35">
      <c r="A1052" s="1">
        <v>45201.086111111108</v>
      </c>
      <c r="B1052" s="5" t="s">
        <v>196</v>
      </c>
      <c r="C1052">
        <v>55</v>
      </c>
      <c r="D1052" t="s">
        <v>5</v>
      </c>
      <c r="E1052" t="str">
        <f>_xlfn.XLOOKUP(CKadeaTelcoLogs_Reseau[[#This Row],[Cell_ID]],'CKadeaTelcoRegistre_Maintenance'!A:A,'CKadeaTelcoRegistre_Maintenance'!B:B,"Non repertorié")</f>
        <v>Nord-Kivu</v>
      </c>
      <c r="F1052">
        <f>_xlfn.XLOOKUP(CKadeaTelcoLogs_Reseau[[#This Row],[Cell_ID]],'CKadeaTelcoRegistre_Maintenance'!A:A,'CKadeaTelcoRegistre_Maintenance'!C:C,"Non repertorié")</f>
        <v>-1.8555980000000001</v>
      </c>
      <c r="G1052">
        <f>_xlfn.XLOOKUP(CKadeaTelcoLogs_Reseau[[#This Row],[Cell_ID]],'CKadeaTelcoRegistre_Maintenance'!A:A,'CKadeaTelcoRegistre_Maintenance'!D:D,"Non repertorié")</f>
        <v>30.421918000000002</v>
      </c>
      <c r="H1052" t="str">
        <f>_xlfn.XLOOKUP(CKadeaTelcoLogs_Reseau[[#This Row],[Cell_ID]],'CKadeaTelcoRegistre_Maintenance'!A:A,'CKadeaTelcoRegistre_Maintenance'!E:E,"Non repertorié")</f>
        <v>3G</v>
      </c>
      <c r="I1052" t="str">
        <f>_xlfn.XLOOKUP(CKadeaTelcoLogs_Reseau[[#This Row],[Cell_ID]],'CKadeaTelcoRegistre_Maintenance'!A:A,'CKadeaTelcoRegistre_Maintenance'!F:F,"Non repertorié")</f>
        <v>ZTE</v>
      </c>
    </row>
    <row r="1053" spans="1:9" ht="20.5" customHeight="1" x14ac:dyDescent="0.35">
      <c r="A1053" s="1">
        <v>45201.243055555555</v>
      </c>
      <c r="B1053" s="5" t="s">
        <v>299</v>
      </c>
      <c r="C1053">
        <v>73</v>
      </c>
      <c r="D1053" t="s">
        <v>8</v>
      </c>
      <c r="E1053" t="str">
        <f>_xlfn.XLOOKUP(CKadeaTelcoLogs_Reseau[[#This Row],[Cell_ID]],'CKadeaTelcoRegistre_Maintenance'!A:A,'CKadeaTelcoRegistre_Maintenance'!B:B,"Non repertorié")</f>
        <v>Non repertorié</v>
      </c>
      <c r="F1053" t="str">
        <f>_xlfn.XLOOKUP(CKadeaTelcoLogs_Reseau[[#This Row],[Cell_ID]],'CKadeaTelcoRegistre_Maintenance'!A:A,'CKadeaTelcoRegistre_Maintenance'!C:C,"Non repertorié")</f>
        <v>Non repertorié</v>
      </c>
      <c r="G1053" t="str">
        <f>_xlfn.XLOOKUP(CKadeaTelcoLogs_Reseau[[#This Row],[Cell_ID]],'CKadeaTelcoRegistre_Maintenance'!A:A,'CKadeaTelcoRegistre_Maintenance'!D:D,"Non repertorié")</f>
        <v>Non repertorié</v>
      </c>
      <c r="H1053" t="str">
        <f>_xlfn.XLOOKUP(CKadeaTelcoLogs_Reseau[[#This Row],[Cell_ID]],'CKadeaTelcoRegistre_Maintenance'!A:A,'CKadeaTelcoRegistre_Maintenance'!E:E,"Non repertorié")</f>
        <v>Non repertorié</v>
      </c>
      <c r="I1053" t="str">
        <f>_xlfn.XLOOKUP(CKadeaTelcoLogs_Reseau[[#This Row],[Cell_ID]],'CKadeaTelcoRegistre_Maintenance'!A:A,'CKadeaTelcoRegistre_Maintenance'!F:F,"Non repertorié")</f>
        <v>Non repertorié</v>
      </c>
    </row>
    <row r="1054" spans="1:9" ht="20.5" customHeight="1" x14ac:dyDescent="0.35">
      <c r="A1054" s="1">
        <v>45208.711111111108</v>
      </c>
      <c r="B1054" s="5" t="s">
        <v>350</v>
      </c>
      <c r="C1054">
        <v>75</v>
      </c>
      <c r="D1054" t="s">
        <v>8</v>
      </c>
      <c r="E1054" t="str">
        <f>_xlfn.XLOOKUP(CKadeaTelcoLogs_Reseau[[#This Row],[Cell_ID]],'CKadeaTelcoRegistre_Maintenance'!A:A,'CKadeaTelcoRegistre_Maintenance'!B:B,"Non repertorié")</f>
        <v>Non repertorié</v>
      </c>
      <c r="F1054" t="str">
        <f>_xlfn.XLOOKUP(CKadeaTelcoLogs_Reseau[[#This Row],[Cell_ID]],'CKadeaTelcoRegistre_Maintenance'!A:A,'CKadeaTelcoRegistre_Maintenance'!C:C,"Non repertorié")</f>
        <v>Non repertorié</v>
      </c>
      <c r="G1054" t="str">
        <f>_xlfn.XLOOKUP(CKadeaTelcoLogs_Reseau[[#This Row],[Cell_ID]],'CKadeaTelcoRegistre_Maintenance'!A:A,'CKadeaTelcoRegistre_Maintenance'!D:D,"Non repertorié")</f>
        <v>Non repertorié</v>
      </c>
      <c r="H1054" t="str">
        <f>_xlfn.XLOOKUP(CKadeaTelcoLogs_Reseau[[#This Row],[Cell_ID]],'CKadeaTelcoRegistre_Maintenance'!A:A,'CKadeaTelcoRegistre_Maintenance'!E:E,"Non repertorié")</f>
        <v>Non repertorié</v>
      </c>
      <c r="I1054" t="str">
        <f>_xlfn.XLOOKUP(CKadeaTelcoLogs_Reseau[[#This Row],[Cell_ID]],'CKadeaTelcoRegistre_Maintenance'!A:A,'CKadeaTelcoRegistre_Maintenance'!F:F,"Non repertorié")</f>
        <v>Non repertorié</v>
      </c>
    </row>
    <row r="1055" spans="1:9" ht="20.5" customHeight="1" x14ac:dyDescent="0.35">
      <c r="A1055" s="1">
        <v>45218.331944444442</v>
      </c>
      <c r="B1055" s="5" t="s">
        <v>196</v>
      </c>
      <c r="C1055">
        <v>15</v>
      </c>
      <c r="D1055" t="s">
        <v>10</v>
      </c>
      <c r="E1055" t="str">
        <f>_xlfn.XLOOKUP(CKadeaTelcoLogs_Reseau[[#This Row],[Cell_ID]],'CKadeaTelcoRegistre_Maintenance'!A:A,'CKadeaTelcoRegistre_Maintenance'!B:B,"Non repertorié")</f>
        <v>Nord-Kivu</v>
      </c>
      <c r="F1055">
        <f>_xlfn.XLOOKUP(CKadeaTelcoLogs_Reseau[[#This Row],[Cell_ID]],'CKadeaTelcoRegistre_Maintenance'!A:A,'CKadeaTelcoRegistre_Maintenance'!C:C,"Non repertorié")</f>
        <v>-1.8555980000000001</v>
      </c>
      <c r="G1055">
        <f>_xlfn.XLOOKUP(CKadeaTelcoLogs_Reseau[[#This Row],[Cell_ID]],'CKadeaTelcoRegistre_Maintenance'!A:A,'CKadeaTelcoRegistre_Maintenance'!D:D,"Non repertorié")</f>
        <v>30.421918000000002</v>
      </c>
      <c r="H1055" t="str">
        <f>_xlfn.XLOOKUP(CKadeaTelcoLogs_Reseau[[#This Row],[Cell_ID]],'CKadeaTelcoRegistre_Maintenance'!A:A,'CKadeaTelcoRegistre_Maintenance'!E:E,"Non repertorié")</f>
        <v>3G</v>
      </c>
      <c r="I1055" t="str">
        <f>_xlfn.XLOOKUP(CKadeaTelcoLogs_Reseau[[#This Row],[Cell_ID]],'CKadeaTelcoRegistre_Maintenance'!A:A,'CKadeaTelcoRegistre_Maintenance'!F:F,"Non repertorié")</f>
        <v>ZTE</v>
      </c>
    </row>
    <row r="1056" spans="1:9" ht="20.5" customHeight="1" x14ac:dyDescent="0.35">
      <c r="A1056" s="1">
        <v>45208.558333333334</v>
      </c>
      <c r="B1056" s="5" t="s">
        <v>652</v>
      </c>
      <c r="C1056">
        <v>44</v>
      </c>
      <c r="D1056" t="s">
        <v>10</v>
      </c>
      <c r="E1056" t="str">
        <f>_xlfn.XLOOKUP(CKadeaTelcoLogs_Reseau[[#This Row],[Cell_ID]],'CKadeaTelcoRegistre_Maintenance'!A:A,'CKadeaTelcoRegistre_Maintenance'!B:B,"Non repertorié")</f>
        <v>Kasai-Central</v>
      </c>
      <c r="F1056">
        <f>_xlfn.XLOOKUP(CKadeaTelcoLogs_Reseau[[#This Row],[Cell_ID]],'CKadeaTelcoRegistre_Maintenance'!A:A,'CKadeaTelcoRegistre_Maintenance'!C:C,"Non repertorié")</f>
        <v>-8.0800809999999998</v>
      </c>
      <c r="G1056">
        <f>_xlfn.XLOOKUP(CKadeaTelcoLogs_Reseau[[#This Row],[Cell_ID]],'CKadeaTelcoRegistre_Maintenance'!A:A,'CKadeaTelcoRegistre_Maintenance'!D:D,"Non repertorié")</f>
        <v>30.147970999999998</v>
      </c>
      <c r="H1056" t="str">
        <f>_xlfn.XLOOKUP(CKadeaTelcoLogs_Reseau[[#This Row],[Cell_ID]],'CKadeaTelcoRegistre_Maintenance'!A:A,'CKadeaTelcoRegistre_Maintenance'!E:E,"Non repertorié")</f>
        <v>5G</v>
      </c>
      <c r="I1056" t="str">
        <f>_xlfn.XLOOKUP(CKadeaTelcoLogs_Reseau[[#This Row],[Cell_ID]],'CKadeaTelcoRegistre_Maintenance'!A:A,'CKadeaTelcoRegistre_Maintenance'!F:F,"Non repertorié")</f>
        <v>Huawei</v>
      </c>
    </row>
    <row r="1057" spans="1:9" ht="20.5" customHeight="1" x14ac:dyDescent="0.35">
      <c r="A1057" s="1">
        <v>45214.850694444445</v>
      </c>
      <c r="B1057" s="5" t="s">
        <v>354</v>
      </c>
      <c r="C1057">
        <v>31</v>
      </c>
      <c r="D1057" t="s">
        <v>10</v>
      </c>
      <c r="E1057" t="str">
        <f>_xlfn.XLOOKUP(CKadeaTelcoLogs_Reseau[[#This Row],[Cell_ID]],'CKadeaTelcoRegistre_Maintenance'!A:A,'CKadeaTelcoRegistre_Maintenance'!B:B,"Non repertorié")</f>
        <v>Kasai-Oriental</v>
      </c>
      <c r="F1057">
        <f>_xlfn.XLOOKUP(CKadeaTelcoLogs_Reseau[[#This Row],[Cell_ID]],'CKadeaTelcoRegistre_Maintenance'!A:A,'CKadeaTelcoRegistre_Maintenance'!C:C,"Non repertorié")</f>
        <v>-5.4073029999999997</v>
      </c>
      <c r="G1057">
        <f>_xlfn.XLOOKUP(CKadeaTelcoLogs_Reseau[[#This Row],[Cell_ID]],'CKadeaTelcoRegistre_Maintenance'!A:A,'CKadeaTelcoRegistre_Maintenance'!D:D,"Non repertorié")</f>
        <v>29.762294000000001</v>
      </c>
      <c r="H1057" t="str">
        <f>_xlfn.XLOOKUP(CKadeaTelcoLogs_Reseau[[#This Row],[Cell_ID]],'CKadeaTelcoRegistre_Maintenance'!A:A,'CKadeaTelcoRegistre_Maintenance'!E:E,"Non repertorié")</f>
        <v>3G</v>
      </c>
      <c r="I1057" t="str">
        <f>_xlfn.XLOOKUP(CKadeaTelcoLogs_Reseau[[#This Row],[Cell_ID]],'CKadeaTelcoRegistre_Maintenance'!A:A,'CKadeaTelcoRegistre_Maintenance'!F:F,"Non repertorié")</f>
        <v>Ericsson</v>
      </c>
    </row>
    <row r="1058" spans="1:9" ht="20.5" customHeight="1" x14ac:dyDescent="0.35">
      <c r="A1058" s="1">
        <v>45213.417361111111</v>
      </c>
      <c r="B1058" s="5" t="s">
        <v>335</v>
      </c>
      <c r="C1058">
        <v>100</v>
      </c>
      <c r="D1058" t="s">
        <v>5</v>
      </c>
      <c r="E1058" t="str">
        <f>_xlfn.XLOOKUP(CKadeaTelcoLogs_Reseau[[#This Row],[Cell_ID]],'CKadeaTelcoRegistre_Maintenance'!A:A,'CKadeaTelcoRegistre_Maintenance'!B:B,"Non repertorié")</f>
        <v>Non repertorié</v>
      </c>
      <c r="F1058" t="str">
        <f>_xlfn.XLOOKUP(CKadeaTelcoLogs_Reseau[[#This Row],[Cell_ID]],'CKadeaTelcoRegistre_Maintenance'!A:A,'CKadeaTelcoRegistre_Maintenance'!C:C,"Non repertorié")</f>
        <v>Non repertorié</v>
      </c>
      <c r="G1058" t="str">
        <f>_xlfn.XLOOKUP(CKadeaTelcoLogs_Reseau[[#This Row],[Cell_ID]],'CKadeaTelcoRegistre_Maintenance'!A:A,'CKadeaTelcoRegistre_Maintenance'!D:D,"Non repertorié")</f>
        <v>Non repertorié</v>
      </c>
      <c r="H1058" t="str">
        <f>_xlfn.XLOOKUP(CKadeaTelcoLogs_Reseau[[#This Row],[Cell_ID]],'CKadeaTelcoRegistre_Maintenance'!A:A,'CKadeaTelcoRegistre_Maintenance'!E:E,"Non repertorié")</f>
        <v>Non repertorié</v>
      </c>
      <c r="I1058" t="str">
        <f>_xlfn.XLOOKUP(CKadeaTelcoLogs_Reseau[[#This Row],[Cell_ID]],'CKadeaTelcoRegistre_Maintenance'!A:A,'CKadeaTelcoRegistre_Maintenance'!F:F,"Non repertorié")</f>
        <v>Non repertorié</v>
      </c>
    </row>
    <row r="1059" spans="1:9" ht="20.5" customHeight="1" x14ac:dyDescent="0.35">
      <c r="A1059" s="1">
        <v>45212.879861111112</v>
      </c>
      <c r="B1059" s="5" t="s">
        <v>348</v>
      </c>
      <c r="C1059">
        <v>99</v>
      </c>
      <c r="D1059" t="s">
        <v>5</v>
      </c>
      <c r="E1059" t="str">
        <f>_xlfn.XLOOKUP(CKadeaTelcoLogs_Reseau[[#This Row],[Cell_ID]],'CKadeaTelcoRegistre_Maintenance'!A:A,'CKadeaTelcoRegistre_Maintenance'!B:B,"Non repertorié")</f>
        <v>Non repertorié</v>
      </c>
      <c r="F1059" t="str">
        <f>_xlfn.XLOOKUP(CKadeaTelcoLogs_Reseau[[#This Row],[Cell_ID]],'CKadeaTelcoRegistre_Maintenance'!A:A,'CKadeaTelcoRegistre_Maintenance'!C:C,"Non repertorié")</f>
        <v>Non repertorié</v>
      </c>
      <c r="G1059" t="str">
        <f>_xlfn.XLOOKUP(CKadeaTelcoLogs_Reseau[[#This Row],[Cell_ID]],'CKadeaTelcoRegistre_Maintenance'!A:A,'CKadeaTelcoRegistre_Maintenance'!D:D,"Non repertorié")</f>
        <v>Non repertorié</v>
      </c>
      <c r="H1059" t="str">
        <f>_xlfn.XLOOKUP(CKadeaTelcoLogs_Reseau[[#This Row],[Cell_ID]],'CKadeaTelcoRegistre_Maintenance'!A:A,'CKadeaTelcoRegistre_Maintenance'!E:E,"Non repertorié")</f>
        <v>Non repertorié</v>
      </c>
      <c r="I1059" t="str">
        <f>_xlfn.XLOOKUP(CKadeaTelcoLogs_Reseau[[#This Row],[Cell_ID]],'CKadeaTelcoRegistre_Maintenance'!A:A,'CKadeaTelcoRegistre_Maintenance'!F:F,"Non repertorié")</f>
        <v>Non repertorié</v>
      </c>
    </row>
    <row r="1060" spans="1:9" ht="20.5" customHeight="1" x14ac:dyDescent="0.35">
      <c r="A1060" s="1">
        <v>45217.02847222222</v>
      </c>
      <c r="B1060" s="5" t="s">
        <v>310</v>
      </c>
      <c r="C1060">
        <v>120</v>
      </c>
      <c r="D1060" t="s">
        <v>10</v>
      </c>
      <c r="E1060" t="str">
        <f>_xlfn.XLOOKUP(CKadeaTelcoLogs_Reseau[[#This Row],[Cell_ID]],'CKadeaTelcoRegistre_Maintenance'!A:A,'CKadeaTelcoRegistre_Maintenance'!B:B,"Non repertorié")</f>
        <v>Sud-Kivu</v>
      </c>
      <c r="F1060">
        <f>_xlfn.XLOOKUP(CKadeaTelcoLogs_Reseau[[#This Row],[Cell_ID]],'CKadeaTelcoRegistre_Maintenance'!A:A,'CKadeaTelcoRegistre_Maintenance'!C:C,"Non repertorié")</f>
        <v>-4.1694589999999998</v>
      </c>
      <c r="G1060">
        <f>_xlfn.XLOOKUP(CKadeaTelcoLogs_Reseau[[#This Row],[Cell_ID]],'CKadeaTelcoRegistre_Maintenance'!A:A,'CKadeaTelcoRegistre_Maintenance'!D:D,"Non repertorié")</f>
        <v>23.376487000000001</v>
      </c>
      <c r="H1060" t="str">
        <f>_xlfn.XLOOKUP(CKadeaTelcoLogs_Reseau[[#This Row],[Cell_ID]],'CKadeaTelcoRegistre_Maintenance'!A:A,'CKadeaTelcoRegistre_Maintenance'!E:E,"Non repertorié")</f>
        <v>3G</v>
      </c>
      <c r="I1060" t="str">
        <f>_xlfn.XLOOKUP(CKadeaTelcoLogs_Reseau[[#This Row],[Cell_ID]],'CKadeaTelcoRegistre_Maintenance'!A:A,'CKadeaTelcoRegistre_Maintenance'!F:F,"Non repertorié")</f>
        <v>Nokia</v>
      </c>
    </row>
    <row r="1061" spans="1:9" ht="20.5" customHeight="1" x14ac:dyDescent="0.35">
      <c r="A1061" s="1">
        <v>45223.794444444444</v>
      </c>
      <c r="B1061" s="5" t="s">
        <v>661</v>
      </c>
      <c r="C1061">
        <v>97</v>
      </c>
      <c r="D1061" t="s">
        <v>5</v>
      </c>
      <c r="E1061" t="str">
        <f>_xlfn.XLOOKUP(CKadeaTelcoLogs_Reseau[[#This Row],[Cell_ID]],'CKadeaTelcoRegistre_Maintenance'!A:A,'CKadeaTelcoRegistre_Maintenance'!B:B,"Non repertorié")</f>
        <v>Haut-Uele</v>
      </c>
      <c r="F1061">
        <f>_xlfn.XLOOKUP(CKadeaTelcoLogs_Reseau[[#This Row],[Cell_ID]],'CKadeaTelcoRegistre_Maintenance'!A:A,'CKadeaTelcoRegistre_Maintenance'!C:C,"Non repertorié")</f>
        <v>1.0134879999999999</v>
      </c>
      <c r="G1061">
        <f>_xlfn.XLOOKUP(CKadeaTelcoLogs_Reseau[[#This Row],[Cell_ID]],'CKadeaTelcoRegistre_Maintenance'!A:A,'CKadeaTelcoRegistre_Maintenance'!D:D,"Non repertorié")</f>
        <v>20.363515</v>
      </c>
      <c r="H1061" t="str">
        <f>_xlfn.XLOOKUP(CKadeaTelcoLogs_Reseau[[#This Row],[Cell_ID]],'CKadeaTelcoRegistre_Maintenance'!A:A,'CKadeaTelcoRegistre_Maintenance'!E:E,"Non repertorié")</f>
        <v>4G</v>
      </c>
      <c r="I1061" t="str">
        <f>_xlfn.XLOOKUP(CKadeaTelcoLogs_Reseau[[#This Row],[Cell_ID]],'CKadeaTelcoRegistre_Maintenance'!A:A,'CKadeaTelcoRegistre_Maintenance'!F:F,"Non repertorié")</f>
        <v>Nokia</v>
      </c>
    </row>
    <row r="1062" spans="1:9" ht="20.5" customHeight="1" x14ac:dyDescent="0.35">
      <c r="A1062" s="1">
        <v>45224.984027777777</v>
      </c>
      <c r="B1062" s="5" t="s">
        <v>662</v>
      </c>
      <c r="C1062">
        <v>49</v>
      </c>
      <c r="D1062" t="s">
        <v>5</v>
      </c>
      <c r="E1062" t="str">
        <f>_xlfn.XLOOKUP(CKadeaTelcoLogs_Reseau[[#This Row],[Cell_ID]],'CKadeaTelcoRegistre_Maintenance'!A:A,'CKadeaTelcoRegistre_Maintenance'!B:B,"Non repertorié")</f>
        <v>Non repertorié</v>
      </c>
      <c r="F1062" t="str">
        <f>_xlfn.XLOOKUP(CKadeaTelcoLogs_Reseau[[#This Row],[Cell_ID]],'CKadeaTelcoRegistre_Maintenance'!A:A,'CKadeaTelcoRegistre_Maintenance'!C:C,"Non repertorié")</f>
        <v>Non repertorié</v>
      </c>
      <c r="G1062" t="str">
        <f>_xlfn.XLOOKUP(CKadeaTelcoLogs_Reseau[[#This Row],[Cell_ID]],'CKadeaTelcoRegistre_Maintenance'!A:A,'CKadeaTelcoRegistre_Maintenance'!D:D,"Non repertorié")</f>
        <v>Non repertorié</v>
      </c>
      <c r="H1062" t="str">
        <f>_xlfn.XLOOKUP(CKadeaTelcoLogs_Reseau[[#This Row],[Cell_ID]],'CKadeaTelcoRegistre_Maintenance'!A:A,'CKadeaTelcoRegistre_Maintenance'!E:E,"Non repertorié")</f>
        <v>Non repertorié</v>
      </c>
      <c r="I1062" t="str">
        <f>_xlfn.XLOOKUP(CKadeaTelcoLogs_Reseau[[#This Row],[Cell_ID]],'CKadeaTelcoRegistre_Maintenance'!A:A,'CKadeaTelcoRegistre_Maintenance'!F:F,"Non repertorié")</f>
        <v>Non repertorié</v>
      </c>
    </row>
    <row r="1063" spans="1:9" ht="20.5" customHeight="1" x14ac:dyDescent="0.35">
      <c r="A1063" s="1">
        <v>45201.95416666667</v>
      </c>
      <c r="B1063" s="5" t="s">
        <v>663</v>
      </c>
      <c r="C1063">
        <v>32</v>
      </c>
      <c r="D1063" t="s">
        <v>8</v>
      </c>
      <c r="E1063" t="str">
        <f>_xlfn.XLOOKUP(CKadeaTelcoLogs_Reseau[[#This Row],[Cell_ID]],'CKadeaTelcoRegistre_Maintenance'!A:A,'CKadeaTelcoRegistre_Maintenance'!B:B,"Non repertorié")</f>
        <v>Non repertorié</v>
      </c>
      <c r="F1063" t="str">
        <f>_xlfn.XLOOKUP(CKadeaTelcoLogs_Reseau[[#This Row],[Cell_ID]],'CKadeaTelcoRegistre_Maintenance'!A:A,'CKadeaTelcoRegistre_Maintenance'!C:C,"Non repertorié")</f>
        <v>Non repertorié</v>
      </c>
      <c r="G1063" t="str">
        <f>_xlfn.XLOOKUP(CKadeaTelcoLogs_Reseau[[#This Row],[Cell_ID]],'CKadeaTelcoRegistre_Maintenance'!A:A,'CKadeaTelcoRegistre_Maintenance'!D:D,"Non repertorié")</f>
        <v>Non repertorié</v>
      </c>
      <c r="H1063" t="str">
        <f>_xlfn.XLOOKUP(CKadeaTelcoLogs_Reseau[[#This Row],[Cell_ID]],'CKadeaTelcoRegistre_Maintenance'!A:A,'CKadeaTelcoRegistre_Maintenance'!E:E,"Non repertorié")</f>
        <v>Non repertorié</v>
      </c>
      <c r="I1063" t="str">
        <f>_xlfn.XLOOKUP(CKadeaTelcoLogs_Reseau[[#This Row],[Cell_ID]],'CKadeaTelcoRegistre_Maintenance'!A:A,'CKadeaTelcoRegistre_Maintenance'!F:F,"Non repertorié")</f>
        <v>Non repertorié</v>
      </c>
    </row>
    <row r="1064" spans="1:9" ht="20.5" customHeight="1" x14ac:dyDescent="0.35">
      <c r="A1064" s="1">
        <v>45202.499305555553</v>
      </c>
      <c r="B1064" s="5" t="s">
        <v>536</v>
      </c>
      <c r="C1064">
        <v>57</v>
      </c>
      <c r="D1064" t="s">
        <v>8</v>
      </c>
      <c r="E1064" t="str">
        <f>_xlfn.XLOOKUP(CKadeaTelcoLogs_Reseau[[#This Row],[Cell_ID]],'CKadeaTelcoRegistre_Maintenance'!A:A,'CKadeaTelcoRegistre_Maintenance'!B:B,"Non repertorié")</f>
        <v>Non repertorié</v>
      </c>
      <c r="F1064" t="str">
        <f>_xlfn.XLOOKUP(CKadeaTelcoLogs_Reseau[[#This Row],[Cell_ID]],'CKadeaTelcoRegistre_Maintenance'!A:A,'CKadeaTelcoRegistre_Maintenance'!C:C,"Non repertorié")</f>
        <v>Non repertorié</v>
      </c>
      <c r="G1064" t="str">
        <f>_xlfn.XLOOKUP(CKadeaTelcoLogs_Reseau[[#This Row],[Cell_ID]],'CKadeaTelcoRegistre_Maintenance'!A:A,'CKadeaTelcoRegistre_Maintenance'!D:D,"Non repertorié")</f>
        <v>Non repertorié</v>
      </c>
      <c r="H1064" t="str">
        <f>_xlfn.XLOOKUP(CKadeaTelcoLogs_Reseau[[#This Row],[Cell_ID]],'CKadeaTelcoRegistre_Maintenance'!A:A,'CKadeaTelcoRegistre_Maintenance'!E:E,"Non repertorié")</f>
        <v>Non repertorié</v>
      </c>
      <c r="I1064" t="str">
        <f>_xlfn.XLOOKUP(CKadeaTelcoLogs_Reseau[[#This Row],[Cell_ID]],'CKadeaTelcoRegistre_Maintenance'!A:A,'CKadeaTelcoRegistre_Maintenance'!F:F,"Non repertorié")</f>
        <v>Non repertorié</v>
      </c>
    </row>
    <row r="1065" spans="1:9" ht="20.5" customHeight="1" x14ac:dyDescent="0.35">
      <c r="A1065" s="1">
        <v>45216.137499999997</v>
      </c>
      <c r="B1065" s="5" t="s">
        <v>664</v>
      </c>
      <c r="C1065">
        <v>120</v>
      </c>
      <c r="D1065" t="s">
        <v>8</v>
      </c>
      <c r="E1065" t="str">
        <f>_xlfn.XLOOKUP(CKadeaTelcoLogs_Reseau[[#This Row],[Cell_ID]],'CKadeaTelcoRegistre_Maintenance'!A:A,'CKadeaTelcoRegistre_Maintenance'!B:B,"Non repertorié")</f>
        <v>Mongala</v>
      </c>
      <c r="F1065">
        <f>_xlfn.XLOOKUP(CKadeaTelcoLogs_Reseau[[#This Row],[Cell_ID]],'CKadeaTelcoRegistre_Maintenance'!A:A,'CKadeaTelcoRegistre_Maintenance'!C:C,"Non repertorié")</f>
        <v>-7.2267089999999996</v>
      </c>
      <c r="G1065">
        <f>_xlfn.XLOOKUP(CKadeaTelcoLogs_Reseau[[#This Row],[Cell_ID]],'CKadeaTelcoRegistre_Maintenance'!A:A,'CKadeaTelcoRegistre_Maintenance'!D:D,"Non repertorié")</f>
        <v>28.421362999999999</v>
      </c>
      <c r="H1065" t="str">
        <f>_xlfn.XLOOKUP(CKadeaTelcoLogs_Reseau[[#This Row],[Cell_ID]],'CKadeaTelcoRegistre_Maintenance'!A:A,'CKadeaTelcoRegistre_Maintenance'!E:E,"Non repertorié")</f>
        <v>5G</v>
      </c>
      <c r="I1065" t="str">
        <f>_xlfn.XLOOKUP(CKadeaTelcoLogs_Reseau[[#This Row],[Cell_ID]],'CKadeaTelcoRegistre_Maintenance'!A:A,'CKadeaTelcoRegistre_Maintenance'!F:F,"Non repertorié")</f>
        <v>Ericsson</v>
      </c>
    </row>
    <row r="1066" spans="1:9" ht="20.5" customHeight="1" x14ac:dyDescent="0.35">
      <c r="A1066" s="1">
        <v>45225.888194444444</v>
      </c>
      <c r="B1066" s="5" t="s">
        <v>665</v>
      </c>
      <c r="C1066">
        <v>87</v>
      </c>
      <c r="D1066" t="s">
        <v>10</v>
      </c>
      <c r="E1066" t="str">
        <f>_xlfn.XLOOKUP(CKadeaTelcoLogs_Reseau[[#This Row],[Cell_ID]],'CKadeaTelcoRegistre_Maintenance'!A:A,'CKadeaTelcoRegistre_Maintenance'!B:B,"Non repertorié")</f>
        <v>Haut-Lomami</v>
      </c>
      <c r="F1066">
        <f>_xlfn.XLOOKUP(CKadeaTelcoLogs_Reseau[[#This Row],[Cell_ID]],'CKadeaTelcoRegistre_Maintenance'!A:A,'CKadeaTelcoRegistre_Maintenance'!C:C,"Non repertorié")</f>
        <v>-5.8145569999999998</v>
      </c>
      <c r="G1066">
        <f>_xlfn.XLOOKUP(CKadeaTelcoLogs_Reseau[[#This Row],[Cell_ID]],'CKadeaTelcoRegistre_Maintenance'!A:A,'CKadeaTelcoRegistre_Maintenance'!D:D,"Non repertorié")</f>
        <v>21.942052</v>
      </c>
      <c r="H1066" t="str">
        <f>_xlfn.XLOOKUP(CKadeaTelcoLogs_Reseau[[#This Row],[Cell_ID]],'CKadeaTelcoRegistre_Maintenance'!A:A,'CKadeaTelcoRegistre_Maintenance'!E:E,"Non repertorié")</f>
        <v>5G</v>
      </c>
      <c r="I1066" t="str">
        <f>_xlfn.XLOOKUP(CKadeaTelcoLogs_Reseau[[#This Row],[Cell_ID]],'CKadeaTelcoRegistre_Maintenance'!A:A,'CKadeaTelcoRegistre_Maintenance'!F:F,"Non repertorié")</f>
        <v>Huawei</v>
      </c>
    </row>
    <row r="1067" spans="1:9" ht="20.5" customHeight="1" x14ac:dyDescent="0.35">
      <c r="A1067" s="1">
        <v>45219.095833333333</v>
      </c>
      <c r="B1067" s="5" t="s">
        <v>171</v>
      </c>
      <c r="C1067">
        <v>113</v>
      </c>
      <c r="D1067" t="s">
        <v>10</v>
      </c>
      <c r="E1067" t="str">
        <f>_xlfn.XLOOKUP(CKadeaTelcoLogs_Reseau[[#This Row],[Cell_ID]],'CKadeaTelcoRegistre_Maintenance'!A:A,'CKadeaTelcoRegistre_Maintenance'!B:B,"Non repertorié")</f>
        <v>Bas-Uele</v>
      </c>
      <c r="F1067">
        <f>_xlfn.XLOOKUP(CKadeaTelcoLogs_Reseau[[#This Row],[Cell_ID]],'CKadeaTelcoRegistre_Maintenance'!A:A,'CKadeaTelcoRegistre_Maintenance'!C:C,"Non repertorié")</f>
        <v>-3.6945459999999999</v>
      </c>
      <c r="G1067">
        <f>_xlfn.XLOOKUP(CKadeaTelcoLogs_Reseau[[#This Row],[Cell_ID]],'CKadeaTelcoRegistre_Maintenance'!A:A,'CKadeaTelcoRegistre_Maintenance'!D:D,"Non repertorié")</f>
        <v>16.809108999999999</v>
      </c>
      <c r="H1067" t="str">
        <f>_xlfn.XLOOKUP(CKadeaTelcoLogs_Reseau[[#This Row],[Cell_ID]],'CKadeaTelcoRegistre_Maintenance'!A:A,'CKadeaTelcoRegistre_Maintenance'!E:E,"Non repertorié")</f>
        <v>5G</v>
      </c>
      <c r="I1067" t="str">
        <f>_xlfn.XLOOKUP(CKadeaTelcoLogs_Reseau[[#This Row],[Cell_ID]],'CKadeaTelcoRegistre_Maintenance'!A:A,'CKadeaTelcoRegistre_Maintenance'!F:F,"Non repertorié")</f>
        <v>ZTE</v>
      </c>
    </row>
    <row r="1068" spans="1:9" ht="20.5" customHeight="1" x14ac:dyDescent="0.35">
      <c r="A1068" s="1">
        <v>45224.6</v>
      </c>
      <c r="B1068" s="5" t="s">
        <v>666</v>
      </c>
      <c r="C1068">
        <v>70</v>
      </c>
      <c r="D1068" t="s">
        <v>10</v>
      </c>
      <c r="E1068" t="str">
        <f>_xlfn.XLOOKUP(CKadeaTelcoLogs_Reseau[[#This Row],[Cell_ID]],'CKadeaTelcoRegistre_Maintenance'!A:A,'CKadeaTelcoRegistre_Maintenance'!B:B,"Non repertorié")</f>
        <v>Non repertorié</v>
      </c>
      <c r="F1068" t="str">
        <f>_xlfn.XLOOKUP(CKadeaTelcoLogs_Reseau[[#This Row],[Cell_ID]],'CKadeaTelcoRegistre_Maintenance'!A:A,'CKadeaTelcoRegistre_Maintenance'!C:C,"Non repertorié")</f>
        <v>Non repertorié</v>
      </c>
      <c r="G1068" t="str">
        <f>_xlfn.XLOOKUP(CKadeaTelcoLogs_Reseau[[#This Row],[Cell_ID]],'CKadeaTelcoRegistre_Maintenance'!A:A,'CKadeaTelcoRegistre_Maintenance'!D:D,"Non repertorié")</f>
        <v>Non repertorié</v>
      </c>
      <c r="H1068" t="str">
        <f>_xlfn.XLOOKUP(CKadeaTelcoLogs_Reseau[[#This Row],[Cell_ID]],'CKadeaTelcoRegistre_Maintenance'!A:A,'CKadeaTelcoRegistre_Maintenance'!E:E,"Non repertorié")</f>
        <v>Non repertorié</v>
      </c>
      <c r="I1068" t="str">
        <f>_xlfn.XLOOKUP(CKadeaTelcoLogs_Reseau[[#This Row],[Cell_ID]],'CKadeaTelcoRegistre_Maintenance'!A:A,'CKadeaTelcoRegistre_Maintenance'!F:F,"Non repertorié")</f>
        <v>Non repertorié</v>
      </c>
    </row>
    <row r="1069" spans="1:9" ht="20.5" customHeight="1" x14ac:dyDescent="0.35">
      <c r="A1069" s="1">
        <v>45212.875694444447</v>
      </c>
      <c r="B1069" s="5" t="s">
        <v>667</v>
      </c>
      <c r="C1069">
        <v>23</v>
      </c>
      <c r="D1069" t="s">
        <v>5</v>
      </c>
      <c r="E1069" t="str">
        <f>_xlfn.XLOOKUP(CKadeaTelcoLogs_Reseau[[#This Row],[Cell_ID]],'CKadeaTelcoRegistre_Maintenance'!A:A,'CKadeaTelcoRegistre_Maintenance'!B:B,"Non repertorié")</f>
        <v>Kwilu</v>
      </c>
      <c r="F1069">
        <f>_xlfn.XLOOKUP(CKadeaTelcoLogs_Reseau[[#This Row],[Cell_ID]],'CKadeaTelcoRegistre_Maintenance'!A:A,'CKadeaTelcoRegistre_Maintenance'!C:C,"Non repertorié")</f>
        <v>1.2691650000000001</v>
      </c>
      <c r="G1069">
        <f>_xlfn.XLOOKUP(CKadeaTelcoLogs_Reseau[[#This Row],[Cell_ID]],'CKadeaTelcoRegistre_Maintenance'!A:A,'CKadeaTelcoRegistre_Maintenance'!D:D,"Non repertorié")</f>
        <v>18.789956</v>
      </c>
      <c r="H1069" t="str">
        <f>_xlfn.XLOOKUP(CKadeaTelcoLogs_Reseau[[#This Row],[Cell_ID]],'CKadeaTelcoRegistre_Maintenance'!A:A,'CKadeaTelcoRegistre_Maintenance'!E:E,"Non repertorié")</f>
        <v>3G</v>
      </c>
      <c r="I1069" t="str">
        <f>_xlfn.XLOOKUP(CKadeaTelcoLogs_Reseau[[#This Row],[Cell_ID]],'CKadeaTelcoRegistre_Maintenance'!A:A,'CKadeaTelcoRegistre_Maintenance'!F:F,"Non repertorié")</f>
        <v>Nokia</v>
      </c>
    </row>
    <row r="1070" spans="1:9" ht="20.5" customHeight="1" x14ac:dyDescent="0.35">
      <c r="A1070" s="1">
        <v>45215.231944444444</v>
      </c>
      <c r="B1070" s="5" t="s">
        <v>335</v>
      </c>
      <c r="C1070">
        <v>25</v>
      </c>
      <c r="D1070" t="s">
        <v>8</v>
      </c>
      <c r="E1070" t="str">
        <f>_xlfn.XLOOKUP(CKadeaTelcoLogs_Reseau[[#This Row],[Cell_ID]],'CKadeaTelcoRegistre_Maintenance'!A:A,'CKadeaTelcoRegistre_Maintenance'!B:B,"Non repertorié")</f>
        <v>Non repertorié</v>
      </c>
      <c r="F1070" t="str">
        <f>_xlfn.XLOOKUP(CKadeaTelcoLogs_Reseau[[#This Row],[Cell_ID]],'CKadeaTelcoRegistre_Maintenance'!A:A,'CKadeaTelcoRegistre_Maintenance'!C:C,"Non repertorié")</f>
        <v>Non repertorié</v>
      </c>
      <c r="G1070" t="str">
        <f>_xlfn.XLOOKUP(CKadeaTelcoLogs_Reseau[[#This Row],[Cell_ID]],'CKadeaTelcoRegistre_Maintenance'!A:A,'CKadeaTelcoRegistre_Maintenance'!D:D,"Non repertorié")</f>
        <v>Non repertorié</v>
      </c>
      <c r="H1070" t="str">
        <f>_xlfn.XLOOKUP(CKadeaTelcoLogs_Reseau[[#This Row],[Cell_ID]],'CKadeaTelcoRegistre_Maintenance'!A:A,'CKadeaTelcoRegistre_Maintenance'!E:E,"Non repertorié")</f>
        <v>Non repertorié</v>
      </c>
      <c r="I1070" t="str">
        <f>_xlfn.XLOOKUP(CKadeaTelcoLogs_Reseau[[#This Row],[Cell_ID]],'CKadeaTelcoRegistre_Maintenance'!A:A,'CKadeaTelcoRegistre_Maintenance'!F:F,"Non repertorié")</f>
        <v>Non repertorié</v>
      </c>
    </row>
    <row r="1071" spans="1:9" ht="20.5" customHeight="1" x14ac:dyDescent="0.35">
      <c r="A1071" s="1">
        <v>45207.199305555558</v>
      </c>
      <c r="B1071" s="5" t="s">
        <v>596</v>
      </c>
      <c r="C1071">
        <v>28</v>
      </c>
      <c r="D1071" t="s">
        <v>8</v>
      </c>
      <c r="E1071" t="str">
        <f>_xlfn.XLOOKUP(CKadeaTelcoLogs_Reseau[[#This Row],[Cell_ID]],'CKadeaTelcoRegistre_Maintenance'!A:A,'CKadeaTelcoRegistre_Maintenance'!B:B,"Non repertorié")</f>
        <v>Non repertorié</v>
      </c>
      <c r="F1071" t="str">
        <f>_xlfn.XLOOKUP(CKadeaTelcoLogs_Reseau[[#This Row],[Cell_ID]],'CKadeaTelcoRegistre_Maintenance'!A:A,'CKadeaTelcoRegistre_Maintenance'!C:C,"Non repertorié")</f>
        <v>Non repertorié</v>
      </c>
      <c r="G1071" t="str">
        <f>_xlfn.XLOOKUP(CKadeaTelcoLogs_Reseau[[#This Row],[Cell_ID]],'CKadeaTelcoRegistre_Maintenance'!A:A,'CKadeaTelcoRegistre_Maintenance'!D:D,"Non repertorié")</f>
        <v>Non repertorié</v>
      </c>
      <c r="H1071" t="str">
        <f>_xlfn.XLOOKUP(CKadeaTelcoLogs_Reseau[[#This Row],[Cell_ID]],'CKadeaTelcoRegistre_Maintenance'!A:A,'CKadeaTelcoRegistre_Maintenance'!E:E,"Non repertorié")</f>
        <v>Non repertorié</v>
      </c>
      <c r="I1071" t="str">
        <f>_xlfn.XLOOKUP(CKadeaTelcoLogs_Reseau[[#This Row],[Cell_ID]],'CKadeaTelcoRegistre_Maintenance'!A:A,'CKadeaTelcoRegistre_Maintenance'!F:F,"Non repertorié")</f>
        <v>Non repertorié</v>
      </c>
    </row>
    <row r="1072" spans="1:9" ht="20.5" customHeight="1" x14ac:dyDescent="0.35">
      <c r="A1072" s="1">
        <v>45212.720833333333</v>
      </c>
      <c r="B1072" s="5" t="s">
        <v>668</v>
      </c>
      <c r="C1072">
        <v>33</v>
      </c>
      <c r="D1072" t="s">
        <v>10</v>
      </c>
      <c r="E1072" t="str">
        <f>_xlfn.XLOOKUP(CKadeaTelcoLogs_Reseau[[#This Row],[Cell_ID]],'CKadeaTelcoRegistre_Maintenance'!A:A,'CKadeaTelcoRegistre_Maintenance'!B:B,"Non repertorié")</f>
        <v>Tshuapa</v>
      </c>
      <c r="F1072">
        <f>_xlfn.XLOOKUP(CKadeaTelcoLogs_Reseau[[#This Row],[Cell_ID]],'CKadeaTelcoRegistre_Maintenance'!A:A,'CKadeaTelcoRegistre_Maintenance'!C:C,"Non repertorié")</f>
        <v>-5.7957599999999996</v>
      </c>
      <c r="G1072">
        <f>_xlfn.XLOOKUP(CKadeaTelcoLogs_Reseau[[#This Row],[Cell_ID]],'CKadeaTelcoRegistre_Maintenance'!A:A,'CKadeaTelcoRegistre_Maintenance'!D:D,"Non repertorié")</f>
        <v>14.078258</v>
      </c>
      <c r="H1072" t="str">
        <f>_xlfn.XLOOKUP(CKadeaTelcoLogs_Reseau[[#This Row],[Cell_ID]],'CKadeaTelcoRegistre_Maintenance'!A:A,'CKadeaTelcoRegistre_Maintenance'!E:E,"Non repertorié")</f>
        <v>5G</v>
      </c>
      <c r="I1072" t="str">
        <f>_xlfn.XLOOKUP(CKadeaTelcoLogs_Reseau[[#This Row],[Cell_ID]],'CKadeaTelcoRegistre_Maintenance'!A:A,'CKadeaTelcoRegistre_Maintenance'!F:F,"Non repertorié")</f>
        <v>Ericsson</v>
      </c>
    </row>
    <row r="1073" spans="1:9" ht="20.5" customHeight="1" x14ac:dyDescent="0.35">
      <c r="A1073" s="1">
        <v>45230.839583333334</v>
      </c>
      <c r="B1073" s="5" t="s">
        <v>384</v>
      </c>
      <c r="C1073">
        <v>83</v>
      </c>
      <c r="D1073" t="s">
        <v>10</v>
      </c>
      <c r="E1073" t="str">
        <f>_xlfn.XLOOKUP(CKadeaTelcoLogs_Reseau[[#This Row],[Cell_ID]],'CKadeaTelcoRegistre_Maintenance'!A:A,'CKadeaTelcoRegistre_Maintenance'!B:B,"Non repertorié")</f>
        <v>Equateur</v>
      </c>
      <c r="F1073">
        <f>_xlfn.XLOOKUP(CKadeaTelcoLogs_Reseau[[#This Row],[Cell_ID]],'CKadeaTelcoRegistre_Maintenance'!A:A,'CKadeaTelcoRegistre_Maintenance'!C:C,"Non repertorié")</f>
        <v>-0.79459900000000006</v>
      </c>
      <c r="G1073">
        <f>_xlfn.XLOOKUP(CKadeaTelcoLogs_Reseau[[#This Row],[Cell_ID]],'CKadeaTelcoRegistre_Maintenance'!A:A,'CKadeaTelcoRegistre_Maintenance'!D:D,"Non repertorié")</f>
        <v>26.775570999999999</v>
      </c>
      <c r="H1073" t="str">
        <f>_xlfn.XLOOKUP(CKadeaTelcoLogs_Reseau[[#This Row],[Cell_ID]],'CKadeaTelcoRegistre_Maintenance'!A:A,'CKadeaTelcoRegistre_Maintenance'!E:E,"Non repertorié")</f>
        <v>5G</v>
      </c>
      <c r="I1073" t="str">
        <f>_xlfn.XLOOKUP(CKadeaTelcoLogs_Reseau[[#This Row],[Cell_ID]],'CKadeaTelcoRegistre_Maintenance'!A:A,'CKadeaTelcoRegistre_Maintenance'!F:F,"Non repertorié")</f>
        <v>Huawei</v>
      </c>
    </row>
    <row r="1074" spans="1:9" ht="20.5" customHeight="1" x14ac:dyDescent="0.35">
      <c r="A1074" s="1">
        <v>45209.913888888892</v>
      </c>
      <c r="B1074" s="5" t="s">
        <v>322</v>
      </c>
      <c r="C1074">
        <v>111</v>
      </c>
      <c r="D1074" t="s">
        <v>10</v>
      </c>
      <c r="E1074" t="str">
        <f>_xlfn.XLOOKUP(CKadeaTelcoLogs_Reseau[[#This Row],[Cell_ID]],'CKadeaTelcoRegistre_Maintenance'!A:A,'CKadeaTelcoRegistre_Maintenance'!B:B,"Non repertorié")</f>
        <v>Bas-Uele</v>
      </c>
      <c r="F1074">
        <f>_xlfn.XLOOKUP(CKadeaTelcoLogs_Reseau[[#This Row],[Cell_ID]],'CKadeaTelcoRegistre_Maintenance'!A:A,'CKadeaTelcoRegistre_Maintenance'!C:C,"Non repertorié")</f>
        <v>-6.4197189999999997</v>
      </c>
      <c r="G1074">
        <f>_xlfn.XLOOKUP(CKadeaTelcoLogs_Reseau[[#This Row],[Cell_ID]],'CKadeaTelcoRegistre_Maintenance'!A:A,'CKadeaTelcoRegistre_Maintenance'!D:D,"Non repertorié")</f>
        <v>22.287264</v>
      </c>
      <c r="H1074" t="str">
        <f>_xlfn.XLOOKUP(CKadeaTelcoLogs_Reseau[[#This Row],[Cell_ID]],'CKadeaTelcoRegistre_Maintenance'!A:A,'CKadeaTelcoRegistre_Maintenance'!E:E,"Non repertorié")</f>
        <v>3G</v>
      </c>
      <c r="I1074" t="str">
        <f>_xlfn.XLOOKUP(CKadeaTelcoLogs_Reseau[[#This Row],[Cell_ID]],'CKadeaTelcoRegistre_Maintenance'!A:A,'CKadeaTelcoRegistre_Maintenance'!F:F,"Non repertorié")</f>
        <v>Ericsson</v>
      </c>
    </row>
    <row r="1075" spans="1:9" ht="20.5" customHeight="1" x14ac:dyDescent="0.35">
      <c r="A1075" s="1">
        <v>45229.986805555556</v>
      </c>
      <c r="B1075" s="5" t="s">
        <v>442</v>
      </c>
      <c r="C1075">
        <v>37</v>
      </c>
      <c r="D1075" t="s">
        <v>10</v>
      </c>
      <c r="E1075" t="str">
        <f>_xlfn.XLOOKUP(CKadeaTelcoLogs_Reseau[[#This Row],[Cell_ID]],'CKadeaTelcoRegistre_Maintenance'!A:A,'CKadeaTelcoRegistre_Maintenance'!B:B,"Non repertorié")</f>
        <v>Non repertorié</v>
      </c>
      <c r="F1075" t="str">
        <f>_xlfn.XLOOKUP(CKadeaTelcoLogs_Reseau[[#This Row],[Cell_ID]],'CKadeaTelcoRegistre_Maintenance'!A:A,'CKadeaTelcoRegistre_Maintenance'!C:C,"Non repertorié")</f>
        <v>Non repertorié</v>
      </c>
      <c r="G1075" t="str">
        <f>_xlfn.XLOOKUP(CKadeaTelcoLogs_Reseau[[#This Row],[Cell_ID]],'CKadeaTelcoRegistre_Maintenance'!A:A,'CKadeaTelcoRegistre_Maintenance'!D:D,"Non repertorié")</f>
        <v>Non repertorié</v>
      </c>
      <c r="H1075" t="str">
        <f>_xlfn.XLOOKUP(CKadeaTelcoLogs_Reseau[[#This Row],[Cell_ID]],'CKadeaTelcoRegistre_Maintenance'!A:A,'CKadeaTelcoRegistre_Maintenance'!E:E,"Non repertorié")</f>
        <v>Non repertorié</v>
      </c>
      <c r="I1075" t="str">
        <f>_xlfn.XLOOKUP(CKadeaTelcoLogs_Reseau[[#This Row],[Cell_ID]],'CKadeaTelcoRegistre_Maintenance'!A:A,'CKadeaTelcoRegistre_Maintenance'!F:F,"Non repertorié")</f>
        <v>Non repertorié</v>
      </c>
    </row>
    <row r="1076" spans="1:9" ht="20.5" customHeight="1" x14ac:dyDescent="0.35">
      <c r="A1076" s="1"/>
    </row>
    <row r="1077" spans="1:9" ht="20.5" customHeight="1" x14ac:dyDescent="0.35">
      <c r="A107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5403-65FB-4748-8549-44FC515B1435}">
  <dimension ref="A1:K751"/>
  <sheetViews>
    <sheetView topLeftCell="E1" workbookViewId="0">
      <selection activeCell="I15" sqref="I15"/>
    </sheetView>
  </sheetViews>
  <sheetFormatPr baseColWidth="10" defaultRowHeight="14.5" x14ac:dyDescent="0.35"/>
  <cols>
    <col min="1" max="1" width="10.81640625" bestFit="1" customWidth="1"/>
    <col min="2" max="2" width="16.26953125" bestFit="1" customWidth="1"/>
    <col min="3" max="3" width="17.36328125" bestFit="1" customWidth="1"/>
    <col min="4" max="4" width="16.453125" bestFit="1" customWidth="1"/>
    <col min="5" max="5" width="16.453125" customWidth="1"/>
    <col min="6" max="6" width="26.7265625" bestFit="1" customWidth="1"/>
    <col min="7" max="7" width="19" bestFit="1" customWidth="1"/>
    <col min="8" max="8" width="22.90625" bestFit="1" customWidth="1"/>
    <col min="9" max="9" width="10.90625" style="8"/>
    <col min="10" max="10" width="15.26953125" style="9" bestFit="1" customWidth="1"/>
  </cols>
  <sheetData>
    <row r="1" spans="1:11" x14ac:dyDescent="0.35">
      <c r="A1" s="3" t="s">
        <v>884</v>
      </c>
      <c r="B1" s="3" t="s">
        <v>885</v>
      </c>
      <c r="C1" s="3" t="s">
        <v>886</v>
      </c>
      <c r="D1" s="3" t="s">
        <v>887</v>
      </c>
      <c r="E1" s="2" t="s">
        <v>1651</v>
      </c>
      <c r="F1" s="3" t="s">
        <v>888</v>
      </c>
      <c r="G1" s="3" t="s">
        <v>889</v>
      </c>
      <c r="H1" s="3" t="s">
        <v>890</v>
      </c>
      <c r="I1" s="10" t="s">
        <v>1649</v>
      </c>
      <c r="J1" s="11" t="s">
        <v>1650</v>
      </c>
      <c r="K1" s="2" t="s">
        <v>1653</v>
      </c>
    </row>
    <row r="2" spans="1:11" x14ac:dyDescent="0.35">
      <c r="A2" t="s">
        <v>891</v>
      </c>
      <c r="B2" t="s">
        <v>711</v>
      </c>
      <c r="C2">
        <v>29</v>
      </c>
      <c r="D2" t="s">
        <v>892</v>
      </c>
      <c r="E2" t="str">
        <f>IF(CKadeaTelcoClients_Churn[[#This Row],[Type_Forfait]]="pro monde","B2B","B2C")</f>
        <v>B2C</v>
      </c>
      <c r="F2">
        <v>214</v>
      </c>
      <c r="G2">
        <v>74.7</v>
      </c>
      <c r="H2">
        <v>3</v>
      </c>
      <c r="I2" s="8">
        <f>IF(AND(F2&gt;720,C2&gt;60),70%,
IF(CKadeaTelcoClients_Churn[[#This Row],[Type_Client]]="B2B",10%,
IF(OR(AND(F2&gt;=240,F2&lt;=720),AND(C2&lt;60,D2="Premium 5G 150Go")),45%,0%)))</f>
        <v>0.45</v>
      </c>
      <c r="J2" s="9">
        <f>CKadeaTelcoClients_Churn[[#This Row],[Remise]]*CKadeaTelcoClients_Churn[[#This Row],[Facture_Mensuelle]]</f>
        <v>33.615000000000002</v>
      </c>
      <c r="K2">
        <v>1</v>
      </c>
    </row>
    <row r="3" spans="1:11" x14ac:dyDescent="0.35">
      <c r="A3" t="s">
        <v>893</v>
      </c>
      <c r="B3" t="s">
        <v>693</v>
      </c>
      <c r="C3">
        <v>63</v>
      </c>
      <c r="D3" t="s">
        <v>894</v>
      </c>
      <c r="E3" t="str">
        <f>IF(CKadeaTelcoClients_Churn[[#This Row],[Type_Forfait]]="pro monde","B2B","B2C")</f>
        <v>B2B</v>
      </c>
      <c r="F3">
        <v>205</v>
      </c>
      <c r="G3">
        <v>89.19</v>
      </c>
      <c r="H3">
        <v>0</v>
      </c>
      <c r="I3" s="8">
        <f>IF(AND(F3&gt;720,C3&gt;60),70%,
IF(CKadeaTelcoClients_Churn[[#This Row],[Type_Client]]="B2B",10%,
IF(OR(AND(F3&gt;=240,F3&lt;=720),AND(C3&lt;60,D3="Premium 5G 150Go")),45%,0%)))</f>
        <v>0.1</v>
      </c>
      <c r="J3" s="9">
        <f>CKadeaTelcoClients_Churn[[#This Row],[Remise]]*CKadeaTelcoClients_Churn[[#This Row],[Facture_Mensuelle]]</f>
        <v>8.9190000000000005</v>
      </c>
      <c r="K3">
        <v>2</v>
      </c>
    </row>
    <row r="4" spans="1:11" x14ac:dyDescent="0.35">
      <c r="A4" t="s">
        <v>895</v>
      </c>
      <c r="B4" t="s">
        <v>738</v>
      </c>
      <c r="C4">
        <v>34</v>
      </c>
      <c r="D4" t="s">
        <v>894</v>
      </c>
      <c r="E4" t="str">
        <f>IF(CKadeaTelcoClients_Churn[[#This Row],[Type_Forfait]]="pro monde","B2B","B2C")</f>
        <v>B2B</v>
      </c>
      <c r="F4">
        <v>453</v>
      </c>
      <c r="G4">
        <v>56.84</v>
      </c>
      <c r="H4">
        <v>0</v>
      </c>
      <c r="I4" s="8">
        <f>IF(AND(F4&gt;720,C4&gt;60),70%,
IF(CKadeaTelcoClients_Churn[[#This Row],[Type_Client]]="B2B",10%,
IF(OR(AND(F4&gt;=240,F4&lt;=720),AND(C4&lt;60,D4="Premium 5G 150Go")),45%,0%)))</f>
        <v>0.1</v>
      </c>
      <c r="J4" s="9">
        <f>CKadeaTelcoClients_Churn[[#This Row],[Remise]]*CKadeaTelcoClients_Churn[[#This Row],[Facture_Mensuelle]]</f>
        <v>5.6840000000000011</v>
      </c>
      <c r="K4">
        <v>3</v>
      </c>
    </row>
    <row r="5" spans="1:11" x14ac:dyDescent="0.35">
      <c r="A5" t="s">
        <v>896</v>
      </c>
      <c r="B5" t="s">
        <v>719</v>
      </c>
      <c r="C5">
        <v>44</v>
      </c>
      <c r="D5" t="s">
        <v>897</v>
      </c>
      <c r="E5" t="str">
        <f>IF(CKadeaTelcoClients_Churn[[#This Row],[Type_Forfait]]="pro monde","B2B","B2C")</f>
        <v>B2C</v>
      </c>
      <c r="F5">
        <v>348</v>
      </c>
      <c r="G5">
        <v>58.67</v>
      </c>
      <c r="H5">
        <v>0</v>
      </c>
      <c r="I5" s="8">
        <f>IF(AND(F5&gt;720,C5&gt;60),70%,
IF(CKadeaTelcoClients_Churn[[#This Row],[Type_Client]]="B2B",10%,
IF(OR(AND(F5&gt;=240,F5&lt;=720),AND(C5&lt;60,D5="Premium 5G 150Go")),45%,0%)))</f>
        <v>0.45</v>
      </c>
      <c r="J5" s="9">
        <f>CKadeaTelcoClients_Churn[[#This Row],[Remise]]*CKadeaTelcoClients_Churn[[#This Row],[Facture_Mensuelle]]</f>
        <v>26.401500000000002</v>
      </c>
      <c r="K5">
        <v>4</v>
      </c>
    </row>
    <row r="6" spans="1:11" x14ac:dyDescent="0.35">
      <c r="A6" t="s">
        <v>898</v>
      </c>
      <c r="B6" t="s">
        <v>700</v>
      </c>
      <c r="C6">
        <v>101</v>
      </c>
      <c r="D6" t="s">
        <v>899</v>
      </c>
      <c r="E6" t="str">
        <f>IF(CKadeaTelcoClients_Churn[[#This Row],[Type_Forfait]]="pro monde","B2B","B2C")</f>
        <v>B2C</v>
      </c>
      <c r="F6">
        <v>358</v>
      </c>
      <c r="G6">
        <v>29.24</v>
      </c>
      <c r="H6">
        <v>3</v>
      </c>
      <c r="I6" s="8">
        <f>IF(AND(F6&gt;720,C6&gt;60),70%,
IF(CKadeaTelcoClients_Churn[[#This Row],[Type_Client]]="B2B",10%,
IF(OR(AND(F6&gt;=240,F6&lt;=720),AND(C6&lt;60,D6="Premium 5G 150Go")),45%,0%)))</f>
        <v>0.45</v>
      </c>
      <c r="J6" s="9">
        <f>CKadeaTelcoClients_Churn[[#This Row],[Remise]]*CKadeaTelcoClients_Churn[[#This Row],[Facture_Mensuelle]]</f>
        <v>13.157999999999999</v>
      </c>
      <c r="K6">
        <v>5</v>
      </c>
    </row>
    <row r="7" spans="1:11" x14ac:dyDescent="0.35">
      <c r="A7" t="s">
        <v>900</v>
      </c>
      <c r="B7" t="s">
        <v>722</v>
      </c>
      <c r="C7">
        <v>46</v>
      </c>
      <c r="D7" t="s">
        <v>892</v>
      </c>
      <c r="E7" t="str">
        <f>IF(CKadeaTelcoClients_Churn[[#This Row],[Type_Forfait]]="pro monde","B2B","B2C")</f>
        <v>B2C</v>
      </c>
      <c r="F7">
        <v>283</v>
      </c>
      <c r="G7">
        <v>56.05</v>
      </c>
      <c r="H7">
        <v>1</v>
      </c>
      <c r="I7" s="8">
        <f>IF(AND(F7&gt;720,C7&gt;60),70%,
IF(CKadeaTelcoClients_Churn[[#This Row],[Type_Client]]="B2B",10%,
IF(OR(AND(F7&gt;=240,F7&lt;=720),AND(C7&lt;60,D7="Premium 5G 150Go")),45%,0%)))</f>
        <v>0.45</v>
      </c>
      <c r="J7" s="9">
        <f>CKadeaTelcoClients_Churn[[#This Row],[Remise]]*CKadeaTelcoClients_Churn[[#This Row],[Facture_Mensuelle]]</f>
        <v>25.2225</v>
      </c>
      <c r="K7">
        <v>6</v>
      </c>
    </row>
    <row r="8" spans="1:11" x14ac:dyDescent="0.35">
      <c r="A8" t="s">
        <v>901</v>
      </c>
      <c r="B8" t="s">
        <v>707</v>
      </c>
      <c r="C8">
        <v>99</v>
      </c>
      <c r="D8" t="s">
        <v>892</v>
      </c>
      <c r="E8" t="str">
        <f>IF(CKadeaTelcoClients_Churn[[#This Row],[Type_Forfait]]="pro monde","B2B","B2C")</f>
        <v>B2C</v>
      </c>
      <c r="F8">
        <v>447</v>
      </c>
      <c r="G8">
        <v>38.1</v>
      </c>
      <c r="H8">
        <v>3</v>
      </c>
      <c r="I8" s="8">
        <f>IF(AND(F8&gt;720,C8&gt;60),70%,
IF(CKadeaTelcoClients_Churn[[#This Row],[Type_Client]]="B2B",10%,
IF(OR(AND(F8&gt;=240,F8&lt;=720),AND(C8&lt;60,D8="Premium 5G 150Go")),45%,0%)))</f>
        <v>0.45</v>
      </c>
      <c r="J8" s="9">
        <f>CKadeaTelcoClients_Churn[[#This Row],[Remise]]*CKadeaTelcoClients_Churn[[#This Row],[Facture_Mensuelle]]</f>
        <v>17.145</v>
      </c>
      <c r="K8">
        <v>7</v>
      </c>
    </row>
    <row r="9" spans="1:11" x14ac:dyDescent="0.35">
      <c r="A9" t="s">
        <v>902</v>
      </c>
      <c r="B9" t="s">
        <v>722</v>
      </c>
      <c r="C9">
        <v>6</v>
      </c>
      <c r="D9" t="s">
        <v>899</v>
      </c>
      <c r="E9" t="str">
        <f>IF(CKadeaTelcoClients_Churn[[#This Row],[Type_Forfait]]="pro monde","B2B","B2C")</f>
        <v>B2C</v>
      </c>
      <c r="F9">
        <v>155</v>
      </c>
      <c r="G9">
        <v>40.659999999999997</v>
      </c>
      <c r="H9">
        <v>1</v>
      </c>
      <c r="I9" s="8">
        <f>IF(AND(F9&gt;720,C9&gt;60),70%,
IF(CKadeaTelcoClients_Churn[[#This Row],[Type_Client]]="B2B",10%,
IF(OR(AND(F9&gt;=240,F9&lt;=720),AND(C9&lt;60,D9="Premium 5G 150Go")),45%,0%)))</f>
        <v>0</v>
      </c>
      <c r="J9" s="9">
        <f>CKadeaTelcoClients_Churn[[#This Row],[Remise]]*CKadeaTelcoClients_Churn[[#This Row],[Facture_Mensuelle]]</f>
        <v>0</v>
      </c>
      <c r="K9">
        <v>8</v>
      </c>
    </row>
    <row r="10" spans="1:11" x14ac:dyDescent="0.35">
      <c r="A10" t="s">
        <v>903</v>
      </c>
      <c r="B10" t="s">
        <v>703</v>
      </c>
      <c r="C10">
        <v>99</v>
      </c>
      <c r="D10" t="s">
        <v>897</v>
      </c>
      <c r="E10" t="str">
        <f>IF(CKadeaTelcoClients_Churn[[#This Row],[Type_Forfait]]="pro monde","B2B","B2C")</f>
        <v>B2C</v>
      </c>
      <c r="F10">
        <v>369</v>
      </c>
      <c r="G10">
        <v>67.209999999999994</v>
      </c>
      <c r="H10">
        <v>3</v>
      </c>
      <c r="I10" s="8">
        <f>IF(AND(F10&gt;720,C10&gt;60),70%,
IF(CKadeaTelcoClients_Churn[[#This Row],[Type_Client]]="B2B",10%,
IF(OR(AND(F10&gt;=240,F10&lt;=720),AND(C10&lt;60,D10="Premium 5G 150Go")),45%,0%)))</f>
        <v>0.45</v>
      </c>
      <c r="J10" s="9">
        <f>CKadeaTelcoClients_Churn[[#This Row],[Remise]]*CKadeaTelcoClients_Churn[[#This Row],[Facture_Mensuelle]]</f>
        <v>30.244499999999999</v>
      </c>
      <c r="K10">
        <v>9</v>
      </c>
    </row>
    <row r="11" spans="1:11" x14ac:dyDescent="0.35">
      <c r="A11" t="s">
        <v>904</v>
      </c>
      <c r="B11" t="s">
        <v>701</v>
      </c>
      <c r="C11">
        <v>113</v>
      </c>
      <c r="D11" t="s">
        <v>899</v>
      </c>
      <c r="E11" t="str">
        <f>IF(CKadeaTelcoClients_Churn[[#This Row],[Type_Forfait]]="pro monde","B2B","B2C")</f>
        <v>B2C</v>
      </c>
      <c r="F11">
        <v>380</v>
      </c>
      <c r="G11">
        <v>12.11</v>
      </c>
      <c r="H11">
        <v>0</v>
      </c>
      <c r="I11" s="8">
        <f>IF(AND(F11&gt;720,C11&gt;60),70%,
IF(CKadeaTelcoClients_Churn[[#This Row],[Type_Client]]="B2B",10%,
IF(OR(AND(F11&gt;=240,F11&lt;=720),AND(C11&lt;60,D11="Premium 5G 150Go")),45%,0%)))</f>
        <v>0.45</v>
      </c>
      <c r="J11" s="9">
        <f>CKadeaTelcoClients_Churn[[#This Row],[Remise]]*CKadeaTelcoClients_Churn[[#This Row],[Facture_Mensuelle]]</f>
        <v>5.4494999999999996</v>
      </c>
      <c r="K11">
        <v>10</v>
      </c>
    </row>
    <row r="12" spans="1:11" x14ac:dyDescent="0.35">
      <c r="A12" t="s">
        <v>905</v>
      </c>
      <c r="B12" t="s">
        <v>694</v>
      </c>
      <c r="C12">
        <v>72</v>
      </c>
      <c r="D12" t="s">
        <v>894</v>
      </c>
      <c r="E12" t="str">
        <f>IF(CKadeaTelcoClients_Churn[[#This Row],[Type_Forfait]]="pro monde","B2B","B2C")</f>
        <v>B2B</v>
      </c>
      <c r="F12">
        <v>160</v>
      </c>
      <c r="G12">
        <v>90.13</v>
      </c>
      <c r="H12">
        <v>2</v>
      </c>
      <c r="I12" s="8">
        <f>IF(AND(F12&gt;720,C12&gt;60),70%,
IF(CKadeaTelcoClients_Churn[[#This Row],[Type_Client]]="B2B",10%,
IF(OR(AND(F12&gt;=240,F12&lt;=720),AND(C12&lt;60,D12="Premium 5G 150Go")),45%,0%)))</f>
        <v>0.1</v>
      </c>
      <c r="J12" s="9">
        <f>CKadeaTelcoClients_Churn[[#This Row],[Remise]]*CKadeaTelcoClients_Churn[[#This Row],[Facture_Mensuelle]]</f>
        <v>9.0129999999999999</v>
      </c>
      <c r="K12">
        <v>11</v>
      </c>
    </row>
    <row r="13" spans="1:11" x14ac:dyDescent="0.35">
      <c r="A13" t="s">
        <v>906</v>
      </c>
      <c r="B13" t="s">
        <v>737</v>
      </c>
      <c r="C13">
        <v>35</v>
      </c>
      <c r="D13" t="s">
        <v>894</v>
      </c>
      <c r="E13" t="str">
        <f>IF(CKadeaTelcoClients_Churn[[#This Row],[Type_Forfait]]="pro monde","B2B","B2C")</f>
        <v>B2B</v>
      </c>
      <c r="F13">
        <v>465</v>
      </c>
      <c r="G13">
        <v>58.59</v>
      </c>
      <c r="H13">
        <v>5</v>
      </c>
      <c r="I13" s="8">
        <f>IF(AND(F13&gt;720,C13&gt;60),70%,
IF(CKadeaTelcoClients_Churn[[#This Row],[Type_Client]]="B2B",10%,
IF(OR(AND(F13&gt;=240,F13&lt;=720),AND(C13&lt;60,D13="Premium 5G 150Go")),45%,0%)))</f>
        <v>0.1</v>
      </c>
      <c r="J13" s="9">
        <f>CKadeaTelcoClients_Churn[[#This Row],[Remise]]*CKadeaTelcoClients_Churn[[#This Row],[Facture_Mensuelle]]</f>
        <v>5.8590000000000009</v>
      </c>
      <c r="K13">
        <v>12</v>
      </c>
    </row>
    <row r="14" spans="1:11" x14ac:dyDescent="0.35">
      <c r="A14" t="s">
        <v>907</v>
      </c>
      <c r="B14" t="s">
        <v>682</v>
      </c>
      <c r="C14">
        <v>115</v>
      </c>
      <c r="D14" t="s">
        <v>897</v>
      </c>
      <c r="E14" t="str">
        <f>IF(CKadeaTelcoClients_Churn[[#This Row],[Type_Forfait]]="pro monde","B2B","B2C")</f>
        <v>B2C</v>
      </c>
      <c r="F14">
        <v>176</v>
      </c>
      <c r="G14">
        <v>33.28</v>
      </c>
      <c r="H14">
        <v>4</v>
      </c>
      <c r="I14" s="8">
        <f>IF(AND(F14&gt;720,C14&gt;60),70%,
IF(CKadeaTelcoClients_Churn[[#This Row],[Type_Client]]="B2B",10%,
IF(OR(AND(F14&gt;=240,F14&lt;=720),AND(C14&lt;60,D14="Premium 5G 150Go")),45%,0%)))</f>
        <v>0</v>
      </c>
      <c r="J14" s="9">
        <f>CKadeaTelcoClients_Churn[[#This Row],[Remise]]*CKadeaTelcoClients_Churn[[#This Row],[Facture_Mensuelle]]</f>
        <v>0</v>
      </c>
      <c r="K14">
        <v>13</v>
      </c>
    </row>
    <row r="15" spans="1:11" x14ac:dyDescent="0.35">
      <c r="A15" t="s">
        <v>908</v>
      </c>
      <c r="B15" t="s">
        <v>719</v>
      </c>
      <c r="C15">
        <v>20</v>
      </c>
      <c r="D15" t="s">
        <v>899</v>
      </c>
      <c r="E15" t="str">
        <f>IF(CKadeaTelcoClients_Churn[[#This Row],[Type_Forfait]]="pro monde","B2B","B2C")</f>
        <v>B2C</v>
      </c>
      <c r="F15">
        <v>4</v>
      </c>
      <c r="G15">
        <v>84.9</v>
      </c>
      <c r="H15">
        <v>3</v>
      </c>
      <c r="I15" s="8">
        <f>IF(AND(F15&gt;720,C15&gt;60),70%,
IF(CKadeaTelcoClients_Churn[[#This Row],[Type_Client]]="B2B",10%,
IF(OR(AND(F15&gt;=240,F15&lt;=720),AND(C15&lt;60,D15="Premium 5G 150Go")),45%,0%)))</f>
        <v>0</v>
      </c>
      <c r="J15" s="9">
        <f>CKadeaTelcoClients_Churn[[#This Row],[Remise]]*CKadeaTelcoClients_Churn[[#This Row],[Facture_Mensuelle]]</f>
        <v>0</v>
      </c>
      <c r="K15">
        <v>14</v>
      </c>
    </row>
    <row r="16" spans="1:11" x14ac:dyDescent="0.35">
      <c r="A16" t="s">
        <v>909</v>
      </c>
      <c r="B16" t="s">
        <v>726</v>
      </c>
      <c r="C16">
        <v>110</v>
      </c>
      <c r="D16" t="s">
        <v>894</v>
      </c>
      <c r="E16" t="str">
        <f>IF(CKadeaTelcoClients_Churn[[#This Row],[Type_Forfait]]="pro monde","B2B","B2C")</f>
        <v>B2B</v>
      </c>
      <c r="F16">
        <v>423</v>
      </c>
      <c r="G16">
        <v>37.35</v>
      </c>
      <c r="H16">
        <v>4</v>
      </c>
      <c r="I16" s="8">
        <f>IF(AND(F16&gt;720,C16&gt;60),70%,
IF(CKadeaTelcoClients_Churn[[#This Row],[Type_Client]]="B2B",10%,
IF(OR(AND(F16&gt;=240,F16&lt;=720),AND(C16&lt;60,D16="Premium 5G 150Go")),45%,0%)))</f>
        <v>0.1</v>
      </c>
      <c r="J16" s="9">
        <f>CKadeaTelcoClients_Churn[[#This Row],[Remise]]*CKadeaTelcoClients_Churn[[#This Row],[Facture_Mensuelle]]</f>
        <v>3.7350000000000003</v>
      </c>
      <c r="K16">
        <v>15</v>
      </c>
    </row>
    <row r="17" spans="1:11" x14ac:dyDescent="0.35">
      <c r="A17" t="s">
        <v>910</v>
      </c>
      <c r="B17" t="s">
        <v>693</v>
      </c>
      <c r="C17">
        <v>89</v>
      </c>
      <c r="D17" t="s">
        <v>892</v>
      </c>
      <c r="E17" t="str">
        <f>IF(CKadeaTelcoClients_Churn[[#This Row],[Type_Forfait]]="pro monde","B2B","B2C")</f>
        <v>B2C</v>
      </c>
      <c r="F17">
        <v>143</v>
      </c>
      <c r="G17">
        <v>48.05</v>
      </c>
      <c r="H17">
        <v>4</v>
      </c>
      <c r="I17" s="8">
        <f>IF(AND(F17&gt;720,C17&gt;60),70%,
IF(CKadeaTelcoClients_Churn[[#This Row],[Type_Client]]="B2B",10%,
IF(OR(AND(F17&gt;=240,F17&lt;=720),AND(C17&lt;60,D17="Premium 5G 150Go")),45%,0%)))</f>
        <v>0</v>
      </c>
      <c r="J17" s="9">
        <f>CKadeaTelcoClients_Churn[[#This Row],[Remise]]*CKadeaTelcoClients_Churn[[#This Row],[Facture_Mensuelle]]</f>
        <v>0</v>
      </c>
      <c r="K17">
        <v>16</v>
      </c>
    </row>
    <row r="18" spans="1:11" x14ac:dyDescent="0.35">
      <c r="A18" t="s">
        <v>911</v>
      </c>
      <c r="B18" t="s">
        <v>707</v>
      </c>
      <c r="C18">
        <v>112</v>
      </c>
      <c r="D18" t="s">
        <v>892</v>
      </c>
      <c r="E18" t="str">
        <f>IF(CKadeaTelcoClients_Churn[[#This Row],[Type_Forfait]]="pro monde","B2B","B2C")</f>
        <v>B2C</v>
      </c>
      <c r="F18">
        <v>460</v>
      </c>
      <c r="G18">
        <v>55.47</v>
      </c>
      <c r="H18">
        <v>4</v>
      </c>
      <c r="I18" s="8">
        <f>IF(AND(F18&gt;720,C18&gt;60),70%,
IF(CKadeaTelcoClients_Churn[[#This Row],[Type_Client]]="B2B",10%,
IF(OR(AND(F18&gt;=240,F18&lt;=720),AND(C18&lt;60,D18="Premium 5G 150Go")),45%,0%)))</f>
        <v>0.45</v>
      </c>
      <c r="J18" s="9">
        <f>CKadeaTelcoClients_Churn[[#This Row],[Remise]]*CKadeaTelcoClients_Churn[[#This Row],[Facture_Mensuelle]]</f>
        <v>24.961500000000001</v>
      </c>
      <c r="K18">
        <v>17</v>
      </c>
    </row>
    <row r="19" spans="1:11" x14ac:dyDescent="0.35">
      <c r="A19" t="s">
        <v>912</v>
      </c>
      <c r="B19" t="s">
        <v>716</v>
      </c>
      <c r="C19">
        <v>66</v>
      </c>
      <c r="D19" t="s">
        <v>899</v>
      </c>
      <c r="E19" t="str">
        <f>IF(CKadeaTelcoClients_Churn[[#This Row],[Type_Forfait]]="pro monde","B2B","B2C")</f>
        <v>B2C</v>
      </c>
      <c r="F19">
        <v>270</v>
      </c>
      <c r="G19">
        <v>75.88</v>
      </c>
      <c r="H19">
        <v>3</v>
      </c>
      <c r="I19" s="8">
        <f>IF(AND(F19&gt;720,C19&gt;60),70%,
IF(CKadeaTelcoClients_Churn[[#This Row],[Type_Client]]="B2B",10%,
IF(OR(AND(F19&gt;=240,F19&lt;=720),AND(C19&lt;60,D19="Premium 5G 150Go")),45%,0%)))</f>
        <v>0.45</v>
      </c>
      <c r="J19" s="9">
        <f>CKadeaTelcoClients_Churn[[#This Row],[Remise]]*CKadeaTelcoClients_Churn[[#This Row],[Facture_Mensuelle]]</f>
        <v>34.146000000000001</v>
      </c>
      <c r="K19">
        <v>18</v>
      </c>
    </row>
    <row r="20" spans="1:11" x14ac:dyDescent="0.35">
      <c r="A20" t="s">
        <v>913</v>
      </c>
      <c r="B20" t="s">
        <v>703</v>
      </c>
      <c r="C20">
        <v>78</v>
      </c>
      <c r="D20" t="s">
        <v>897</v>
      </c>
      <c r="E20" t="str">
        <f>IF(CKadeaTelcoClients_Churn[[#This Row],[Type_Forfait]]="pro monde","B2B","B2C")</f>
        <v>B2C</v>
      </c>
      <c r="F20">
        <v>312</v>
      </c>
      <c r="G20">
        <v>85.74</v>
      </c>
      <c r="H20">
        <v>2</v>
      </c>
      <c r="I20" s="8">
        <f>IF(AND(F20&gt;720,C20&gt;60),70%,
IF(CKadeaTelcoClients_Churn[[#This Row],[Type_Client]]="B2B",10%,
IF(OR(AND(F20&gt;=240,F20&lt;=720),AND(C20&lt;60,D20="Premium 5G 150Go")),45%,0%)))</f>
        <v>0.45</v>
      </c>
      <c r="J20" s="9">
        <f>CKadeaTelcoClients_Churn[[#This Row],[Remise]]*CKadeaTelcoClients_Churn[[#This Row],[Facture_Mensuelle]]</f>
        <v>38.582999999999998</v>
      </c>
      <c r="K20">
        <v>19</v>
      </c>
    </row>
    <row r="21" spans="1:11" x14ac:dyDescent="0.35">
      <c r="A21" t="s">
        <v>914</v>
      </c>
      <c r="B21" t="s">
        <v>694</v>
      </c>
      <c r="C21">
        <v>86</v>
      </c>
      <c r="D21" t="s">
        <v>892</v>
      </c>
      <c r="E21" t="str">
        <f>IF(CKadeaTelcoClients_Churn[[#This Row],[Type_Forfait]]="pro monde","B2B","B2C")</f>
        <v>B2C</v>
      </c>
      <c r="F21">
        <v>471</v>
      </c>
      <c r="G21">
        <v>33.380000000000003</v>
      </c>
      <c r="H21">
        <v>4</v>
      </c>
      <c r="I21" s="8">
        <f>IF(AND(F21&gt;720,C21&gt;60),70%,
IF(CKadeaTelcoClients_Churn[[#This Row],[Type_Client]]="B2B",10%,
IF(OR(AND(F21&gt;=240,F21&lt;=720),AND(C21&lt;60,D21="Premium 5G 150Go")),45%,0%)))</f>
        <v>0.45</v>
      </c>
      <c r="J21" s="9">
        <f>CKadeaTelcoClients_Churn[[#This Row],[Remise]]*CKadeaTelcoClients_Churn[[#This Row],[Facture_Mensuelle]]</f>
        <v>15.021000000000001</v>
      </c>
      <c r="K21">
        <v>20</v>
      </c>
    </row>
    <row r="22" spans="1:11" x14ac:dyDescent="0.35">
      <c r="A22" t="s">
        <v>915</v>
      </c>
      <c r="B22" t="s">
        <v>703</v>
      </c>
      <c r="C22">
        <v>14</v>
      </c>
      <c r="D22" t="s">
        <v>892</v>
      </c>
      <c r="E22" t="str">
        <f>IF(CKadeaTelcoClients_Churn[[#This Row],[Type_Forfait]]="pro monde","B2B","B2C")</f>
        <v>B2C</v>
      </c>
      <c r="F22">
        <v>75</v>
      </c>
      <c r="G22">
        <v>55.67</v>
      </c>
      <c r="H22">
        <v>3</v>
      </c>
      <c r="I22" s="8">
        <f>IF(AND(F22&gt;720,C22&gt;60),70%,
IF(CKadeaTelcoClients_Churn[[#This Row],[Type_Client]]="B2B",10%,
IF(OR(AND(F22&gt;=240,F22&lt;=720),AND(C22&lt;60,D22="Premium 5G 150Go")),45%,0%)))</f>
        <v>0.45</v>
      </c>
      <c r="J22" s="9">
        <f>CKadeaTelcoClients_Churn[[#This Row],[Remise]]*CKadeaTelcoClients_Churn[[#This Row],[Facture_Mensuelle]]</f>
        <v>25.051500000000001</v>
      </c>
      <c r="K22">
        <v>21</v>
      </c>
    </row>
    <row r="23" spans="1:11" x14ac:dyDescent="0.35">
      <c r="A23" t="s">
        <v>916</v>
      </c>
      <c r="B23" t="s">
        <v>701</v>
      </c>
      <c r="C23">
        <v>91</v>
      </c>
      <c r="D23" t="s">
        <v>894</v>
      </c>
      <c r="E23" t="str">
        <f>IF(CKadeaTelcoClients_Churn[[#This Row],[Type_Forfait]]="pro monde","B2B","B2C")</f>
        <v>B2B</v>
      </c>
      <c r="F23">
        <v>358</v>
      </c>
      <c r="G23">
        <v>21.14</v>
      </c>
      <c r="H23">
        <v>5</v>
      </c>
      <c r="I23" s="8">
        <f>IF(AND(F23&gt;720,C23&gt;60),70%,
IF(CKadeaTelcoClients_Churn[[#This Row],[Type_Client]]="B2B",10%,
IF(OR(AND(F23&gt;=240,F23&lt;=720),AND(C23&lt;60,D23="Premium 5G 150Go")),45%,0%)))</f>
        <v>0.1</v>
      </c>
      <c r="J23" s="9">
        <f>CKadeaTelcoClients_Churn[[#This Row],[Remise]]*CKadeaTelcoClients_Churn[[#This Row],[Facture_Mensuelle]]</f>
        <v>2.1140000000000003</v>
      </c>
      <c r="K23">
        <v>22</v>
      </c>
    </row>
    <row r="24" spans="1:11" x14ac:dyDescent="0.35">
      <c r="A24" t="s">
        <v>917</v>
      </c>
      <c r="B24" t="s">
        <v>707</v>
      </c>
      <c r="C24">
        <v>7</v>
      </c>
      <c r="D24" t="s">
        <v>892</v>
      </c>
      <c r="E24" t="str">
        <f>IF(CKadeaTelcoClients_Churn[[#This Row],[Type_Forfait]]="pro monde","B2B","B2C")</f>
        <v>B2C</v>
      </c>
      <c r="F24">
        <v>206</v>
      </c>
      <c r="G24">
        <v>78.09</v>
      </c>
      <c r="H24">
        <v>3</v>
      </c>
      <c r="I24" s="8">
        <f>IF(AND(F24&gt;720,C24&gt;60),70%,
IF(CKadeaTelcoClients_Churn[[#This Row],[Type_Client]]="B2B",10%,
IF(OR(AND(F24&gt;=240,F24&lt;=720),AND(C24&lt;60,D24="Premium 5G 150Go")),45%,0%)))</f>
        <v>0.45</v>
      </c>
      <c r="J24" s="9">
        <f>CKadeaTelcoClients_Churn[[#This Row],[Remise]]*CKadeaTelcoClients_Churn[[#This Row],[Facture_Mensuelle]]</f>
        <v>35.140500000000003</v>
      </c>
      <c r="K24">
        <v>23</v>
      </c>
    </row>
    <row r="25" spans="1:11" x14ac:dyDescent="0.35">
      <c r="A25" t="s">
        <v>918</v>
      </c>
      <c r="B25" t="s">
        <v>679</v>
      </c>
      <c r="C25">
        <v>119</v>
      </c>
      <c r="D25" t="s">
        <v>899</v>
      </c>
      <c r="E25" t="str">
        <f>IF(CKadeaTelcoClients_Churn[[#This Row],[Type_Forfait]]="pro monde","B2B","B2C")</f>
        <v>B2C</v>
      </c>
      <c r="F25">
        <v>228</v>
      </c>
      <c r="G25">
        <v>94.72</v>
      </c>
      <c r="H25">
        <v>3</v>
      </c>
      <c r="I25" s="8">
        <f>IF(AND(F25&gt;720,C25&gt;60),70%,
IF(CKadeaTelcoClients_Churn[[#This Row],[Type_Client]]="B2B",10%,
IF(OR(AND(F25&gt;=240,F25&lt;=720),AND(C25&lt;60,D25="Premium 5G 150Go")),45%,0%)))</f>
        <v>0</v>
      </c>
      <c r="J25" s="9">
        <f>CKadeaTelcoClients_Churn[[#This Row],[Remise]]*CKadeaTelcoClients_Churn[[#This Row],[Facture_Mensuelle]]</f>
        <v>0</v>
      </c>
      <c r="K25">
        <v>24</v>
      </c>
    </row>
    <row r="26" spans="1:11" x14ac:dyDescent="0.35">
      <c r="A26" t="s">
        <v>919</v>
      </c>
      <c r="B26" t="s">
        <v>722</v>
      </c>
      <c r="C26">
        <v>57</v>
      </c>
      <c r="D26" t="s">
        <v>899</v>
      </c>
      <c r="E26" t="str">
        <f>IF(CKadeaTelcoClients_Churn[[#This Row],[Type_Forfait]]="pro monde","B2B","B2C")</f>
        <v>B2C</v>
      </c>
      <c r="F26">
        <v>329</v>
      </c>
      <c r="G26">
        <v>50.39</v>
      </c>
      <c r="H26">
        <v>5</v>
      </c>
      <c r="I26" s="8">
        <f>IF(AND(F26&gt;720,C26&gt;60),70%,
IF(CKadeaTelcoClients_Churn[[#This Row],[Type_Client]]="B2B",10%,
IF(OR(AND(F26&gt;=240,F26&lt;=720),AND(C26&lt;60,D26="Premium 5G 150Go")),45%,0%)))</f>
        <v>0.45</v>
      </c>
      <c r="J26" s="9">
        <f>CKadeaTelcoClients_Churn[[#This Row],[Remise]]*CKadeaTelcoClients_Churn[[#This Row],[Facture_Mensuelle]]</f>
        <v>22.6755</v>
      </c>
      <c r="K26">
        <v>25</v>
      </c>
    </row>
    <row r="27" spans="1:11" x14ac:dyDescent="0.35">
      <c r="A27" t="s">
        <v>920</v>
      </c>
      <c r="B27" t="s">
        <v>711</v>
      </c>
      <c r="C27">
        <v>103</v>
      </c>
      <c r="D27" t="s">
        <v>894</v>
      </c>
      <c r="E27" t="str">
        <f>IF(CKadeaTelcoClients_Churn[[#This Row],[Type_Forfait]]="pro monde","B2B","B2C")</f>
        <v>B2B</v>
      </c>
      <c r="F27">
        <v>105</v>
      </c>
      <c r="G27">
        <v>61.52</v>
      </c>
      <c r="H27">
        <v>3</v>
      </c>
      <c r="I27" s="8">
        <f>IF(AND(F27&gt;720,C27&gt;60),70%,
IF(CKadeaTelcoClients_Churn[[#This Row],[Type_Client]]="B2B",10%,
IF(OR(AND(F27&gt;=240,F27&lt;=720),AND(C27&lt;60,D27="Premium 5G 150Go")),45%,0%)))</f>
        <v>0.1</v>
      </c>
      <c r="J27" s="9">
        <f>CKadeaTelcoClients_Churn[[#This Row],[Remise]]*CKadeaTelcoClients_Churn[[#This Row],[Facture_Mensuelle]]</f>
        <v>6.152000000000001</v>
      </c>
      <c r="K27">
        <v>26</v>
      </c>
    </row>
    <row r="28" spans="1:11" x14ac:dyDescent="0.35">
      <c r="A28" t="s">
        <v>921</v>
      </c>
      <c r="B28" t="s">
        <v>707</v>
      </c>
      <c r="C28">
        <v>59</v>
      </c>
      <c r="D28" t="s">
        <v>899</v>
      </c>
      <c r="E28" t="str">
        <f>IF(CKadeaTelcoClients_Churn[[#This Row],[Type_Forfait]]="pro monde","B2B","B2C")</f>
        <v>B2C</v>
      </c>
      <c r="F28">
        <v>454</v>
      </c>
      <c r="G28">
        <v>10.47</v>
      </c>
      <c r="H28">
        <v>5</v>
      </c>
      <c r="I28" s="8">
        <f>IF(AND(F28&gt;720,C28&gt;60),70%,
IF(CKadeaTelcoClients_Churn[[#This Row],[Type_Client]]="B2B",10%,
IF(OR(AND(F28&gt;=240,F28&lt;=720),AND(C28&lt;60,D28="Premium 5G 150Go")),45%,0%)))</f>
        <v>0.45</v>
      </c>
      <c r="J28" s="9">
        <f>CKadeaTelcoClients_Churn[[#This Row],[Remise]]*CKadeaTelcoClients_Churn[[#This Row],[Facture_Mensuelle]]</f>
        <v>4.7115</v>
      </c>
      <c r="K28">
        <v>27</v>
      </c>
    </row>
    <row r="29" spans="1:11" x14ac:dyDescent="0.35">
      <c r="A29" t="s">
        <v>922</v>
      </c>
      <c r="B29" t="s">
        <v>737</v>
      </c>
      <c r="C29">
        <v>108</v>
      </c>
      <c r="D29" t="s">
        <v>899</v>
      </c>
      <c r="E29" t="str">
        <f>IF(CKadeaTelcoClients_Churn[[#This Row],[Type_Forfait]]="pro monde","B2B","B2C")</f>
        <v>B2C</v>
      </c>
      <c r="F29">
        <v>278</v>
      </c>
      <c r="G29">
        <v>40.51</v>
      </c>
      <c r="H29">
        <v>3</v>
      </c>
      <c r="I29" s="8">
        <f>IF(AND(F29&gt;720,C29&gt;60),70%,
IF(CKadeaTelcoClients_Churn[[#This Row],[Type_Client]]="B2B",10%,
IF(OR(AND(F29&gt;=240,F29&lt;=720),AND(C29&lt;60,D29="Premium 5G 150Go")),45%,0%)))</f>
        <v>0.45</v>
      </c>
      <c r="J29" s="9">
        <f>CKadeaTelcoClients_Churn[[#This Row],[Remise]]*CKadeaTelcoClients_Churn[[#This Row],[Facture_Mensuelle]]</f>
        <v>18.229499999999998</v>
      </c>
      <c r="K29">
        <v>28</v>
      </c>
    </row>
    <row r="30" spans="1:11" x14ac:dyDescent="0.35">
      <c r="A30" t="s">
        <v>923</v>
      </c>
      <c r="B30" t="s">
        <v>706</v>
      </c>
      <c r="C30">
        <v>97</v>
      </c>
      <c r="D30" t="s">
        <v>894</v>
      </c>
      <c r="E30" t="str">
        <f>IF(CKadeaTelcoClients_Churn[[#This Row],[Type_Forfait]]="pro monde","B2B","B2C")</f>
        <v>B2B</v>
      </c>
      <c r="F30">
        <v>319</v>
      </c>
      <c r="G30">
        <v>31.25</v>
      </c>
      <c r="H30">
        <v>1</v>
      </c>
      <c r="I30" s="8">
        <f>IF(AND(F30&gt;720,C30&gt;60),70%,
IF(CKadeaTelcoClients_Churn[[#This Row],[Type_Client]]="B2B",10%,
IF(OR(AND(F30&gt;=240,F30&lt;=720),AND(C30&lt;60,D30="Premium 5G 150Go")),45%,0%)))</f>
        <v>0.1</v>
      </c>
      <c r="J30" s="9">
        <f>CKadeaTelcoClients_Churn[[#This Row],[Remise]]*CKadeaTelcoClients_Churn[[#This Row],[Facture_Mensuelle]]</f>
        <v>3.125</v>
      </c>
      <c r="K30">
        <v>29</v>
      </c>
    </row>
    <row r="31" spans="1:11" x14ac:dyDescent="0.35">
      <c r="A31" t="s">
        <v>924</v>
      </c>
      <c r="B31" t="s">
        <v>694</v>
      </c>
      <c r="C31">
        <v>15</v>
      </c>
      <c r="D31" t="s">
        <v>894</v>
      </c>
      <c r="E31" t="str">
        <f>IF(CKadeaTelcoClients_Churn[[#This Row],[Type_Forfait]]="pro monde","B2B","B2C")</f>
        <v>B2B</v>
      </c>
      <c r="F31">
        <v>403</v>
      </c>
      <c r="G31">
        <v>77.12</v>
      </c>
      <c r="H31">
        <v>1</v>
      </c>
      <c r="I31" s="8">
        <f>IF(AND(F31&gt;720,C31&gt;60),70%,
IF(CKadeaTelcoClients_Churn[[#This Row],[Type_Client]]="B2B",10%,
IF(OR(AND(F31&gt;=240,F31&lt;=720),AND(C31&lt;60,D31="Premium 5G 150Go")),45%,0%)))</f>
        <v>0.1</v>
      </c>
      <c r="J31" s="9">
        <f>CKadeaTelcoClients_Churn[[#This Row],[Remise]]*CKadeaTelcoClients_Churn[[#This Row],[Facture_Mensuelle]]</f>
        <v>7.7120000000000006</v>
      </c>
      <c r="K31">
        <v>30</v>
      </c>
    </row>
    <row r="32" spans="1:11" x14ac:dyDescent="0.35">
      <c r="A32" t="s">
        <v>925</v>
      </c>
      <c r="B32" t="s">
        <v>704</v>
      </c>
      <c r="C32">
        <v>14</v>
      </c>
      <c r="D32" t="s">
        <v>894</v>
      </c>
      <c r="E32" t="str">
        <f>IF(CKadeaTelcoClients_Churn[[#This Row],[Type_Forfait]]="pro monde","B2B","B2C")</f>
        <v>B2B</v>
      </c>
      <c r="F32">
        <v>316</v>
      </c>
      <c r="G32">
        <v>62.34</v>
      </c>
      <c r="H32">
        <v>4</v>
      </c>
      <c r="I32" s="8">
        <f>IF(AND(F32&gt;720,C32&gt;60),70%,
IF(CKadeaTelcoClients_Churn[[#This Row],[Type_Client]]="B2B",10%,
IF(OR(AND(F32&gt;=240,F32&lt;=720),AND(C32&lt;60,D32="Premium 5G 150Go")),45%,0%)))</f>
        <v>0.1</v>
      </c>
      <c r="J32" s="9">
        <f>CKadeaTelcoClients_Churn[[#This Row],[Remise]]*CKadeaTelcoClients_Churn[[#This Row],[Facture_Mensuelle]]</f>
        <v>6.2340000000000009</v>
      </c>
      <c r="K32">
        <v>31</v>
      </c>
    </row>
    <row r="33" spans="1:11" x14ac:dyDescent="0.35">
      <c r="A33" t="s">
        <v>926</v>
      </c>
      <c r="B33" t="s">
        <v>725</v>
      </c>
      <c r="C33">
        <v>101</v>
      </c>
      <c r="D33" t="s">
        <v>894</v>
      </c>
      <c r="E33" t="str">
        <f>IF(CKadeaTelcoClients_Churn[[#This Row],[Type_Forfait]]="pro monde","B2B","B2C")</f>
        <v>B2B</v>
      </c>
      <c r="F33">
        <v>333</v>
      </c>
      <c r="G33">
        <v>74.319999999999993</v>
      </c>
      <c r="H33">
        <v>1</v>
      </c>
      <c r="I33" s="8">
        <f>IF(AND(F33&gt;720,C33&gt;60),70%,
IF(CKadeaTelcoClients_Churn[[#This Row],[Type_Client]]="B2B",10%,
IF(OR(AND(F33&gt;=240,F33&lt;=720),AND(C33&lt;60,D33="Premium 5G 150Go")),45%,0%)))</f>
        <v>0.1</v>
      </c>
      <c r="J33" s="9">
        <f>CKadeaTelcoClients_Churn[[#This Row],[Remise]]*CKadeaTelcoClients_Churn[[#This Row],[Facture_Mensuelle]]</f>
        <v>7.4319999999999995</v>
      </c>
      <c r="K33">
        <v>32</v>
      </c>
    </row>
    <row r="34" spans="1:11" x14ac:dyDescent="0.35">
      <c r="A34" t="s">
        <v>927</v>
      </c>
      <c r="B34" t="s">
        <v>690</v>
      </c>
      <c r="C34">
        <v>79</v>
      </c>
      <c r="D34" t="s">
        <v>892</v>
      </c>
      <c r="E34" t="str">
        <f>IF(CKadeaTelcoClients_Churn[[#This Row],[Type_Forfait]]="pro monde","B2B","B2C")</f>
        <v>B2C</v>
      </c>
      <c r="F34">
        <v>226</v>
      </c>
      <c r="G34">
        <v>94.38</v>
      </c>
      <c r="H34">
        <v>3</v>
      </c>
      <c r="I34" s="8">
        <f>IF(AND(F34&gt;720,C34&gt;60),70%,
IF(CKadeaTelcoClients_Churn[[#This Row],[Type_Client]]="B2B",10%,
IF(OR(AND(F34&gt;=240,F34&lt;=720),AND(C34&lt;60,D34="Premium 5G 150Go")),45%,0%)))</f>
        <v>0</v>
      </c>
      <c r="J34" s="9">
        <f>CKadeaTelcoClients_Churn[[#This Row],[Remise]]*CKadeaTelcoClients_Churn[[#This Row],[Facture_Mensuelle]]</f>
        <v>0</v>
      </c>
      <c r="K34">
        <v>33</v>
      </c>
    </row>
    <row r="35" spans="1:11" x14ac:dyDescent="0.35">
      <c r="A35" t="s">
        <v>928</v>
      </c>
      <c r="B35" t="s">
        <v>700</v>
      </c>
      <c r="C35">
        <v>79</v>
      </c>
      <c r="D35" t="s">
        <v>897</v>
      </c>
      <c r="E35" t="str">
        <f>IF(CKadeaTelcoClients_Churn[[#This Row],[Type_Forfait]]="pro monde","B2B","B2C")</f>
        <v>B2C</v>
      </c>
      <c r="F35">
        <v>357</v>
      </c>
      <c r="G35">
        <v>69.900000000000006</v>
      </c>
      <c r="H35">
        <v>5</v>
      </c>
      <c r="I35" s="8">
        <f>IF(AND(F35&gt;720,C35&gt;60),70%,
IF(CKadeaTelcoClients_Churn[[#This Row],[Type_Client]]="B2B",10%,
IF(OR(AND(F35&gt;=240,F35&lt;=720),AND(C35&lt;60,D35="Premium 5G 150Go")),45%,0%)))</f>
        <v>0.45</v>
      </c>
      <c r="J35" s="9">
        <f>CKadeaTelcoClients_Churn[[#This Row],[Remise]]*CKadeaTelcoClients_Churn[[#This Row],[Facture_Mensuelle]]</f>
        <v>31.455000000000002</v>
      </c>
      <c r="K35">
        <v>34</v>
      </c>
    </row>
    <row r="36" spans="1:11" x14ac:dyDescent="0.35">
      <c r="A36" t="s">
        <v>929</v>
      </c>
      <c r="B36" t="s">
        <v>702</v>
      </c>
      <c r="C36">
        <v>101</v>
      </c>
      <c r="D36" t="s">
        <v>894</v>
      </c>
      <c r="E36" t="str">
        <f>IF(CKadeaTelcoClients_Churn[[#This Row],[Type_Forfait]]="pro monde","B2B","B2C")</f>
        <v>B2B</v>
      </c>
      <c r="F36">
        <v>176</v>
      </c>
      <c r="G36">
        <v>86</v>
      </c>
      <c r="H36">
        <v>3</v>
      </c>
      <c r="I36" s="8">
        <f>IF(AND(F36&gt;720,C36&gt;60),70%,
IF(CKadeaTelcoClients_Churn[[#This Row],[Type_Client]]="B2B",10%,
IF(OR(AND(F36&gt;=240,F36&lt;=720),AND(C36&lt;60,D36="Premium 5G 150Go")),45%,0%)))</f>
        <v>0.1</v>
      </c>
      <c r="J36" s="9">
        <f>CKadeaTelcoClients_Churn[[#This Row],[Remise]]*CKadeaTelcoClients_Churn[[#This Row],[Facture_Mensuelle]]</f>
        <v>8.6</v>
      </c>
      <c r="K36">
        <v>35</v>
      </c>
    </row>
    <row r="37" spans="1:11" x14ac:dyDescent="0.35">
      <c r="A37" t="s">
        <v>930</v>
      </c>
      <c r="B37" t="s">
        <v>700</v>
      </c>
      <c r="C37">
        <v>110</v>
      </c>
      <c r="D37" t="s">
        <v>899</v>
      </c>
      <c r="E37" t="str">
        <f>IF(CKadeaTelcoClients_Churn[[#This Row],[Type_Forfait]]="pro monde","B2B","B2C")</f>
        <v>B2C</v>
      </c>
      <c r="F37">
        <v>454</v>
      </c>
      <c r="G37">
        <v>31.05</v>
      </c>
      <c r="H37">
        <v>1</v>
      </c>
      <c r="I37" s="8">
        <f>IF(AND(F37&gt;720,C37&gt;60),70%,
IF(CKadeaTelcoClients_Churn[[#This Row],[Type_Client]]="B2B",10%,
IF(OR(AND(F37&gt;=240,F37&lt;=720),AND(C37&lt;60,D37="Premium 5G 150Go")),45%,0%)))</f>
        <v>0.45</v>
      </c>
      <c r="J37" s="9">
        <f>CKadeaTelcoClients_Churn[[#This Row],[Remise]]*CKadeaTelcoClients_Churn[[#This Row],[Facture_Mensuelle]]</f>
        <v>13.9725</v>
      </c>
      <c r="K37">
        <v>36</v>
      </c>
    </row>
    <row r="38" spans="1:11" x14ac:dyDescent="0.35">
      <c r="A38" t="s">
        <v>931</v>
      </c>
      <c r="B38" t="s">
        <v>693</v>
      </c>
      <c r="C38">
        <v>14</v>
      </c>
      <c r="D38" t="s">
        <v>897</v>
      </c>
      <c r="E38" t="str">
        <f>IF(CKadeaTelcoClients_Churn[[#This Row],[Type_Forfait]]="pro monde","B2B","B2C")</f>
        <v>B2C</v>
      </c>
      <c r="F38">
        <v>415</v>
      </c>
      <c r="G38">
        <v>36.93</v>
      </c>
      <c r="H38">
        <v>5</v>
      </c>
      <c r="I38" s="8">
        <f>IF(AND(F38&gt;720,C38&gt;60),70%,
IF(CKadeaTelcoClients_Churn[[#This Row],[Type_Client]]="B2B",10%,
IF(OR(AND(F38&gt;=240,F38&lt;=720),AND(C38&lt;60,D38="Premium 5G 150Go")),45%,0%)))</f>
        <v>0.45</v>
      </c>
      <c r="J38" s="9">
        <f>CKadeaTelcoClients_Churn[[#This Row],[Remise]]*CKadeaTelcoClients_Churn[[#This Row],[Facture_Mensuelle]]</f>
        <v>16.618500000000001</v>
      </c>
      <c r="K38">
        <v>37</v>
      </c>
    </row>
    <row r="39" spans="1:11" x14ac:dyDescent="0.35">
      <c r="A39" t="s">
        <v>932</v>
      </c>
      <c r="B39" t="s">
        <v>703</v>
      </c>
      <c r="C39">
        <v>106</v>
      </c>
      <c r="D39" t="s">
        <v>897</v>
      </c>
      <c r="E39" t="str">
        <f>IF(CKadeaTelcoClients_Churn[[#This Row],[Type_Forfait]]="pro monde","B2B","B2C")</f>
        <v>B2C</v>
      </c>
      <c r="F39">
        <v>400</v>
      </c>
      <c r="G39">
        <v>70.02</v>
      </c>
      <c r="H39">
        <v>4</v>
      </c>
      <c r="I39" s="8">
        <f>IF(AND(F39&gt;720,C39&gt;60),70%,
IF(CKadeaTelcoClients_Churn[[#This Row],[Type_Client]]="B2B",10%,
IF(OR(AND(F39&gt;=240,F39&lt;=720),AND(C39&lt;60,D39="Premium 5G 150Go")),45%,0%)))</f>
        <v>0.45</v>
      </c>
      <c r="J39" s="9">
        <f>CKadeaTelcoClients_Churn[[#This Row],[Remise]]*CKadeaTelcoClients_Churn[[#This Row],[Facture_Mensuelle]]</f>
        <v>31.509</v>
      </c>
      <c r="K39">
        <v>38</v>
      </c>
    </row>
    <row r="40" spans="1:11" x14ac:dyDescent="0.35">
      <c r="A40" t="s">
        <v>933</v>
      </c>
      <c r="B40" t="s">
        <v>703</v>
      </c>
      <c r="C40">
        <v>72</v>
      </c>
      <c r="D40" t="s">
        <v>897</v>
      </c>
      <c r="E40" t="str">
        <f>IF(CKadeaTelcoClients_Churn[[#This Row],[Type_Forfait]]="pro monde","B2B","B2C")</f>
        <v>B2C</v>
      </c>
      <c r="F40">
        <v>332</v>
      </c>
      <c r="G40">
        <v>83.36</v>
      </c>
      <c r="H40">
        <v>4</v>
      </c>
      <c r="I40" s="8">
        <f>IF(AND(F40&gt;720,C40&gt;60),70%,
IF(CKadeaTelcoClients_Churn[[#This Row],[Type_Client]]="B2B",10%,
IF(OR(AND(F40&gt;=240,F40&lt;=720),AND(C40&lt;60,D40="Premium 5G 150Go")),45%,0%)))</f>
        <v>0.45</v>
      </c>
      <c r="J40" s="9">
        <f>CKadeaTelcoClients_Churn[[#This Row],[Remise]]*CKadeaTelcoClients_Churn[[#This Row],[Facture_Mensuelle]]</f>
        <v>37.512</v>
      </c>
      <c r="K40">
        <v>39</v>
      </c>
    </row>
    <row r="41" spans="1:11" x14ac:dyDescent="0.35">
      <c r="A41" t="s">
        <v>934</v>
      </c>
      <c r="B41" t="s">
        <v>685</v>
      </c>
      <c r="C41">
        <v>6</v>
      </c>
      <c r="D41" t="s">
        <v>892</v>
      </c>
      <c r="E41" t="str">
        <f>IF(CKadeaTelcoClients_Churn[[#This Row],[Type_Forfait]]="pro monde","B2B","B2C")</f>
        <v>B2C</v>
      </c>
      <c r="F41">
        <v>207</v>
      </c>
      <c r="G41">
        <v>61.55</v>
      </c>
      <c r="H41">
        <v>0</v>
      </c>
      <c r="I41" s="8">
        <f>IF(AND(F41&gt;720,C41&gt;60),70%,
IF(CKadeaTelcoClients_Churn[[#This Row],[Type_Client]]="B2B",10%,
IF(OR(AND(F41&gt;=240,F41&lt;=720),AND(C41&lt;60,D41="Premium 5G 150Go")),45%,0%)))</f>
        <v>0.45</v>
      </c>
      <c r="J41" s="9">
        <f>CKadeaTelcoClients_Churn[[#This Row],[Remise]]*CKadeaTelcoClients_Churn[[#This Row],[Facture_Mensuelle]]</f>
        <v>27.697499999999998</v>
      </c>
      <c r="K41">
        <v>40</v>
      </c>
    </row>
    <row r="42" spans="1:11" x14ac:dyDescent="0.35">
      <c r="A42" t="s">
        <v>935</v>
      </c>
      <c r="B42" t="s">
        <v>725</v>
      </c>
      <c r="C42">
        <v>65</v>
      </c>
      <c r="D42" t="s">
        <v>892</v>
      </c>
      <c r="E42" t="str">
        <f>IF(CKadeaTelcoClients_Churn[[#This Row],[Type_Forfait]]="pro monde","B2B","B2C")</f>
        <v>B2C</v>
      </c>
      <c r="F42">
        <v>397</v>
      </c>
      <c r="G42">
        <v>22.6</v>
      </c>
      <c r="H42">
        <v>5</v>
      </c>
      <c r="I42" s="8">
        <f>IF(AND(F42&gt;720,C42&gt;60),70%,
IF(CKadeaTelcoClients_Churn[[#This Row],[Type_Client]]="B2B",10%,
IF(OR(AND(F42&gt;=240,F42&lt;=720),AND(C42&lt;60,D42="Premium 5G 150Go")),45%,0%)))</f>
        <v>0.45</v>
      </c>
      <c r="J42" s="9">
        <f>CKadeaTelcoClients_Churn[[#This Row],[Remise]]*CKadeaTelcoClients_Churn[[#This Row],[Facture_Mensuelle]]</f>
        <v>10.170000000000002</v>
      </c>
      <c r="K42">
        <v>41</v>
      </c>
    </row>
    <row r="43" spans="1:11" x14ac:dyDescent="0.35">
      <c r="A43" t="s">
        <v>936</v>
      </c>
      <c r="B43" t="s">
        <v>722</v>
      </c>
      <c r="C43">
        <v>14</v>
      </c>
      <c r="D43" t="s">
        <v>894</v>
      </c>
      <c r="E43" t="str">
        <f>IF(CKadeaTelcoClients_Churn[[#This Row],[Type_Forfait]]="pro monde","B2B","B2C")</f>
        <v>B2B</v>
      </c>
      <c r="F43">
        <v>101</v>
      </c>
      <c r="G43">
        <v>43.99</v>
      </c>
      <c r="H43">
        <v>1</v>
      </c>
      <c r="I43" s="8">
        <f>IF(AND(F43&gt;720,C43&gt;60),70%,
IF(CKadeaTelcoClients_Churn[[#This Row],[Type_Client]]="B2B",10%,
IF(OR(AND(F43&gt;=240,F43&lt;=720),AND(C43&lt;60,D43="Premium 5G 150Go")),45%,0%)))</f>
        <v>0.1</v>
      </c>
      <c r="J43" s="9">
        <f>CKadeaTelcoClients_Churn[[#This Row],[Remise]]*CKadeaTelcoClients_Churn[[#This Row],[Facture_Mensuelle]]</f>
        <v>4.399</v>
      </c>
      <c r="K43">
        <v>42</v>
      </c>
    </row>
    <row r="44" spans="1:11" x14ac:dyDescent="0.35">
      <c r="A44" t="s">
        <v>937</v>
      </c>
      <c r="B44" t="s">
        <v>726</v>
      </c>
      <c r="C44">
        <v>22</v>
      </c>
      <c r="D44" t="s">
        <v>899</v>
      </c>
      <c r="E44" t="str">
        <f>IF(CKadeaTelcoClients_Churn[[#This Row],[Type_Forfait]]="pro monde","B2B","B2C")</f>
        <v>B2C</v>
      </c>
      <c r="F44">
        <v>451</v>
      </c>
      <c r="G44">
        <v>76.38</v>
      </c>
      <c r="H44">
        <v>3</v>
      </c>
      <c r="I44" s="8">
        <f>IF(AND(F44&gt;720,C44&gt;60),70%,
IF(CKadeaTelcoClients_Churn[[#This Row],[Type_Client]]="B2B",10%,
IF(OR(AND(F44&gt;=240,F44&lt;=720),AND(C44&lt;60,D44="Premium 5G 150Go")),45%,0%)))</f>
        <v>0.45</v>
      </c>
      <c r="J44" s="9">
        <f>CKadeaTelcoClients_Churn[[#This Row],[Remise]]*CKadeaTelcoClients_Churn[[#This Row],[Facture_Mensuelle]]</f>
        <v>34.371000000000002</v>
      </c>
      <c r="K44">
        <v>43</v>
      </c>
    </row>
    <row r="45" spans="1:11" x14ac:dyDescent="0.35">
      <c r="A45" t="s">
        <v>938</v>
      </c>
      <c r="B45" t="s">
        <v>688</v>
      </c>
      <c r="C45">
        <v>81</v>
      </c>
      <c r="D45" t="s">
        <v>894</v>
      </c>
      <c r="E45" t="str">
        <f>IF(CKadeaTelcoClients_Churn[[#This Row],[Type_Forfait]]="pro monde","B2B","B2C")</f>
        <v>B2B</v>
      </c>
      <c r="F45">
        <v>154</v>
      </c>
      <c r="G45">
        <v>19.47</v>
      </c>
      <c r="H45">
        <v>3</v>
      </c>
      <c r="I45" s="8">
        <f>IF(AND(F45&gt;720,C45&gt;60),70%,
IF(CKadeaTelcoClients_Churn[[#This Row],[Type_Client]]="B2B",10%,
IF(OR(AND(F45&gt;=240,F45&lt;=720),AND(C45&lt;60,D45="Premium 5G 150Go")),45%,0%)))</f>
        <v>0.1</v>
      </c>
      <c r="J45" s="9">
        <f>CKadeaTelcoClients_Churn[[#This Row],[Remise]]*CKadeaTelcoClients_Churn[[#This Row],[Facture_Mensuelle]]</f>
        <v>1.9470000000000001</v>
      </c>
      <c r="K45">
        <v>44</v>
      </c>
    </row>
    <row r="46" spans="1:11" x14ac:dyDescent="0.35">
      <c r="A46" t="s">
        <v>939</v>
      </c>
      <c r="B46" t="s">
        <v>711</v>
      </c>
      <c r="C46">
        <v>16</v>
      </c>
      <c r="D46" t="s">
        <v>897</v>
      </c>
      <c r="E46" t="str">
        <f>IF(CKadeaTelcoClients_Churn[[#This Row],[Type_Forfait]]="pro monde","B2B","B2C")</f>
        <v>B2C</v>
      </c>
      <c r="F46">
        <v>43</v>
      </c>
      <c r="G46">
        <v>56.48</v>
      </c>
      <c r="H46">
        <v>0</v>
      </c>
      <c r="I46" s="8">
        <f>IF(AND(F46&gt;720,C46&gt;60),70%,
IF(CKadeaTelcoClients_Churn[[#This Row],[Type_Client]]="B2B",10%,
IF(OR(AND(F46&gt;=240,F46&lt;=720),AND(C46&lt;60,D46="Premium 5G 150Go")),45%,0%)))</f>
        <v>0</v>
      </c>
      <c r="J46" s="9">
        <f>CKadeaTelcoClients_Churn[[#This Row],[Remise]]*CKadeaTelcoClients_Churn[[#This Row],[Facture_Mensuelle]]</f>
        <v>0</v>
      </c>
      <c r="K46">
        <v>45</v>
      </c>
    </row>
    <row r="47" spans="1:11" x14ac:dyDescent="0.35">
      <c r="A47" t="s">
        <v>940</v>
      </c>
      <c r="B47" t="s">
        <v>679</v>
      </c>
      <c r="C47">
        <v>112</v>
      </c>
      <c r="D47" t="s">
        <v>894</v>
      </c>
      <c r="E47" t="str">
        <f>IF(CKadeaTelcoClients_Churn[[#This Row],[Type_Forfait]]="pro monde","B2B","B2C")</f>
        <v>B2B</v>
      </c>
      <c r="F47">
        <v>18</v>
      </c>
      <c r="G47">
        <v>27.33</v>
      </c>
      <c r="H47">
        <v>5</v>
      </c>
      <c r="I47" s="8">
        <f>IF(AND(F47&gt;720,C47&gt;60),70%,
IF(CKadeaTelcoClients_Churn[[#This Row],[Type_Client]]="B2B",10%,
IF(OR(AND(F47&gt;=240,F47&lt;=720),AND(C47&lt;60,D47="Premium 5G 150Go")),45%,0%)))</f>
        <v>0.1</v>
      </c>
      <c r="J47" s="9">
        <f>CKadeaTelcoClients_Churn[[#This Row],[Remise]]*CKadeaTelcoClients_Churn[[#This Row],[Facture_Mensuelle]]</f>
        <v>2.7330000000000001</v>
      </c>
      <c r="K47">
        <v>46</v>
      </c>
    </row>
    <row r="48" spans="1:11" x14ac:dyDescent="0.35">
      <c r="A48" t="s">
        <v>941</v>
      </c>
      <c r="B48" t="s">
        <v>701</v>
      </c>
      <c r="C48">
        <v>27</v>
      </c>
      <c r="D48" t="s">
        <v>897</v>
      </c>
      <c r="E48" t="str">
        <f>IF(CKadeaTelcoClients_Churn[[#This Row],[Type_Forfait]]="pro monde","B2B","B2C")</f>
        <v>B2C</v>
      </c>
      <c r="F48">
        <v>275</v>
      </c>
      <c r="G48">
        <v>80.069999999999993</v>
      </c>
      <c r="H48">
        <v>1</v>
      </c>
      <c r="I48" s="8">
        <f>IF(AND(F48&gt;720,C48&gt;60),70%,
IF(CKadeaTelcoClients_Churn[[#This Row],[Type_Client]]="B2B",10%,
IF(OR(AND(F48&gt;=240,F48&lt;=720),AND(C48&lt;60,D48="Premium 5G 150Go")),45%,0%)))</f>
        <v>0.45</v>
      </c>
      <c r="J48" s="9">
        <f>CKadeaTelcoClients_Churn[[#This Row],[Remise]]*CKadeaTelcoClients_Churn[[#This Row],[Facture_Mensuelle]]</f>
        <v>36.031500000000001</v>
      </c>
      <c r="K48">
        <v>47</v>
      </c>
    </row>
    <row r="49" spans="1:11" x14ac:dyDescent="0.35">
      <c r="A49" t="s">
        <v>942</v>
      </c>
      <c r="B49" t="s">
        <v>706</v>
      </c>
      <c r="C49">
        <v>117</v>
      </c>
      <c r="D49" t="s">
        <v>899</v>
      </c>
      <c r="E49" t="str">
        <f>IF(CKadeaTelcoClients_Churn[[#This Row],[Type_Forfait]]="pro monde","B2B","B2C")</f>
        <v>B2C</v>
      </c>
      <c r="F49">
        <v>171</v>
      </c>
      <c r="G49">
        <v>50.89</v>
      </c>
      <c r="H49">
        <v>4</v>
      </c>
      <c r="I49" s="8">
        <f>IF(AND(F49&gt;720,C49&gt;60),70%,
IF(CKadeaTelcoClients_Churn[[#This Row],[Type_Client]]="B2B",10%,
IF(OR(AND(F49&gt;=240,F49&lt;=720),AND(C49&lt;60,D49="Premium 5G 150Go")),45%,0%)))</f>
        <v>0</v>
      </c>
      <c r="J49" s="9">
        <f>CKadeaTelcoClients_Churn[[#This Row],[Remise]]*CKadeaTelcoClients_Churn[[#This Row],[Facture_Mensuelle]]</f>
        <v>0</v>
      </c>
      <c r="K49">
        <v>48</v>
      </c>
    </row>
    <row r="50" spans="1:11" x14ac:dyDescent="0.35">
      <c r="A50" t="s">
        <v>943</v>
      </c>
      <c r="B50" t="s">
        <v>679</v>
      </c>
      <c r="C50">
        <v>47</v>
      </c>
      <c r="D50" t="s">
        <v>897</v>
      </c>
      <c r="E50" t="str">
        <f>IF(CKadeaTelcoClients_Churn[[#This Row],[Type_Forfait]]="pro monde","B2B","B2C")</f>
        <v>B2C</v>
      </c>
      <c r="F50">
        <v>199</v>
      </c>
      <c r="G50">
        <v>23.19</v>
      </c>
      <c r="H50">
        <v>2</v>
      </c>
      <c r="I50" s="8">
        <f>IF(AND(F50&gt;720,C50&gt;60),70%,
IF(CKadeaTelcoClients_Churn[[#This Row],[Type_Client]]="B2B",10%,
IF(OR(AND(F50&gt;=240,F50&lt;=720),AND(C50&lt;60,D50="Premium 5G 150Go")),45%,0%)))</f>
        <v>0</v>
      </c>
      <c r="J50" s="9">
        <f>CKadeaTelcoClients_Churn[[#This Row],[Remise]]*CKadeaTelcoClients_Churn[[#This Row],[Facture_Mensuelle]]</f>
        <v>0</v>
      </c>
      <c r="K50">
        <v>49</v>
      </c>
    </row>
    <row r="51" spans="1:11" x14ac:dyDescent="0.35">
      <c r="A51" t="s">
        <v>944</v>
      </c>
      <c r="B51" t="s">
        <v>704</v>
      </c>
      <c r="C51">
        <v>21</v>
      </c>
      <c r="D51" t="s">
        <v>892</v>
      </c>
      <c r="E51" t="str">
        <f>IF(CKadeaTelcoClients_Churn[[#This Row],[Type_Forfait]]="pro monde","B2B","B2C")</f>
        <v>B2C</v>
      </c>
      <c r="F51">
        <v>371</v>
      </c>
      <c r="G51">
        <v>48.31</v>
      </c>
      <c r="H51">
        <v>0</v>
      </c>
      <c r="I51" s="8">
        <f>IF(AND(F51&gt;720,C51&gt;60),70%,
IF(CKadeaTelcoClients_Churn[[#This Row],[Type_Client]]="B2B",10%,
IF(OR(AND(F51&gt;=240,F51&lt;=720),AND(C51&lt;60,D51="Premium 5G 150Go")),45%,0%)))</f>
        <v>0.45</v>
      </c>
      <c r="J51" s="9">
        <f>CKadeaTelcoClients_Churn[[#This Row],[Remise]]*CKadeaTelcoClients_Churn[[#This Row],[Facture_Mensuelle]]</f>
        <v>21.739500000000003</v>
      </c>
      <c r="K51">
        <v>50</v>
      </c>
    </row>
    <row r="52" spans="1:11" x14ac:dyDescent="0.35">
      <c r="A52" t="s">
        <v>945</v>
      </c>
      <c r="B52" t="s">
        <v>679</v>
      </c>
      <c r="C52">
        <v>82</v>
      </c>
      <c r="D52" t="s">
        <v>897</v>
      </c>
      <c r="E52" t="str">
        <f>IF(CKadeaTelcoClients_Churn[[#This Row],[Type_Forfait]]="pro monde","B2B","B2C")</f>
        <v>B2C</v>
      </c>
      <c r="F52">
        <v>132</v>
      </c>
      <c r="G52">
        <v>50.14</v>
      </c>
      <c r="H52">
        <v>5</v>
      </c>
      <c r="I52" s="8">
        <f>IF(AND(F52&gt;720,C52&gt;60),70%,
IF(CKadeaTelcoClients_Churn[[#This Row],[Type_Client]]="B2B",10%,
IF(OR(AND(F52&gt;=240,F52&lt;=720),AND(C52&lt;60,D52="Premium 5G 150Go")),45%,0%)))</f>
        <v>0</v>
      </c>
      <c r="J52" s="9">
        <f>CKadeaTelcoClients_Churn[[#This Row],[Remise]]*CKadeaTelcoClients_Churn[[#This Row],[Facture_Mensuelle]]</f>
        <v>0</v>
      </c>
      <c r="K52">
        <v>51</v>
      </c>
    </row>
    <row r="53" spans="1:11" x14ac:dyDescent="0.35">
      <c r="A53" t="s">
        <v>946</v>
      </c>
      <c r="B53" t="s">
        <v>700</v>
      </c>
      <c r="C53">
        <v>59</v>
      </c>
      <c r="D53" t="s">
        <v>899</v>
      </c>
      <c r="E53" t="str">
        <f>IF(CKadeaTelcoClients_Churn[[#This Row],[Type_Forfait]]="pro monde","B2B","B2C")</f>
        <v>B2C</v>
      </c>
      <c r="F53">
        <v>192</v>
      </c>
      <c r="G53">
        <v>86.17</v>
      </c>
      <c r="H53">
        <v>1</v>
      </c>
      <c r="I53" s="8">
        <f>IF(AND(F53&gt;720,C53&gt;60),70%,
IF(CKadeaTelcoClients_Churn[[#This Row],[Type_Client]]="B2B",10%,
IF(OR(AND(F53&gt;=240,F53&lt;=720),AND(C53&lt;60,D53="Premium 5G 150Go")),45%,0%)))</f>
        <v>0</v>
      </c>
      <c r="J53" s="9">
        <f>CKadeaTelcoClients_Churn[[#This Row],[Remise]]*CKadeaTelcoClients_Churn[[#This Row],[Facture_Mensuelle]]</f>
        <v>0</v>
      </c>
      <c r="K53">
        <v>52</v>
      </c>
    </row>
    <row r="54" spans="1:11" x14ac:dyDescent="0.35">
      <c r="A54" t="s">
        <v>947</v>
      </c>
      <c r="B54" t="s">
        <v>699</v>
      </c>
      <c r="C54">
        <v>98</v>
      </c>
      <c r="D54" t="s">
        <v>894</v>
      </c>
      <c r="E54" t="str">
        <f>IF(CKadeaTelcoClients_Churn[[#This Row],[Type_Forfait]]="pro monde","B2B","B2C")</f>
        <v>B2B</v>
      </c>
      <c r="F54">
        <v>482</v>
      </c>
      <c r="G54">
        <v>55.04</v>
      </c>
      <c r="H54">
        <v>5</v>
      </c>
      <c r="I54" s="8">
        <f>IF(AND(F54&gt;720,C54&gt;60),70%,
IF(CKadeaTelcoClients_Churn[[#This Row],[Type_Client]]="B2B",10%,
IF(OR(AND(F54&gt;=240,F54&lt;=720),AND(C54&lt;60,D54="Premium 5G 150Go")),45%,0%)))</f>
        <v>0.1</v>
      </c>
      <c r="J54" s="9">
        <f>CKadeaTelcoClients_Churn[[#This Row],[Remise]]*CKadeaTelcoClients_Churn[[#This Row],[Facture_Mensuelle]]</f>
        <v>5.5040000000000004</v>
      </c>
      <c r="K54">
        <v>53</v>
      </c>
    </row>
    <row r="55" spans="1:11" x14ac:dyDescent="0.35">
      <c r="A55" t="s">
        <v>948</v>
      </c>
      <c r="B55" t="s">
        <v>737</v>
      </c>
      <c r="C55">
        <v>58</v>
      </c>
      <c r="D55" t="s">
        <v>897</v>
      </c>
      <c r="E55" t="str">
        <f>IF(CKadeaTelcoClients_Churn[[#This Row],[Type_Forfait]]="pro monde","B2B","B2C")</f>
        <v>B2C</v>
      </c>
      <c r="F55">
        <v>423</v>
      </c>
      <c r="G55">
        <v>80.459999999999994</v>
      </c>
      <c r="H55">
        <v>0</v>
      </c>
      <c r="I55" s="8">
        <f>IF(AND(F55&gt;720,C55&gt;60),70%,
IF(CKadeaTelcoClients_Churn[[#This Row],[Type_Client]]="B2B",10%,
IF(OR(AND(F55&gt;=240,F55&lt;=720),AND(C55&lt;60,D55="Premium 5G 150Go")),45%,0%)))</f>
        <v>0.45</v>
      </c>
      <c r="J55" s="9">
        <f>CKadeaTelcoClients_Churn[[#This Row],[Remise]]*CKadeaTelcoClients_Churn[[#This Row],[Facture_Mensuelle]]</f>
        <v>36.207000000000001</v>
      </c>
      <c r="K55">
        <v>54</v>
      </c>
    </row>
    <row r="56" spans="1:11" x14ac:dyDescent="0.35">
      <c r="A56" t="s">
        <v>949</v>
      </c>
      <c r="B56" t="s">
        <v>725</v>
      </c>
      <c r="C56">
        <v>86</v>
      </c>
      <c r="D56" t="s">
        <v>897</v>
      </c>
      <c r="E56" t="str">
        <f>IF(CKadeaTelcoClients_Churn[[#This Row],[Type_Forfait]]="pro monde","B2B","B2C")</f>
        <v>B2C</v>
      </c>
      <c r="F56">
        <v>460</v>
      </c>
      <c r="G56">
        <v>22.81</v>
      </c>
      <c r="H56">
        <v>4</v>
      </c>
      <c r="I56" s="8">
        <f>IF(AND(F56&gt;720,C56&gt;60),70%,
IF(CKadeaTelcoClients_Churn[[#This Row],[Type_Client]]="B2B",10%,
IF(OR(AND(F56&gt;=240,F56&lt;=720),AND(C56&lt;60,D56="Premium 5G 150Go")),45%,0%)))</f>
        <v>0.45</v>
      </c>
      <c r="J56" s="9">
        <f>CKadeaTelcoClients_Churn[[#This Row],[Remise]]*CKadeaTelcoClients_Churn[[#This Row],[Facture_Mensuelle]]</f>
        <v>10.2645</v>
      </c>
      <c r="K56">
        <v>55</v>
      </c>
    </row>
    <row r="57" spans="1:11" x14ac:dyDescent="0.35">
      <c r="A57" t="s">
        <v>950</v>
      </c>
      <c r="B57" t="s">
        <v>685</v>
      </c>
      <c r="C57">
        <v>58</v>
      </c>
      <c r="D57" t="s">
        <v>899</v>
      </c>
      <c r="E57" t="str">
        <f>IF(CKadeaTelcoClients_Churn[[#This Row],[Type_Forfait]]="pro monde","B2B","B2C")</f>
        <v>B2C</v>
      </c>
      <c r="F57">
        <v>61</v>
      </c>
      <c r="G57">
        <v>58.64</v>
      </c>
      <c r="H57">
        <v>3</v>
      </c>
      <c r="I57" s="8">
        <f>IF(AND(F57&gt;720,C57&gt;60),70%,
IF(CKadeaTelcoClients_Churn[[#This Row],[Type_Client]]="B2B",10%,
IF(OR(AND(F57&gt;=240,F57&lt;=720),AND(C57&lt;60,D57="Premium 5G 150Go")),45%,0%)))</f>
        <v>0</v>
      </c>
      <c r="J57" s="9">
        <f>CKadeaTelcoClients_Churn[[#This Row],[Remise]]*CKadeaTelcoClients_Churn[[#This Row],[Facture_Mensuelle]]</f>
        <v>0</v>
      </c>
      <c r="K57">
        <v>56</v>
      </c>
    </row>
    <row r="58" spans="1:11" x14ac:dyDescent="0.35">
      <c r="A58" t="s">
        <v>951</v>
      </c>
      <c r="B58" t="s">
        <v>716</v>
      </c>
      <c r="C58">
        <v>20</v>
      </c>
      <c r="D58" t="s">
        <v>897</v>
      </c>
      <c r="E58" t="str">
        <f>IF(CKadeaTelcoClients_Churn[[#This Row],[Type_Forfait]]="pro monde","B2B","B2C")</f>
        <v>B2C</v>
      </c>
      <c r="F58">
        <v>26</v>
      </c>
      <c r="G58">
        <v>25.14</v>
      </c>
      <c r="H58">
        <v>0</v>
      </c>
      <c r="I58" s="8">
        <f>IF(AND(F58&gt;720,C58&gt;60),70%,
IF(CKadeaTelcoClients_Churn[[#This Row],[Type_Client]]="B2B",10%,
IF(OR(AND(F58&gt;=240,F58&lt;=720),AND(C58&lt;60,D58="Premium 5G 150Go")),45%,0%)))</f>
        <v>0</v>
      </c>
      <c r="J58" s="9">
        <f>CKadeaTelcoClients_Churn[[#This Row],[Remise]]*CKadeaTelcoClients_Churn[[#This Row],[Facture_Mensuelle]]</f>
        <v>0</v>
      </c>
      <c r="K58">
        <v>57</v>
      </c>
    </row>
    <row r="59" spans="1:11" x14ac:dyDescent="0.35">
      <c r="A59" t="s">
        <v>952</v>
      </c>
      <c r="B59" t="s">
        <v>679</v>
      </c>
      <c r="C59">
        <v>111</v>
      </c>
      <c r="D59" t="s">
        <v>892</v>
      </c>
      <c r="E59" t="str">
        <f>IF(CKadeaTelcoClients_Churn[[#This Row],[Type_Forfait]]="pro monde","B2B","B2C")</f>
        <v>B2C</v>
      </c>
      <c r="F59">
        <v>103</v>
      </c>
      <c r="G59">
        <v>32.06</v>
      </c>
      <c r="H59">
        <v>0</v>
      </c>
      <c r="I59" s="8">
        <f>IF(AND(F59&gt;720,C59&gt;60),70%,
IF(CKadeaTelcoClients_Churn[[#This Row],[Type_Client]]="B2B",10%,
IF(OR(AND(F59&gt;=240,F59&lt;=720),AND(C59&lt;60,D59="Premium 5G 150Go")),45%,0%)))</f>
        <v>0</v>
      </c>
      <c r="J59" s="9">
        <f>CKadeaTelcoClients_Churn[[#This Row],[Remise]]*CKadeaTelcoClients_Churn[[#This Row],[Facture_Mensuelle]]</f>
        <v>0</v>
      </c>
      <c r="K59">
        <v>58</v>
      </c>
    </row>
    <row r="60" spans="1:11" x14ac:dyDescent="0.35">
      <c r="A60" t="s">
        <v>953</v>
      </c>
      <c r="B60" t="s">
        <v>700</v>
      </c>
      <c r="C60">
        <v>94</v>
      </c>
      <c r="D60" t="s">
        <v>899</v>
      </c>
      <c r="E60" t="str">
        <f>IF(CKadeaTelcoClients_Churn[[#This Row],[Type_Forfait]]="pro monde","B2B","B2C")</f>
        <v>B2C</v>
      </c>
      <c r="F60">
        <v>122</v>
      </c>
      <c r="G60">
        <v>95.74</v>
      </c>
      <c r="H60">
        <v>5</v>
      </c>
      <c r="I60" s="8">
        <f>IF(AND(F60&gt;720,C60&gt;60),70%,
IF(CKadeaTelcoClients_Churn[[#This Row],[Type_Client]]="B2B",10%,
IF(OR(AND(F60&gt;=240,F60&lt;=720),AND(C60&lt;60,D60="Premium 5G 150Go")),45%,0%)))</f>
        <v>0</v>
      </c>
      <c r="J60" s="9">
        <f>CKadeaTelcoClients_Churn[[#This Row],[Remise]]*CKadeaTelcoClients_Churn[[#This Row],[Facture_Mensuelle]]</f>
        <v>0</v>
      </c>
      <c r="K60">
        <v>59</v>
      </c>
    </row>
    <row r="61" spans="1:11" x14ac:dyDescent="0.35">
      <c r="A61" t="s">
        <v>954</v>
      </c>
      <c r="B61" t="s">
        <v>737</v>
      </c>
      <c r="C61">
        <v>42</v>
      </c>
      <c r="D61" t="s">
        <v>899</v>
      </c>
      <c r="E61" t="str">
        <f>IF(CKadeaTelcoClients_Churn[[#This Row],[Type_Forfait]]="pro monde","B2B","B2C")</f>
        <v>B2C</v>
      </c>
      <c r="F61">
        <v>385</v>
      </c>
      <c r="G61">
        <v>96.52</v>
      </c>
      <c r="H61">
        <v>1</v>
      </c>
      <c r="I61" s="8">
        <f>IF(AND(F61&gt;720,C61&gt;60),70%,
IF(CKadeaTelcoClients_Churn[[#This Row],[Type_Client]]="B2B",10%,
IF(OR(AND(F61&gt;=240,F61&lt;=720),AND(C61&lt;60,D61="Premium 5G 150Go")),45%,0%)))</f>
        <v>0.45</v>
      </c>
      <c r="J61" s="9">
        <f>CKadeaTelcoClients_Churn[[#This Row],[Remise]]*CKadeaTelcoClients_Churn[[#This Row],[Facture_Mensuelle]]</f>
        <v>43.433999999999997</v>
      </c>
      <c r="K61">
        <v>60</v>
      </c>
    </row>
    <row r="62" spans="1:11" x14ac:dyDescent="0.35">
      <c r="A62" t="s">
        <v>955</v>
      </c>
      <c r="B62" t="s">
        <v>700</v>
      </c>
      <c r="C62">
        <v>12</v>
      </c>
      <c r="D62" t="s">
        <v>894</v>
      </c>
      <c r="E62" t="str">
        <f>IF(CKadeaTelcoClients_Churn[[#This Row],[Type_Forfait]]="pro monde","B2B","B2C")</f>
        <v>B2B</v>
      </c>
      <c r="F62">
        <v>305</v>
      </c>
      <c r="G62">
        <v>59.96</v>
      </c>
      <c r="H62">
        <v>3</v>
      </c>
      <c r="I62" s="8">
        <f>IF(AND(F62&gt;720,C62&gt;60),70%,
IF(CKadeaTelcoClients_Churn[[#This Row],[Type_Client]]="B2B",10%,
IF(OR(AND(F62&gt;=240,F62&lt;=720),AND(C62&lt;60,D62="Premium 5G 150Go")),45%,0%)))</f>
        <v>0.1</v>
      </c>
      <c r="J62" s="9">
        <f>CKadeaTelcoClients_Churn[[#This Row],[Remise]]*CKadeaTelcoClients_Churn[[#This Row],[Facture_Mensuelle]]</f>
        <v>5.9960000000000004</v>
      </c>
      <c r="K62">
        <v>61</v>
      </c>
    </row>
    <row r="63" spans="1:11" x14ac:dyDescent="0.35">
      <c r="A63" t="s">
        <v>956</v>
      </c>
      <c r="B63" t="s">
        <v>737</v>
      </c>
      <c r="C63">
        <v>103</v>
      </c>
      <c r="D63" t="s">
        <v>897</v>
      </c>
      <c r="E63" t="str">
        <f>IF(CKadeaTelcoClients_Churn[[#This Row],[Type_Forfait]]="pro monde","B2B","B2C")</f>
        <v>B2C</v>
      </c>
      <c r="F63">
        <v>300</v>
      </c>
      <c r="G63">
        <v>13.76</v>
      </c>
      <c r="H63">
        <v>4</v>
      </c>
      <c r="I63" s="8">
        <f>IF(AND(F63&gt;720,C63&gt;60),70%,
IF(CKadeaTelcoClients_Churn[[#This Row],[Type_Client]]="B2B",10%,
IF(OR(AND(F63&gt;=240,F63&lt;=720),AND(C63&lt;60,D63="Premium 5G 150Go")),45%,0%)))</f>
        <v>0.45</v>
      </c>
      <c r="J63" s="9">
        <f>CKadeaTelcoClients_Churn[[#This Row],[Remise]]*CKadeaTelcoClients_Churn[[#This Row],[Facture_Mensuelle]]</f>
        <v>6.1920000000000002</v>
      </c>
      <c r="K63">
        <v>62</v>
      </c>
    </row>
    <row r="64" spans="1:11" x14ac:dyDescent="0.35">
      <c r="A64" t="s">
        <v>957</v>
      </c>
      <c r="B64" t="s">
        <v>737</v>
      </c>
      <c r="C64">
        <v>80</v>
      </c>
      <c r="D64" t="s">
        <v>892</v>
      </c>
      <c r="E64" t="str">
        <f>IF(CKadeaTelcoClients_Churn[[#This Row],[Type_Forfait]]="pro monde","B2B","B2C")</f>
        <v>B2C</v>
      </c>
      <c r="F64">
        <v>121</v>
      </c>
      <c r="G64">
        <v>83.14</v>
      </c>
      <c r="H64">
        <v>5</v>
      </c>
      <c r="I64" s="8">
        <f>IF(AND(F64&gt;720,C64&gt;60),70%,
IF(CKadeaTelcoClients_Churn[[#This Row],[Type_Client]]="B2B",10%,
IF(OR(AND(F64&gt;=240,F64&lt;=720),AND(C64&lt;60,D64="Premium 5G 150Go")),45%,0%)))</f>
        <v>0</v>
      </c>
      <c r="J64" s="9">
        <f>CKadeaTelcoClients_Churn[[#This Row],[Remise]]*CKadeaTelcoClients_Churn[[#This Row],[Facture_Mensuelle]]</f>
        <v>0</v>
      </c>
      <c r="K64">
        <v>63</v>
      </c>
    </row>
    <row r="65" spans="1:11" x14ac:dyDescent="0.35">
      <c r="A65" t="s">
        <v>958</v>
      </c>
      <c r="B65" t="s">
        <v>707</v>
      </c>
      <c r="C65">
        <v>86</v>
      </c>
      <c r="D65" t="s">
        <v>894</v>
      </c>
      <c r="E65" t="str">
        <f>IF(CKadeaTelcoClients_Churn[[#This Row],[Type_Forfait]]="pro monde","B2B","B2C")</f>
        <v>B2B</v>
      </c>
      <c r="F65">
        <v>252</v>
      </c>
      <c r="G65">
        <v>96.5</v>
      </c>
      <c r="H65">
        <v>5</v>
      </c>
      <c r="I65" s="8">
        <f>IF(AND(F65&gt;720,C65&gt;60),70%,
IF(CKadeaTelcoClients_Churn[[#This Row],[Type_Client]]="B2B",10%,
IF(OR(AND(F65&gt;=240,F65&lt;=720),AND(C65&lt;60,D65="Premium 5G 150Go")),45%,0%)))</f>
        <v>0.1</v>
      </c>
      <c r="J65" s="9">
        <f>CKadeaTelcoClients_Churn[[#This Row],[Remise]]*CKadeaTelcoClients_Churn[[#This Row],[Facture_Mensuelle]]</f>
        <v>9.65</v>
      </c>
      <c r="K65">
        <v>64</v>
      </c>
    </row>
    <row r="66" spans="1:11" x14ac:dyDescent="0.35">
      <c r="A66" t="s">
        <v>959</v>
      </c>
      <c r="B66" t="s">
        <v>690</v>
      </c>
      <c r="C66">
        <v>80</v>
      </c>
      <c r="D66" t="s">
        <v>897</v>
      </c>
      <c r="E66" t="str">
        <f>IF(CKadeaTelcoClients_Churn[[#This Row],[Type_Forfait]]="pro monde","B2B","B2C")</f>
        <v>B2C</v>
      </c>
      <c r="F66">
        <v>260</v>
      </c>
      <c r="G66">
        <v>65.87</v>
      </c>
      <c r="H66">
        <v>3</v>
      </c>
      <c r="I66" s="8">
        <f>IF(AND(F66&gt;720,C66&gt;60),70%,
IF(CKadeaTelcoClients_Churn[[#This Row],[Type_Client]]="B2B",10%,
IF(OR(AND(F66&gt;=240,F66&lt;=720),AND(C66&lt;60,D66="Premium 5G 150Go")),45%,0%)))</f>
        <v>0.45</v>
      </c>
      <c r="J66" s="9">
        <f>CKadeaTelcoClients_Churn[[#This Row],[Remise]]*CKadeaTelcoClients_Churn[[#This Row],[Facture_Mensuelle]]</f>
        <v>29.641500000000004</v>
      </c>
      <c r="K66">
        <v>65</v>
      </c>
    </row>
    <row r="67" spans="1:11" x14ac:dyDescent="0.35">
      <c r="A67" t="s">
        <v>960</v>
      </c>
      <c r="B67" t="s">
        <v>722</v>
      </c>
      <c r="C67">
        <v>53</v>
      </c>
      <c r="D67" t="s">
        <v>894</v>
      </c>
      <c r="E67" t="str">
        <f>IF(CKadeaTelcoClients_Churn[[#This Row],[Type_Forfait]]="pro monde","B2B","B2C")</f>
        <v>B2B</v>
      </c>
      <c r="F67">
        <v>385</v>
      </c>
      <c r="G67">
        <v>68.78</v>
      </c>
      <c r="H67">
        <v>3</v>
      </c>
      <c r="I67" s="8">
        <f>IF(AND(F67&gt;720,C67&gt;60),70%,
IF(CKadeaTelcoClients_Churn[[#This Row],[Type_Client]]="B2B",10%,
IF(OR(AND(F67&gt;=240,F67&lt;=720),AND(C67&lt;60,D67="Premium 5G 150Go")),45%,0%)))</f>
        <v>0.1</v>
      </c>
      <c r="J67" s="9">
        <f>CKadeaTelcoClients_Churn[[#This Row],[Remise]]*CKadeaTelcoClients_Churn[[#This Row],[Facture_Mensuelle]]</f>
        <v>6.8780000000000001</v>
      </c>
      <c r="K67">
        <v>66</v>
      </c>
    </row>
    <row r="68" spans="1:11" x14ac:dyDescent="0.35">
      <c r="A68" t="s">
        <v>961</v>
      </c>
      <c r="B68" t="s">
        <v>716</v>
      </c>
      <c r="C68">
        <v>50</v>
      </c>
      <c r="D68" t="s">
        <v>897</v>
      </c>
      <c r="E68" t="str">
        <f>IF(CKadeaTelcoClients_Churn[[#This Row],[Type_Forfait]]="pro monde","B2B","B2C")</f>
        <v>B2C</v>
      </c>
      <c r="F68">
        <v>258</v>
      </c>
      <c r="G68">
        <v>25.06</v>
      </c>
      <c r="H68">
        <v>4</v>
      </c>
      <c r="I68" s="8">
        <f>IF(AND(F68&gt;720,C68&gt;60),70%,
IF(CKadeaTelcoClients_Churn[[#This Row],[Type_Client]]="B2B",10%,
IF(OR(AND(F68&gt;=240,F68&lt;=720),AND(C68&lt;60,D68="Premium 5G 150Go")),45%,0%)))</f>
        <v>0.45</v>
      </c>
      <c r="J68" s="9">
        <f>CKadeaTelcoClients_Churn[[#This Row],[Remise]]*CKadeaTelcoClients_Churn[[#This Row],[Facture_Mensuelle]]</f>
        <v>11.276999999999999</v>
      </c>
      <c r="K68">
        <v>67</v>
      </c>
    </row>
    <row r="69" spans="1:11" x14ac:dyDescent="0.35">
      <c r="A69" t="s">
        <v>962</v>
      </c>
      <c r="B69" t="s">
        <v>716</v>
      </c>
      <c r="C69">
        <v>30</v>
      </c>
      <c r="D69" t="s">
        <v>892</v>
      </c>
      <c r="E69" t="str">
        <f>IF(CKadeaTelcoClients_Churn[[#This Row],[Type_Forfait]]="pro monde","B2B","B2C")</f>
        <v>B2C</v>
      </c>
      <c r="F69">
        <v>197</v>
      </c>
      <c r="G69">
        <v>15.42</v>
      </c>
      <c r="H69">
        <v>0</v>
      </c>
      <c r="I69" s="8">
        <f>IF(AND(F69&gt;720,C69&gt;60),70%,
IF(CKadeaTelcoClients_Churn[[#This Row],[Type_Client]]="B2B",10%,
IF(OR(AND(F69&gt;=240,F69&lt;=720),AND(C69&lt;60,D69="Premium 5G 150Go")),45%,0%)))</f>
        <v>0.45</v>
      </c>
      <c r="J69" s="9">
        <f>CKadeaTelcoClients_Churn[[#This Row],[Remise]]*CKadeaTelcoClients_Churn[[#This Row],[Facture_Mensuelle]]</f>
        <v>6.9390000000000001</v>
      </c>
      <c r="K69">
        <v>68</v>
      </c>
    </row>
    <row r="70" spans="1:11" x14ac:dyDescent="0.35">
      <c r="A70" t="s">
        <v>963</v>
      </c>
      <c r="B70" t="s">
        <v>722</v>
      </c>
      <c r="C70">
        <v>116</v>
      </c>
      <c r="D70" t="s">
        <v>894</v>
      </c>
      <c r="E70" t="str">
        <f>IF(CKadeaTelcoClients_Churn[[#This Row],[Type_Forfait]]="pro monde","B2B","B2C")</f>
        <v>B2B</v>
      </c>
      <c r="F70">
        <v>486</v>
      </c>
      <c r="G70">
        <v>92.96</v>
      </c>
      <c r="H70">
        <v>5</v>
      </c>
      <c r="I70" s="8">
        <f>IF(AND(F70&gt;720,C70&gt;60),70%,
IF(CKadeaTelcoClients_Churn[[#This Row],[Type_Client]]="B2B",10%,
IF(OR(AND(F70&gt;=240,F70&lt;=720),AND(C70&lt;60,D70="Premium 5G 150Go")),45%,0%)))</f>
        <v>0.1</v>
      </c>
      <c r="J70" s="9">
        <f>CKadeaTelcoClients_Churn[[#This Row],[Remise]]*CKadeaTelcoClients_Churn[[#This Row],[Facture_Mensuelle]]</f>
        <v>9.2959999999999994</v>
      </c>
      <c r="K70">
        <v>69</v>
      </c>
    </row>
    <row r="71" spans="1:11" x14ac:dyDescent="0.35">
      <c r="A71" t="s">
        <v>964</v>
      </c>
      <c r="B71" t="s">
        <v>699</v>
      </c>
      <c r="C71">
        <v>51</v>
      </c>
      <c r="D71" t="s">
        <v>899</v>
      </c>
      <c r="E71" t="str">
        <f>IF(CKadeaTelcoClients_Churn[[#This Row],[Type_Forfait]]="pro monde","B2B","B2C")</f>
        <v>B2C</v>
      </c>
      <c r="F71">
        <v>58</v>
      </c>
      <c r="G71">
        <v>34.6</v>
      </c>
      <c r="H71">
        <v>5</v>
      </c>
      <c r="I71" s="8">
        <f>IF(AND(F71&gt;720,C71&gt;60),70%,
IF(CKadeaTelcoClients_Churn[[#This Row],[Type_Client]]="B2B",10%,
IF(OR(AND(F71&gt;=240,F71&lt;=720),AND(C71&lt;60,D71="Premium 5G 150Go")),45%,0%)))</f>
        <v>0</v>
      </c>
      <c r="J71" s="9">
        <f>CKadeaTelcoClients_Churn[[#This Row],[Remise]]*CKadeaTelcoClients_Churn[[#This Row],[Facture_Mensuelle]]</f>
        <v>0</v>
      </c>
      <c r="K71">
        <v>70</v>
      </c>
    </row>
    <row r="72" spans="1:11" x14ac:dyDescent="0.35">
      <c r="A72" t="s">
        <v>965</v>
      </c>
      <c r="B72" t="s">
        <v>711</v>
      </c>
      <c r="C72">
        <v>44</v>
      </c>
      <c r="D72" t="s">
        <v>894</v>
      </c>
      <c r="E72" t="str">
        <f>IF(CKadeaTelcoClients_Churn[[#This Row],[Type_Forfait]]="pro monde","B2B","B2C")</f>
        <v>B2B</v>
      </c>
      <c r="F72">
        <v>137</v>
      </c>
      <c r="G72">
        <v>32.58</v>
      </c>
      <c r="H72">
        <v>0</v>
      </c>
      <c r="I72" s="8">
        <f>IF(AND(F72&gt;720,C72&gt;60),70%,
IF(CKadeaTelcoClients_Churn[[#This Row],[Type_Client]]="B2B",10%,
IF(OR(AND(F72&gt;=240,F72&lt;=720),AND(C72&lt;60,D72="Premium 5G 150Go")),45%,0%)))</f>
        <v>0.1</v>
      </c>
      <c r="J72" s="9">
        <f>CKadeaTelcoClients_Churn[[#This Row],[Remise]]*CKadeaTelcoClients_Churn[[#This Row],[Facture_Mensuelle]]</f>
        <v>3.258</v>
      </c>
      <c r="K72">
        <v>71</v>
      </c>
    </row>
    <row r="73" spans="1:11" x14ac:dyDescent="0.35">
      <c r="A73" t="s">
        <v>966</v>
      </c>
      <c r="B73" t="s">
        <v>725</v>
      </c>
      <c r="C73">
        <v>70</v>
      </c>
      <c r="D73" t="s">
        <v>897</v>
      </c>
      <c r="E73" t="str">
        <f>IF(CKadeaTelcoClients_Churn[[#This Row],[Type_Forfait]]="pro monde","B2B","B2C")</f>
        <v>B2C</v>
      </c>
      <c r="F73">
        <v>31</v>
      </c>
      <c r="G73">
        <v>71.2</v>
      </c>
      <c r="H73">
        <v>4</v>
      </c>
      <c r="I73" s="8">
        <f>IF(AND(F73&gt;720,C73&gt;60),70%,
IF(CKadeaTelcoClients_Churn[[#This Row],[Type_Client]]="B2B",10%,
IF(OR(AND(F73&gt;=240,F73&lt;=720),AND(C73&lt;60,D73="Premium 5G 150Go")),45%,0%)))</f>
        <v>0</v>
      </c>
      <c r="J73" s="9">
        <f>CKadeaTelcoClients_Churn[[#This Row],[Remise]]*CKadeaTelcoClients_Churn[[#This Row],[Facture_Mensuelle]]</f>
        <v>0</v>
      </c>
      <c r="K73">
        <v>72</v>
      </c>
    </row>
    <row r="74" spans="1:11" x14ac:dyDescent="0.35">
      <c r="A74" t="s">
        <v>967</v>
      </c>
      <c r="B74" t="s">
        <v>737</v>
      </c>
      <c r="C74">
        <v>6</v>
      </c>
      <c r="D74" t="s">
        <v>892</v>
      </c>
      <c r="E74" t="str">
        <f>IF(CKadeaTelcoClients_Churn[[#This Row],[Type_Forfait]]="pro monde","B2B","B2C")</f>
        <v>B2C</v>
      </c>
      <c r="F74">
        <v>162</v>
      </c>
      <c r="G74">
        <v>99.93</v>
      </c>
      <c r="H74">
        <v>0</v>
      </c>
      <c r="I74" s="8">
        <f>IF(AND(F74&gt;720,C74&gt;60),70%,
IF(CKadeaTelcoClients_Churn[[#This Row],[Type_Client]]="B2B",10%,
IF(OR(AND(F74&gt;=240,F74&lt;=720),AND(C74&lt;60,D74="Premium 5G 150Go")),45%,0%)))</f>
        <v>0.45</v>
      </c>
      <c r="J74" s="9">
        <f>CKadeaTelcoClients_Churn[[#This Row],[Remise]]*CKadeaTelcoClients_Churn[[#This Row],[Facture_Mensuelle]]</f>
        <v>44.968500000000006</v>
      </c>
      <c r="K74">
        <v>73</v>
      </c>
    </row>
    <row r="75" spans="1:11" x14ac:dyDescent="0.35">
      <c r="A75" t="s">
        <v>968</v>
      </c>
      <c r="B75" t="s">
        <v>737</v>
      </c>
      <c r="C75">
        <v>86</v>
      </c>
      <c r="D75" t="s">
        <v>894</v>
      </c>
      <c r="E75" t="str">
        <f>IF(CKadeaTelcoClients_Churn[[#This Row],[Type_Forfait]]="pro monde","B2B","B2C")</f>
        <v>B2B</v>
      </c>
      <c r="F75">
        <v>237</v>
      </c>
      <c r="G75">
        <v>85.82</v>
      </c>
      <c r="H75">
        <v>5</v>
      </c>
      <c r="I75" s="8">
        <f>IF(AND(F75&gt;720,C75&gt;60),70%,
IF(CKadeaTelcoClients_Churn[[#This Row],[Type_Client]]="B2B",10%,
IF(OR(AND(F75&gt;=240,F75&lt;=720),AND(C75&lt;60,D75="Premium 5G 150Go")),45%,0%)))</f>
        <v>0.1</v>
      </c>
      <c r="J75" s="9">
        <f>CKadeaTelcoClients_Churn[[#This Row],[Remise]]*CKadeaTelcoClients_Churn[[#This Row],[Facture_Mensuelle]]</f>
        <v>8.581999999999999</v>
      </c>
      <c r="K75">
        <v>74</v>
      </c>
    </row>
    <row r="76" spans="1:11" x14ac:dyDescent="0.35">
      <c r="A76" t="s">
        <v>969</v>
      </c>
      <c r="B76" t="s">
        <v>694</v>
      </c>
      <c r="C76">
        <v>114</v>
      </c>
      <c r="D76" t="s">
        <v>892</v>
      </c>
      <c r="E76" t="str">
        <f>IF(CKadeaTelcoClients_Churn[[#This Row],[Type_Forfait]]="pro monde","B2B","B2C")</f>
        <v>B2C</v>
      </c>
      <c r="F76">
        <v>283</v>
      </c>
      <c r="G76">
        <v>29.15</v>
      </c>
      <c r="H76">
        <v>3</v>
      </c>
      <c r="I76" s="8">
        <f>IF(AND(F76&gt;720,C76&gt;60),70%,
IF(CKadeaTelcoClients_Churn[[#This Row],[Type_Client]]="B2B",10%,
IF(OR(AND(F76&gt;=240,F76&lt;=720),AND(C76&lt;60,D76="Premium 5G 150Go")),45%,0%)))</f>
        <v>0.45</v>
      </c>
      <c r="J76" s="9">
        <f>CKadeaTelcoClients_Churn[[#This Row],[Remise]]*CKadeaTelcoClients_Churn[[#This Row],[Facture_Mensuelle]]</f>
        <v>13.1175</v>
      </c>
      <c r="K76">
        <v>75</v>
      </c>
    </row>
    <row r="77" spans="1:11" x14ac:dyDescent="0.35">
      <c r="A77" t="s">
        <v>970</v>
      </c>
      <c r="B77" t="s">
        <v>703</v>
      </c>
      <c r="C77">
        <v>57</v>
      </c>
      <c r="D77" t="s">
        <v>897</v>
      </c>
      <c r="E77" t="str">
        <f>IF(CKadeaTelcoClients_Churn[[#This Row],[Type_Forfait]]="pro monde","B2B","B2C")</f>
        <v>B2C</v>
      </c>
      <c r="F77">
        <v>208</v>
      </c>
      <c r="G77">
        <v>85.66</v>
      </c>
      <c r="H77">
        <v>5</v>
      </c>
      <c r="I77" s="8">
        <f>IF(AND(F77&gt;720,C77&gt;60),70%,
IF(CKadeaTelcoClients_Churn[[#This Row],[Type_Client]]="B2B",10%,
IF(OR(AND(F77&gt;=240,F77&lt;=720),AND(C77&lt;60,D77="Premium 5G 150Go")),45%,0%)))</f>
        <v>0</v>
      </c>
      <c r="J77" s="9">
        <f>CKadeaTelcoClients_Churn[[#This Row],[Remise]]*CKadeaTelcoClients_Churn[[#This Row],[Facture_Mensuelle]]</f>
        <v>0</v>
      </c>
      <c r="K77">
        <v>76</v>
      </c>
    </row>
    <row r="78" spans="1:11" x14ac:dyDescent="0.35">
      <c r="A78" t="s">
        <v>971</v>
      </c>
      <c r="B78" t="s">
        <v>719</v>
      </c>
      <c r="C78">
        <v>95</v>
      </c>
      <c r="D78" t="s">
        <v>897</v>
      </c>
      <c r="E78" t="str">
        <f>IF(CKadeaTelcoClients_Churn[[#This Row],[Type_Forfait]]="pro monde","B2B","B2C")</f>
        <v>B2C</v>
      </c>
      <c r="F78">
        <v>33</v>
      </c>
      <c r="G78">
        <v>35.32</v>
      </c>
      <c r="H78">
        <v>0</v>
      </c>
      <c r="I78" s="8">
        <f>IF(AND(F78&gt;720,C78&gt;60),70%,
IF(CKadeaTelcoClients_Churn[[#This Row],[Type_Client]]="B2B",10%,
IF(OR(AND(F78&gt;=240,F78&lt;=720),AND(C78&lt;60,D78="Premium 5G 150Go")),45%,0%)))</f>
        <v>0</v>
      </c>
      <c r="J78" s="9">
        <f>CKadeaTelcoClients_Churn[[#This Row],[Remise]]*CKadeaTelcoClients_Churn[[#This Row],[Facture_Mensuelle]]</f>
        <v>0</v>
      </c>
      <c r="K78">
        <v>77</v>
      </c>
    </row>
    <row r="79" spans="1:11" x14ac:dyDescent="0.35">
      <c r="A79" t="s">
        <v>972</v>
      </c>
      <c r="B79" t="s">
        <v>707</v>
      </c>
      <c r="C79">
        <v>36</v>
      </c>
      <c r="D79" t="s">
        <v>897</v>
      </c>
      <c r="E79" t="str">
        <f>IF(CKadeaTelcoClients_Churn[[#This Row],[Type_Forfait]]="pro monde","B2B","B2C")</f>
        <v>B2C</v>
      </c>
      <c r="F79">
        <v>247</v>
      </c>
      <c r="G79">
        <v>24.53</v>
      </c>
      <c r="H79">
        <v>2</v>
      </c>
      <c r="I79" s="8">
        <f>IF(AND(F79&gt;720,C79&gt;60),70%,
IF(CKadeaTelcoClients_Churn[[#This Row],[Type_Client]]="B2B",10%,
IF(OR(AND(F79&gt;=240,F79&lt;=720),AND(C79&lt;60,D79="Premium 5G 150Go")),45%,0%)))</f>
        <v>0.45</v>
      </c>
      <c r="J79" s="9">
        <f>CKadeaTelcoClients_Churn[[#This Row],[Remise]]*CKadeaTelcoClients_Churn[[#This Row],[Facture_Mensuelle]]</f>
        <v>11.038500000000001</v>
      </c>
      <c r="K79">
        <v>78</v>
      </c>
    </row>
    <row r="80" spans="1:11" x14ac:dyDescent="0.35">
      <c r="A80" t="s">
        <v>973</v>
      </c>
      <c r="B80" t="s">
        <v>690</v>
      </c>
      <c r="C80">
        <v>83</v>
      </c>
      <c r="D80" t="s">
        <v>899</v>
      </c>
      <c r="E80" t="str">
        <f>IF(CKadeaTelcoClients_Churn[[#This Row],[Type_Forfait]]="pro monde","B2B","B2C")</f>
        <v>B2C</v>
      </c>
      <c r="F80">
        <v>14</v>
      </c>
      <c r="G80">
        <v>58.07</v>
      </c>
      <c r="H80">
        <v>3</v>
      </c>
      <c r="I80" s="8">
        <f>IF(AND(F80&gt;720,C80&gt;60),70%,
IF(CKadeaTelcoClients_Churn[[#This Row],[Type_Client]]="B2B",10%,
IF(OR(AND(F80&gt;=240,F80&lt;=720),AND(C80&lt;60,D80="Premium 5G 150Go")),45%,0%)))</f>
        <v>0</v>
      </c>
      <c r="J80" s="9">
        <f>CKadeaTelcoClients_Churn[[#This Row],[Remise]]*CKadeaTelcoClients_Churn[[#This Row],[Facture_Mensuelle]]</f>
        <v>0</v>
      </c>
      <c r="K80">
        <v>79</v>
      </c>
    </row>
    <row r="81" spans="1:11" x14ac:dyDescent="0.35">
      <c r="A81" t="s">
        <v>974</v>
      </c>
      <c r="B81" t="s">
        <v>679</v>
      </c>
      <c r="C81">
        <v>12</v>
      </c>
      <c r="D81" t="s">
        <v>892</v>
      </c>
      <c r="E81" t="str">
        <f>IF(CKadeaTelcoClients_Churn[[#This Row],[Type_Forfait]]="pro monde","B2B","B2C")</f>
        <v>B2C</v>
      </c>
      <c r="F81">
        <v>208</v>
      </c>
      <c r="G81">
        <v>16.29</v>
      </c>
      <c r="H81">
        <v>4</v>
      </c>
      <c r="I81" s="8">
        <f>IF(AND(F81&gt;720,C81&gt;60),70%,
IF(CKadeaTelcoClients_Churn[[#This Row],[Type_Client]]="B2B",10%,
IF(OR(AND(F81&gt;=240,F81&lt;=720),AND(C81&lt;60,D81="Premium 5G 150Go")),45%,0%)))</f>
        <v>0.45</v>
      </c>
      <c r="J81" s="9">
        <f>CKadeaTelcoClients_Churn[[#This Row],[Remise]]*CKadeaTelcoClients_Churn[[#This Row],[Facture_Mensuelle]]</f>
        <v>7.3304999999999998</v>
      </c>
      <c r="K81">
        <v>80</v>
      </c>
    </row>
    <row r="82" spans="1:11" x14ac:dyDescent="0.35">
      <c r="A82" t="s">
        <v>975</v>
      </c>
      <c r="B82" t="s">
        <v>704</v>
      </c>
      <c r="C82">
        <v>111</v>
      </c>
      <c r="D82" t="s">
        <v>899</v>
      </c>
      <c r="E82" t="str">
        <f>IF(CKadeaTelcoClients_Churn[[#This Row],[Type_Forfait]]="pro monde","B2B","B2C")</f>
        <v>B2C</v>
      </c>
      <c r="F82">
        <v>324</v>
      </c>
      <c r="G82">
        <v>18.07</v>
      </c>
      <c r="H82">
        <v>2</v>
      </c>
      <c r="I82" s="8">
        <f>IF(AND(F82&gt;720,C82&gt;60),70%,
IF(CKadeaTelcoClients_Churn[[#This Row],[Type_Client]]="B2B",10%,
IF(OR(AND(F82&gt;=240,F82&lt;=720),AND(C82&lt;60,D82="Premium 5G 150Go")),45%,0%)))</f>
        <v>0.45</v>
      </c>
      <c r="J82" s="9">
        <f>CKadeaTelcoClients_Churn[[#This Row],[Remise]]*CKadeaTelcoClients_Churn[[#This Row],[Facture_Mensuelle]]</f>
        <v>8.1315000000000008</v>
      </c>
      <c r="K82">
        <v>81</v>
      </c>
    </row>
    <row r="83" spans="1:11" x14ac:dyDescent="0.35">
      <c r="A83" t="s">
        <v>976</v>
      </c>
      <c r="B83" t="s">
        <v>700</v>
      </c>
      <c r="C83">
        <v>22</v>
      </c>
      <c r="D83" t="s">
        <v>899</v>
      </c>
      <c r="E83" t="str">
        <f>IF(CKadeaTelcoClients_Churn[[#This Row],[Type_Forfait]]="pro monde","B2B","B2C")</f>
        <v>B2C</v>
      </c>
      <c r="F83">
        <v>119</v>
      </c>
      <c r="G83">
        <v>72.86</v>
      </c>
      <c r="H83">
        <v>3</v>
      </c>
      <c r="I83" s="8">
        <f>IF(AND(F83&gt;720,C83&gt;60),70%,
IF(CKadeaTelcoClients_Churn[[#This Row],[Type_Client]]="B2B",10%,
IF(OR(AND(F83&gt;=240,F83&lt;=720),AND(C83&lt;60,D83="Premium 5G 150Go")),45%,0%)))</f>
        <v>0</v>
      </c>
      <c r="J83" s="9">
        <f>CKadeaTelcoClients_Churn[[#This Row],[Remise]]*CKadeaTelcoClients_Churn[[#This Row],[Facture_Mensuelle]]</f>
        <v>0</v>
      </c>
      <c r="K83">
        <v>82</v>
      </c>
    </row>
    <row r="84" spans="1:11" x14ac:dyDescent="0.35">
      <c r="A84" t="s">
        <v>977</v>
      </c>
      <c r="B84" t="s">
        <v>726</v>
      </c>
      <c r="C84">
        <v>91</v>
      </c>
      <c r="D84" t="s">
        <v>892</v>
      </c>
      <c r="E84" t="str">
        <f>IF(CKadeaTelcoClients_Churn[[#This Row],[Type_Forfait]]="pro monde","B2B","B2C")</f>
        <v>B2C</v>
      </c>
      <c r="F84">
        <v>467</v>
      </c>
      <c r="G84">
        <v>84.74</v>
      </c>
      <c r="H84">
        <v>1</v>
      </c>
      <c r="I84" s="8">
        <f>IF(AND(F84&gt;720,C84&gt;60),70%,
IF(CKadeaTelcoClients_Churn[[#This Row],[Type_Client]]="B2B",10%,
IF(OR(AND(F84&gt;=240,F84&lt;=720),AND(C84&lt;60,D84="Premium 5G 150Go")),45%,0%)))</f>
        <v>0.45</v>
      </c>
      <c r="J84" s="9">
        <f>CKadeaTelcoClients_Churn[[#This Row],[Remise]]*CKadeaTelcoClients_Churn[[#This Row],[Facture_Mensuelle]]</f>
        <v>38.132999999999996</v>
      </c>
      <c r="K84">
        <v>83</v>
      </c>
    </row>
    <row r="85" spans="1:11" x14ac:dyDescent="0.35">
      <c r="A85" t="s">
        <v>978</v>
      </c>
      <c r="B85" t="s">
        <v>725</v>
      </c>
      <c r="C85">
        <v>4</v>
      </c>
      <c r="D85" t="s">
        <v>897</v>
      </c>
      <c r="E85" t="str">
        <f>IF(CKadeaTelcoClients_Churn[[#This Row],[Type_Forfait]]="pro monde","B2B","B2C")</f>
        <v>B2C</v>
      </c>
      <c r="F85">
        <v>453</v>
      </c>
      <c r="G85">
        <v>75.260000000000005</v>
      </c>
      <c r="H85">
        <v>5</v>
      </c>
      <c r="I85" s="8">
        <f>IF(AND(F85&gt;720,C85&gt;60),70%,
IF(CKadeaTelcoClients_Churn[[#This Row],[Type_Client]]="B2B",10%,
IF(OR(AND(F85&gt;=240,F85&lt;=720),AND(C85&lt;60,D85="Premium 5G 150Go")),45%,0%)))</f>
        <v>0.45</v>
      </c>
      <c r="J85" s="9">
        <f>CKadeaTelcoClients_Churn[[#This Row],[Remise]]*CKadeaTelcoClients_Churn[[#This Row],[Facture_Mensuelle]]</f>
        <v>33.867000000000004</v>
      </c>
      <c r="K85">
        <v>84</v>
      </c>
    </row>
    <row r="86" spans="1:11" x14ac:dyDescent="0.35">
      <c r="A86" t="s">
        <v>979</v>
      </c>
      <c r="B86" t="s">
        <v>711</v>
      </c>
      <c r="C86">
        <v>74</v>
      </c>
      <c r="D86" t="s">
        <v>899</v>
      </c>
      <c r="E86" t="str">
        <f>IF(CKadeaTelcoClients_Churn[[#This Row],[Type_Forfait]]="pro monde","B2B","B2C")</f>
        <v>B2C</v>
      </c>
      <c r="F86">
        <v>9</v>
      </c>
      <c r="G86">
        <v>99.89</v>
      </c>
      <c r="H86">
        <v>0</v>
      </c>
      <c r="I86" s="8">
        <f>IF(AND(F86&gt;720,C86&gt;60),70%,
IF(CKadeaTelcoClients_Churn[[#This Row],[Type_Client]]="B2B",10%,
IF(OR(AND(F86&gt;=240,F86&lt;=720),AND(C86&lt;60,D86="Premium 5G 150Go")),45%,0%)))</f>
        <v>0</v>
      </c>
      <c r="J86" s="9">
        <f>CKadeaTelcoClients_Churn[[#This Row],[Remise]]*CKadeaTelcoClients_Churn[[#This Row],[Facture_Mensuelle]]</f>
        <v>0</v>
      </c>
      <c r="K86">
        <v>85</v>
      </c>
    </row>
    <row r="87" spans="1:11" x14ac:dyDescent="0.35">
      <c r="A87" t="s">
        <v>980</v>
      </c>
      <c r="B87" t="s">
        <v>707</v>
      </c>
      <c r="C87">
        <v>81</v>
      </c>
      <c r="D87" t="s">
        <v>892</v>
      </c>
      <c r="E87" t="str">
        <f>IF(CKadeaTelcoClients_Churn[[#This Row],[Type_Forfait]]="pro monde","B2B","B2C")</f>
        <v>B2C</v>
      </c>
      <c r="F87">
        <v>137</v>
      </c>
      <c r="G87">
        <v>89.05</v>
      </c>
      <c r="H87">
        <v>0</v>
      </c>
      <c r="I87" s="8">
        <f>IF(AND(F87&gt;720,C87&gt;60),70%,
IF(CKadeaTelcoClients_Churn[[#This Row],[Type_Client]]="B2B",10%,
IF(OR(AND(F87&gt;=240,F87&lt;=720),AND(C87&lt;60,D87="Premium 5G 150Go")),45%,0%)))</f>
        <v>0</v>
      </c>
      <c r="J87" s="9">
        <f>CKadeaTelcoClients_Churn[[#This Row],[Remise]]*CKadeaTelcoClients_Churn[[#This Row],[Facture_Mensuelle]]</f>
        <v>0</v>
      </c>
      <c r="K87">
        <v>86</v>
      </c>
    </row>
    <row r="88" spans="1:11" x14ac:dyDescent="0.35">
      <c r="A88" t="s">
        <v>981</v>
      </c>
      <c r="B88" t="s">
        <v>699</v>
      </c>
      <c r="C88">
        <v>102</v>
      </c>
      <c r="D88" t="s">
        <v>894</v>
      </c>
      <c r="E88" t="str">
        <f>IF(CKadeaTelcoClients_Churn[[#This Row],[Type_Forfait]]="pro monde","B2B","B2C")</f>
        <v>B2B</v>
      </c>
      <c r="F88">
        <v>283</v>
      </c>
      <c r="G88">
        <v>28.98</v>
      </c>
      <c r="H88">
        <v>3</v>
      </c>
      <c r="I88" s="8">
        <f>IF(AND(F88&gt;720,C88&gt;60),70%,
IF(CKadeaTelcoClients_Churn[[#This Row],[Type_Client]]="B2B",10%,
IF(OR(AND(F88&gt;=240,F88&lt;=720),AND(C88&lt;60,D88="Premium 5G 150Go")),45%,0%)))</f>
        <v>0.1</v>
      </c>
      <c r="J88" s="9">
        <f>CKadeaTelcoClients_Churn[[#This Row],[Remise]]*CKadeaTelcoClients_Churn[[#This Row],[Facture_Mensuelle]]</f>
        <v>2.8980000000000001</v>
      </c>
      <c r="K88">
        <v>87</v>
      </c>
    </row>
    <row r="89" spans="1:11" x14ac:dyDescent="0.35">
      <c r="A89" t="s">
        <v>982</v>
      </c>
      <c r="B89" t="s">
        <v>737</v>
      </c>
      <c r="C89">
        <v>99</v>
      </c>
      <c r="D89" t="s">
        <v>899</v>
      </c>
      <c r="E89" t="str">
        <f>IF(CKadeaTelcoClients_Churn[[#This Row],[Type_Forfait]]="pro monde","B2B","B2C")</f>
        <v>B2C</v>
      </c>
      <c r="F89">
        <v>493</v>
      </c>
      <c r="G89">
        <v>55.43</v>
      </c>
      <c r="H89">
        <v>2</v>
      </c>
      <c r="I89" s="8">
        <f>IF(AND(F89&gt;720,C89&gt;60),70%,
IF(CKadeaTelcoClients_Churn[[#This Row],[Type_Client]]="B2B",10%,
IF(OR(AND(F89&gt;=240,F89&lt;=720),AND(C89&lt;60,D89="Premium 5G 150Go")),45%,0%)))</f>
        <v>0.45</v>
      </c>
      <c r="J89" s="9">
        <f>CKadeaTelcoClients_Churn[[#This Row],[Remise]]*CKadeaTelcoClients_Churn[[#This Row],[Facture_Mensuelle]]</f>
        <v>24.9435</v>
      </c>
      <c r="K89">
        <v>88</v>
      </c>
    </row>
    <row r="90" spans="1:11" x14ac:dyDescent="0.35">
      <c r="A90" t="s">
        <v>983</v>
      </c>
      <c r="B90" t="s">
        <v>699</v>
      </c>
      <c r="C90">
        <v>91</v>
      </c>
      <c r="D90" t="s">
        <v>897</v>
      </c>
      <c r="E90" t="str">
        <f>IF(CKadeaTelcoClients_Churn[[#This Row],[Type_Forfait]]="pro monde","B2B","B2C")</f>
        <v>B2C</v>
      </c>
      <c r="F90">
        <v>300</v>
      </c>
      <c r="G90">
        <v>82.19</v>
      </c>
      <c r="H90">
        <v>1</v>
      </c>
      <c r="I90" s="8">
        <f>IF(AND(F90&gt;720,C90&gt;60),70%,
IF(CKadeaTelcoClients_Churn[[#This Row],[Type_Client]]="B2B",10%,
IF(OR(AND(F90&gt;=240,F90&lt;=720),AND(C90&lt;60,D90="Premium 5G 150Go")),45%,0%)))</f>
        <v>0.45</v>
      </c>
      <c r="J90" s="9">
        <f>CKadeaTelcoClients_Churn[[#This Row],[Remise]]*CKadeaTelcoClients_Churn[[#This Row],[Facture_Mensuelle]]</f>
        <v>36.985500000000002</v>
      </c>
      <c r="K90">
        <v>89</v>
      </c>
    </row>
    <row r="91" spans="1:11" x14ac:dyDescent="0.35">
      <c r="A91" t="s">
        <v>984</v>
      </c>
      <c r="B91" t="s">
        <v>675</v>
      </c>
      <c r="C91">
        <v>40</v>
      </c>
      <c r="D91" t="s">
        <v>892</v>
      </c>
      <c r="E91" t="str">
        <f>IF(CKadeaTelcoClients_Churn[[#This Row],[Type_Forfait]]="pro monde","B2B","B2C")</f>
        <v>B2C</v>
      </c>
      <c r="F91">
        <v>345</v>
      </c>
      <c r="G91">
        <v>89.55</v>
      </c>
      <c r="H91">
        <v>3</v>
      </c>
      <c r="I91" s="8">
        <f>IF(AND(F91&gt;720,C91&gt;60),70%,
IF(CKadeaTelcoClients_Churn[[#This Row],[Type_Client]]="B2B",10%,
IF(OR(AND(F91&gt;=240,F91&lt;=720),AND(C91&lt;60,D91="Premium 5G 150Go")),45%,0%)))</f>
        <v>0.45</v>
      </c>
      <c r="J91" s="9">
        <f>CKadeaTelcoClients_Churn[[#This Row],[Remise]]*CKadeaTelcoClients_Churn[[#This Row],[Facture_Mensuelle]]</f>
        <v>40.297499999999999</v>
      </c>
      <c r="K91">
        <v>90</v>
      </c>
    </row>
    <row r="92" spans="1:11" x14ac:dyDescent="0.35">
      <c r="A92" t="s">
        <v>985</v>
      </c>
      <c r="B92" t="s">
        <v>688</v>
      </c>
      <c r="C92">
        <v>72</v>
      </c>
      <c r="D92" t="s">
        <v>899</v>
      </c>
      <c r="E92" t="str">
        <f>IF(CKadeaTelcoClients_Churn[[#This Row],[Type_Forfait]]="pro monde","B2B","B2C")</f>
        <v>B2C</v>
      </c>
      <c r="F92">
        <v>51</v>
      </c>
      <c r="G92">
        <v>95.09</v>
      </c>
      <c r="H92">
        <v>0</v>
      </c>
      <c r="I92" s="8">
        <f>IF(AND(F92&gt;720,C92&gt;60),70%,
IF(CKadeaTelcoClients_Churn[[#This Row],[Type_Client]]="B2B",10%,
IF(OR(AND(F92&gt;=240,F92&lt;=720),AND(C92&lt;60,D92="Premium 5G 150Go")),45%,0%)))</f>
        <v>0</v>
      </c>
      <c r="J92" s="9">
        <f>CKadeaTelcoClients_Churn[[#This Row],[Remise]]*CKadeaTelcoClients_Churn[[#This Row],[Facture_Mensuelle]]</f>
        <v>0</v>
      </c>
      <c r="K92">
        <v>91</v>
      </c>
    </row>
    <row r="93" spans="1:11" x14ac:dyDescent="0.35">
      <c r="A93" t="s">
        <v>986</v>
      </c>
      <c r="B93" t="s">
        <v>722</v>
      </c>
      <c r="C93">
        <v>83</v>
      </c>
      <c r="D93" t="s">
        <v>897</v>
      </c>
      <c r="E93" t="str">
        <f>IF(CKadeaTelcoClients_Churn[[#This Row],[Type_Forfait]]="pro monde","B2B","B2C")</f>
        <v>B2C</v>
      </c>
      <c r="F93">
        <v>126</v>
      </c>
      <c r="G93">
        <v>67.17</v>
      </c>
      <c r="H93">
        <v>1</v>
      </c>
      <c r="I93" s="8">
        <f>IF(AND(F93&gt;720,C93&gt;60),70%,
IF(CKadeaTelcoClients_Churn[[#This Row],[Type_Client]]="B2B",10%,
IF(OR(AND(F93&gt;=240,F93&lt;=720),AND(C93&lt;60,D93="Premium 5G 150Go")),45%,0%)))</f>
        <v>0</v>
      </c>
      <c r="J93" s="9">
        <f>CKadeaTelcoClients_Churn[[#This Row],[Remise]]*CKadeaTelcoClients_Churn[[#This Row],[Facture_Mensuelle]]</f>
        <v>0</v>
      </c>
      <c r="K93">
        <v>92</v>
      </c>
    </row>
    <row r="94" spans="1:11" x14ac:dyDescent="0.35">
      <c r="A94" t="s">
        <v>987</v>
      </c>
      <c r="B94" t="s">
        <v>696</v>
      </c>
      <c r="C94">
        <v>16</v>
      </c>
      <c r="D94" t="s">
        <v>897</v>
      </c>
      <c r="E94" t="str">
        <f>IF(CKadeaTelcoClients_Churn[[#This Row],[Type_Forfait]]="pro monde","B2B","B2C")</f>
        <v>B2C</v>
      </c>
      <c r="F94">
        <v>390</v>
      </c>
      <c r="G94">
        <v>98.17</v>
      </c>
      <c r="H94">
        <v>5</v>
      </c>
      <c r="I94" s="8">
        <f>IF(AND(F94&gt;720,C94&gt;60),70%,
IF(CKadeaTelcoClients_Churn[[#This Row],[Type_Client]]="B2B",10%,
IF(OR(AND(F94&gt;=240,F94&lt;=720),AND(C94&lt;60,D94="Premium 5G 150Go")),45%,0%)))</f>
        <v>0.45</v>
      </c>
      <c r="J94" s="9">
        <f>CKadeaTelcoClients_Churn[[#This Row],[Remise]]*CKadeaTelcoClients_Churn[[#This Row],[Facture_Mensuelle]]</f>
        <v>44.176500000000004</v>
      </c>
      <c r="K94">
        <v>93</v>
      </c>
    </row>
    <row r="95" spans="1:11" x14ac:dyDescent="0.35">
      <c r="A95" t="s">
        <v>988</v>
      </c>
      <c r="B95" t="s">
        <v>707</v>
      </c>
      <c r="C95">
        <v>83</v>
      </c>
      <c r="D95" t="s">
        <v>892</v>
      </c>
      <c r="E95" t="str">
        <f>IF(CKadeaTelcoClients_Churn[[#This Row],[Type_Forfait]]="pro monde","B2B","B2C")</f>
        <v>B2C</v>
      </c>
      <c r="F95">
        <v>284</v>
      </c>
      <c r="G95">
        <v>73.7</v>
      </c>
      <c r="H95">
        <v>0</v>
      </c>
      <c r="I95" s="8">
        <f>IF(AND(F95&gt;720,C95&gt;60),70%,
IF(CKadeaTelcoClients_Churn[[#This Row],[Type_Client]]="B2B",10%,
IF(OR(AND(F95&gt;=240,F95&lt;=720),AND(C95&lt;60,D95="Premium 5G 150Go")),45%,0%)))</f>
        <v>0.45</v>
      </c>
      <c r="J95" s="9">
        <f>CKadeaTelcoClients_Churn[[#This Row],[Remise]]*CKadeaTelcoClients_Churn[[#This Row],[Facture_Mensuelle]]</f>
        <v>33.164999999999999</v>
      </c>
      <c r="K95">
        <v>94</v>
      </c>
    </row>
    <row r="96" spans="1:11" x14ac:dyDescent="0.35">
      <c r="A96" t="s">
        <v>989</v>
      </c>
      <c r="B96" t="s">
        <v>719</v>
      </c>
      <c r="C96">
        <v>72</v>
      </c>
      <c r="D96" t="s">
        <v>894</v>
      </c>
      <c r="E96" t="str">
        <f>IF(CKadeaTelcoClients_Churn[[#This Row],[Type_Forfait]]="pro monde","B2B","B2C")</f>
        <v>B2B</v>
      </c>
      <c r="F96">
        <v>333</v>
      </c>
      <c r="G96">
        <v>34.57</v>
      </c>
      <c r="H96">
        <v>2</v>
      </c>
      <c r="I96" s="8">
        <f>IF(AND(F96&gt;720,C96&gt;60),70%,
IF(CKadeaTelcoClients_Churn[[#This Row],[Type_Client]]="B2B",10%,
IF(OR(AND(F96&gt;=240,F96&lt;=720),AND(C96&lt;60,D96="Premium 5G 150Go")),45%,0%)))</f>
        <v>0.1</v>
      </c>
      <c r="J96" s="9">
        <f>CKadeaTelcoClients_Churn[[#This Row],[Remise]]*CKadeaTelcoClients_Churn[[#This Row],[Facture_Mensuelle]]</f>
        <v>3.4570000000000003</v>
      </c>
      <c r="K96">
        <v>95</v>
      </c>
    </row>
    <row r="97" spans="1:11" x14ac:dyDescent="0.35">
      <c r="A97" t="s">
        <v>990</v>
      </c>
      <c r="B97" t="s">
        <v>701</v>
      </c>
      <c r="C97">
        <v>11</v>
      </c>
      <c r="D97" t="s">
        <v>897</v>
      </c>
      <c r="E97" t="str">
        <f>IF(CKadeaTelcoClients_Churn[[#This Row],[Type_Forfait]]="pro monde","B2B","B2C")</f>
        <v>B2C</v>
      </c>
      <c r="F97">
        <v>402</v>
      </c>
      <c r="G97">
        <v>69.599999999999994</v>
      </c>
      <c r="H97">
        <v>5</v>
      </c>
      <c r="I97" s="8">
        <f>IF(AND(F97&gt;720,C97&gt;60),70%,
IF(CKadeaTelcoClients_Churn[[#This Row],[Type_Client]]="B2B",10%,
IF(OR(AND(F97&gt;=240,F97&lt;=720),AND(C97&lt;60,D97="Premium 5G 150Go")),45%,0%)))</f>
        <v>0.45</v>
      </c>
      <c r="J97" s="9">
        <f>CKadeaTelcoClients_Churn[[#This Row],[Remise]]*CKadeaTelcoClients_Churn[[#This Row],[Facture_Mensuelle]]</f>
        <v>31.319999999999997</v>
      </c>
      <c r="K97">
        <v>96</v>
      </c>
    </row>
    <row r="98" spans="1:11" x14ac:dyDescent="0.35">
      <c r="A98" t="s">
        <v>991</v>
      </c>
      <c r="B98" t="s">
        <v>716</v>
      </c>
      <c r="C98">
        <v>25</v>
      </c>
      <c r="D98" t="s">
        <v>892</v>
      </c>
      <c r="E98" t="str">
        <f>IF(CKadeaTelcoClients_Churn[[#This Row],[Type_Forfait]]="pro monde","B2B","B2C")</f>
        <v>B2C</v>
      </c>
      <c r="F98">
        <v>64</v>
      </c>
      <c r="G98">
        <v>38.950000000000003</v>
      </c>
      <c r="H98">
        <v>5</v>
      </c>
      <c r="I98" s="8">
        <f>IF(AND(F98&gt;720,C98&gt;60),70%,
IF(CKadeaTelcoClients_Churn[[#This Row],[Type_Client]]="B2B",10%,
IF(OR(AND(F98&gt;=240,F98&lt;=720),AND(C98&lt;60,D98="Premium 5G 150Go")),45%,0%)))</f>
        <v>0.45</v>
      </c>
      <c r="J98" s="9">
        <f>CKadeaTelcoClients_Churn[[#This Row],[Remise]]*CKadeaTelcoClients_Churn[[#This Row],[Facture_Mensuelle]]</f>
        <v>17.527500000000003</v>
      </c>
      <c r="K98">
        <v>97</v>
      </c>
    </row>
    <row r="99" spans="1:11" x14ac:dyDescent="0.35">
      <c r="A99" t="s">
        <v>992</v>
      </c>
      <c r="B99" t="s">
        <v>714</v>
      </c>
      <c r="C99">
        <v>80</v>
      </c>
      <c r="D99" t="s">
        <v>899</v>
      </c>
      <c r="E99" t="str">
        <f>IF(CKadeaTelcoClients_Churn[[#This Row],[Type_Forfait]]="pro monde","B2B","B2C")</f>
        <v>B2C</v>
      </c>
      <c r="F99">
        <v>155</v>
      </c>
      <c r="G99">
        <v>28.96</v>
      </c>
      <c r="H99">
        <v>2</v>
      </c>
      <c r="I99" s="8">
        <f>IF(AND(F99&gt;720,C99&gt;60),70%,
IF(CKadeaTelcoClients_Churn[[#This Row],[Type_Client]]="B2B",10%,
IF(OR(AND(F99&gt;=240,F99&lt;=720),AND(C99&lt;60,D99="Premium 5G 150Go")),45%,0%)))</f>
        <v>0</v>
      </c>
      <c r="J99" s="9">
        <f>CKadeaTelcoClients_Churn[[#This Row],[Remise]]*CKadeaTelcoClients_Churn[[#This Row],[Facture_Mensuelle]]</f>
        <v>0</v>
      </c>
      <c r="K99">
        <v>98</v>
      </c>
    </row>
    <row r="100" spans="1:11" x14ac:dyDescent="0.35">
      <c r="A100" t="s">
        <v>993</v>
      </c>
      <c r="B100" t="s">
        <v>716</v>
      </c>
      <c r="C100">
        <v>70</v>
      </c>
      <c r="D100" t="s">
        <v>894</v>
      </c>
      <c r="E100" t="str">
        <f>IF(CKadeaTelcoClients_Churn[[#This Row],[Type_Forfait]]="pro monde","B2B","B2C")</f>
        <v>B2B</v>
      </c>
      <c r="F100">
        <v>290</v>
      </c>
      <c r="G100">
        <v>96.31</v>
      </c>
      <c r="H100">
        <v>1</v>
      </c>
      <c r="I100" s="8">
        <f>IF(AND(F100&gt;720,C100&gt;60),70%,
IF(CKadeaTelcoClients_Churn[[#This Row],[Type_Client]]="B2B",10%,
IF(OR(AND(F100&gt;=240,F100&lt;=720),AND(C100&lt;60,D100="Premium 5G 150Go")),45%,0%)))</f>
        <v>0.1</v>
      </c>
      <c r="J100" s="9">
        <f>CKadeaTelcoClients_Churn[[#This Row],[Remise]]*CKadeaTelcoClients_Churn[[#This Row],[Facture_Mensuelle]]</f>
        <v>9.6310000000000002</v>
      </c>
      <c r="K100">
        <v>99</v>
      </c>
    </row>
    <row r="101" spans="1:11" x14ac:dyDescent="0.35">
      <c r="A101" t="s">
        <v>994</v>
      </c>
      <c r="B101" t="s">
        <v>685</v>
      </c>
      <c r="C101">
        <v>74</v>
      </c>
      <c r="D101" t="s">
        <v>892</v>
      </c>
      <c r="E101" t="str">
        <f>IF(CKadeaTelcoClients_Churn[[#This Row],[Type_Forfait]]="pro monde","B2B","B2C")</f>
        <v>B2C</v>
      </c>
      <c r="F101">
        <v>208</v>
      </c>
      <c r="G101">
        <v>39.56</v>
      </c>
      <c r="H101">
        <v>0</v>
      </c>
      <c r="I101" s="8">
        <f>IF(AND(F101&gt;720,C101&gt;60),70%,
IF(CKadeaTelcoClients_Churn[[#This Row],[Type_Client]]="B2B",10%,
IF(OR(AND(F101&gt;=240,F101&lt;=720),AND(C101&lt;60,D101="Premium 5G 150Go")),45%,0%)))</f>
        <v>0</v>
      </c>
      <c r="J101" s="9">
        <f>CKadeaTelcoClients_Churn[[#This Row],[Remise]]*CKadeaTelcoClients_Churn[[#This Row],[Facture_Mensuelle]]</f>
        <v>0</v>
      </c>
      <c r="K101">
        <v>100</v>
      </c>
    </row>
    <row r="102" spans="1:11" x14ac:dyDescent="0.35">
      <c r="A102" t="s">
        <v>995</v>
      </c>
      <c r="B102" t="s">
        <v>722</v>
      </c>
      <c r="C102">
        <v>87</v>
      </c>
      <c r="D102" t="s">
        <v>894</v>
      </c>
      <c r="E102" t="str">
        <f>IF(CKadeaTelcoClients_Churn[[#This Row],[Type_Forfait]]="pro monde","B2B","B2C")</f>
        <v>B2B</v>
      </c>
      <c r="F102">
        <v>442</v>
      </c>
      <c r="G102">
        <v>22.39</v>
      </c>
      <c r="H102">
        <v>3</v>
      </c>
      <c r="I102" s="8">
        <f>IF(AND(F102&gt;720,C102&gt;60),70%,
IF(CKadeaTelcoClients_Churn[[#This Row],[Type_Client]]="B2B",10%,
IF(OR(AND(F102&gt;=240,F102&lt;=720),AND(C102&lt;60,D102="Premium 5G 150Go")),45%,0%)))</f>
        <v>0.1</v>
      </c>
      <c r="J102" s="9">
        <f>CKadeaTelcoClients_Churn[[#This Row],[Remise]]*CKadeaTelcoClients_Churn[[#This Row],[Facture_Mensuelle]]</f>
        <v>2.2390000000000003</v>
      </c>
      <c r="K102">
        <v>101</v>
      </c>
    </row>
    <row r="103" spans="1:11" x14ac:dyDescent="0.35">
      <c r="A103" t="s">
        <v>996</v>
      </c>
      <c r="B103" t="s">
        <v>682</v>
      </c>
      <c r="C103">
        <v>69</v>
      </c>
      <c r="D103" t="s">
        <v>897</v>
      </c>
      <c r="E103" t="str">
        <f>IF(CKadeaTelcoClients_Churn[[#This Row],[Type_Forfait]]="pro monde","B2B","B2C")</f>
        <v>B2C</v>
      </c>
      <c r="F103">
        <v>306</v>
      </c>
      <c r="G103">
        <v>13.97</v>
      </c>
      <c r="H103">
        <v>1</v>
      </c>
      <c r="I103" s="8">
        <f>IF(AND(F103&gt;720,C103&gt;60),70%,
IF(CKadeaTelcoClients_Churn[[#This Row],[Type_Client]]="B2B",10%,
IF(OR(AND(F103&gt;=240,F103&lt;=720),AND(C103&lt;60,D103="Premium 5G 150Go")),45%,0%)))</f>
        <v>0.45</v>
      </c>
      <c r="J103" s="9">
        <f>CKadeaTelcoClients_Churn[[#This Row],[Remise]]*CKadeaTelcoClients_Churn[[#This Row],[Facture_Mensuelle]]</f>
        <v>6.2865000000000002</v>
      </c>
      <c r="K103">
        <v>102</v>
      </c>
    </row>
    <row r="104" spans="1:11" x14ac:dyDescent="0.35">
      <c r="A104" t="s">
        <v>997</v>
      </c>
      <c r="B104" t="s">
        <v>706</v>
      </c>
      <c r="C104">
        <v>79</v>
      </c>
      <c r="D104" t="s">
        <v>899</v>
      </c>
      <c r="E104" t="str">
        <f>IF(CKadeaTelcoClients_Churn[[#This Row],[Type_Forfait]]="pro monde","B2B","B2C")</f>
        <v>B2C</v>
      </c>
      <c r="F104">
        <v>403</v>
      </c>
      <c r="G104">
        <v>21.49</v>
      </c>
      <c r="H104">
        <v>0</v>
      </c>
      <c r="I104" s="8">
        <f>IF(AND(F104&gt;720,C104&gt;60),70%,
IF(CKadeaTelcoClients_Churn[[#This Row],[Type_Client]]="B2B",10%,
IF(OR(AND(F104&gt;=240,F104&lt;=720),AND(C104&lt;60,D104="Premium 5G 150Go")),45%,0%)))</f>
        <v>0.45</v>
      </c>
      <c r="J104" s="9">
        <f>CKadeaTelcoClients_Churn[[#This Row],[Remise]]*CKadeaTelcoClients_Churn[[#This Row],[Facture_Mensuelle]]</f>
        <v>9.6704999999999988</v>
      </c>
      <c r="K104">
        <v>103</v>
      </c>
    </row>
    <row r="105" spans="1:11" x14ac:dyDescent="0.35">
      <c r="A105" t="s">
        <v>998</v>
      </c>
      <c r="B105" t="s">
        <v>706</v>
      </c>
      <c r="C105">
        <v>33</v>
      </c>
      <c r="D105" t="s">
        <v>899</v>
      </c>
      <c r="E105" t="str">
        <f>IF(CKadeaTelcoClients_Churn[[#This Row],[Type_Forfait]]="pro monde","B2B","B2C")</f>
        <v>B2C</v>
      </c>
      <c r="F105">
        <v>337</v>
      </c>
      <c r="G105">
        <v>62.61</v>
      </c>
      <c r="H105">
        <v>2</v>
      </c>
      <c r="I105" s="8">
        <f>IF(AND(F105&gt;720,C105&gt;60),70%,
IF(CKadeaTelcoClients_Churn[[#This Row],[Type_Client]]="B2B",10%,
IF(OR(AND(F105&gt;=240,F105&lt;=720),AND(C105&lt;60,D105="Premium 5G 150Go")),45%,0%)))</f>
        <v>0.45</v>
      </c>
      <c r="J105" s="9">
        <f>CKadeaTelcoClients_Churn[[#This Row],[Remise]]*CKadeaTelcoClients_Churn[[#This Row],[Facture_Mensuelle]]</f>
        <v>28.174500000000002</v>
      </c>
      <c r="K105">
        <v>104</v>
      </c>
    </row>
    <row r="106" spans="1:11" x14ac:dyDescent="0.35">
      <c r="A106" t="s">
        <v>999</v>
      </c>
      <c r="B106" t="s">
        <v>707</v>
      </c>
      <c r="C106">
        <v>88</v>
      </c>
      <c r="D106" t="s">
        <v>899</v>
      </c>
      <c r="E106" t="str">
        <f>IF(CKadeaTelcoClients_Churn[[#This Row],[Type_Forfait]]="pro monde","B2B","B2C")</f>
        <v>B2C</v>
      </c>
      <c r="F106">
        <v>319</v>
      </c>
      <c r="G106">
        <v>56.18</v>
      </c>
      <c r="H106">
        <v>0</v>
      </c>
      <c r="I106" s="8">
        <f>IF(AND(F106&gt;720,C106&gt;60),70%,
IF(CKadeaTelcoClients_Churn[[#This Row],[Type_Client]]="B2B",10%,
IF(OR(AND(F106&gt;=240,F106&lt;=720),AND(C106&lt;60,D106="Premium 5G 150Go")),45%,0%)))</f>
        <v>0.45</v>
      </c>
      <c r="J106" s="9">
        <f>CKadeaTelcoClients_Churn[[#This Row],[Remise]]*CKadeaTelcoClients_Churn[[#This Row],[Facture_Mensuelle]]</f>
        <v>25.280999999999999</v>
      </c>
      <c r="K106">
        <v>105</v>
      </c>
    </row>
    <row r="107" spans="1:11" x14ac:dyDescent="0.35">
      <c r="A107" t="s">
        <v>1000</v>
      </c>
      <c r="B107" t="s">
        <v>700</v>
      </c>
      <c r="C107">
        <v>72</v>
      </c>
      <c r="D107" t="s">
        <v>892</v>
      </c>
      <c r="E107" t="str">
        <f>IF(CKadeaTelcoClients_Churn[[#This Row],[Type_Forfait]]="pro monde","B2B","B2C")</f>
        <v>B2C</v>
      </c>
      <c r="F107">
        <v>5</v>
      </c>
      <c r="G107">
        <v>68.650000000000006</v>
      </c>
      <c r="H107">
        <v>0</v>
      </c>
      <c r="I107" s="8">
        <f>IF(AND(F107&gt;720,C107&gt;60),70%,
IF(CKadeaTelcoClients_Churn[[#This Row],[Type_Client]]="B2B",10%,
IF(OR(AND(F107&gt;=240,F107&lt;=720),AND(C107&lt;60,D107="Premium 5G 150Go")),45%,0%)))</f>
        <v>0</v>
      </c>
      <c r="J107" s="9">
        <f>CKadeaTelcoClients_Churn[[#This Row],[Remise]]*CKadeaTelcoClients_Churn[[#This Row],[Facture_Mensuelle]]</f>
        <v>0</v>
      </c>
      <c r="K107">
        <v>106</v>
      </c>
    </row>
    <row r="108" spans="1:11" x14ac:dyDescent="0.35">
      <c r="A108" t="s">
        <v>1001</v>
      </c>
      <c r="B108" t="s">
        <v>725</v>
      </c>
      <c r="C108">
        <v>114</v>
      </c>
      <c r="D108" t="s">
        <v>892</v>
      </c>
      <c r="E108" t="str">
        <f>IF(CKadeaTelcoClients_Churn[[#This Row],[Type_Forfait]]="pro monde","B2B","B2C")</f>
        <v>B2C</v>
      </c>
      <c r="F108">
        <v>232</v>
      </c>
      <c r="G108">
        <v>42.2</v>
      </c>
      <c r="H108">
        <v>2</v>
      </c>
      <c r="I108" s="8">
        <f>IF(AND(F108&gt;720,C108&gt;60),70%,
IF(CKadeaTelcoClients_Churn[[#This Row],[Type_Client]]="B2B",10%,
IF(OR(AND(F108&gt;=240,F108&lt;=720),AND(C108&lt;60,D108="Premium 5G 150Go")),45%,0%)))</f>
        <v>0</v>
      </c>
      <c r="J108" s="9">
        <f>CKadeaTelcoClients_Churn[[#This Row],[Remise]]*CKadeaTelcoClients_Churn[[#This Row],[Facture_Mensuelle]]</f>
        <v>0</v>
      </c>
      <c r="K108">
        <v>107</v>
      </c>
    </row>
    <row r="109" spans="1:11" x14ac:dyDescent="0.35">
      <c r="A109" t="s">
        <v>1002</v>
      </c>
      <c r="B109" t="s">
        <v>702</v>
      </c>
      <c r="C109">
        <v>59</v>
      </c>
      <c r="D109" t="s">
        <v>897</v>
      </c>
      <c r="E109" t="str">
        <f>IF(CKadeaTelcoClients_Churn[[#This Row],[Type_Forfait]]="pro monde","B2B","B2C")</f>
        <v>B2C</v>
      </c>
      <c r="F109">
        <v>196</v>
      </c>
      <c r="G109">
        <v>62.53</v>
      </c>
      <c r="H109">
        <v>0</v>
      </c>
      <c r="I109" s="8">
        <f>IF(AND(F109&gt;720,C109&gt;60),70%,
IF(CKadeaTelcoClients_Churn[[#This Row],[Type_Client]]="B2B",10%,
IF(OR(AND(F109&gt;=240,F109&lt;=720),AND(C109&lt;60,D109="Premium 5G 150Go")),45%,0%)))</f>
        <v>0</v>
      </c>
      <c r="J109" s="9">
        <f>CKadeaTelcoClients_Churn[[#This Row],[Remise]]*CKadeaTelcoClients_Churn[[#This Row],[Facture_Mensuelle]]</f>
        <v>0</v>
      </c>
      <c r="K109">
        <v>108</v>
      </c>
    </row>
    <row r="110" spans="1:11" x14ac:dyDescent="0.35">
      <c r="A110" t="s">
        <v>1003</v>
      </c>
      <c r="B110" t="s">
        <v>707</v>
      </c>
      <c r="C110">
        <v>1</v>
      </c>
      <c r="D110" t="s">
        <v>897</v>
      </c>
      <c r="E110" t="str">
        <f>IF(CKadeaTelcoClients_Churn[[#This Row],[Type_Forfait]]="pro monde","B2B","B2C")</f>
        <v>B2C</v>
      </c>
      <c r="F110">
        <v>237</v>
      </c>
      <c r="G110">
        <v>58.7</v>
      </c>
      <c r="H110">
        <v>4</v>
      </c>
      <c r="I110" s="8">
        <f>IF(AND(F110&gt;720,C110&gt;60),70%,
IF(CKadeaTelcoClients_Churn[[#This Row],[Type_Client]]="B2B",10%,
IF(OR(AND(F110&gt;=240,F110&lt;=720),AND(C110&lt;60,D110="Premium 5G 150Go")),45%,0%)))</f>
        <v>0</v>
      </c>
      <c r="J110" s="9">
        <f>CKadeaTelcoClients_Churn[[#This Row],[Remise]]*CKadeaTelcoClients_Churn[[#This Row],[Facture_Mensuelle]]</f>
        <v>0</v>
      </c>
      <c r="K110">
        <v>109</v>
      </c>
    </row>
    <row r="111" spans="1:11" x14ac:dyDescent="0.35">
      <c r="A111" t="s">
        <v>1004</v>
      </c>
      <c r="B111" t="s">
        <v>682</v>
      </c>
      <c r="C111">
        <v>55</v>
      </c>
      <c r="D111" t="s">
        <v>897</v>
      </c>
      <c r="E111" t="str">
        <f>IF(CKadeaTelcoClients_Churn[[#This Row],[Type_Forfait]]="pro monde","B2B","B2C")</f>
        <v>B2C</v>
      </c>
      <c r="F111">
        <v>407</v>
      </c>
      <c r="G111">
        <v>23.11</v>
      </c>
      <c r="H111">
        <v>0</v>
      </c>
      <c r="I111" s="8">
        <f>IF(AND(F111&gt;720,C111&gt;60),70%,
IF(CKadeaTelcoClients_Churn[[#This Row],[Type_Client]]="B2B",10%,
IF(OR(AND(F111&gt;=240,F111&lt;=720),AND(C111&lt;60,D111="Premium 5G 150Go")),45%,0%)))</f>
        <v>0.45</v>
      </c>
      <c r="J111" s="9">
        <f>CKadeaTelcoClients_Churn[[#This Row],[Remise]]*CKadeaTelcoClients_Churn[[#This Row],[Facture_Mensuelle]]</f>
        <v>10.3995</v>
      </c>
      <c r="K111">
        <v>110</v>
      </c>
    </row>
    <row r="112" spans="1:11" x14ac:dyDescent="0.35">
      <c r="A112" t="s">
        <v>1005</v>
      </c>
      <c r="B112" t="s">
        <v>682</v>
      </c>
      <c r="C112">
        <v>83</v>
      </c>
      <c r="D112" t="s">
        <v>894</v>
      </c>
      <c r="E112" t="str">
        <f>IF(CKadeaTelcoClients_Churn[[#This Row],[Type_Forfait]]="pro monde","B2B","B2C")</f>
        <v>B2B</v>
      </c>
      <c r="F112">
        <v>219</v>
      </c>
      <c r="G112">
        <v>52.26</v>
      </c>
      <c r="H112">
        <v>1</v>
      </c>
      <c r="I112" s="8">
        <f>IF(AND(F112&gt;720,C112&gt;60),70%,
IF(CKadeaTelcoClients_Churn[[#This Row],[Type_Client]]="B2B",10%,
IF(OR(AND(F112&gt;=240,F112&lt;=720),AND(C112&lt;60,D112="Premium 5G 150Go")),45%,0%)))</f>
        <v>0.1</v>
      </c>
      <c r="J112" s="9">
        <f>CKadeaTelcoClients_Churn[[#This Row],[Remise]]*CKadeaTelcoClients_Churn[[#This Row],[Facture_Mensuelle]]</f>
        <v>5.226</v>
      </c>
      <c r="K112">
        <v>111</v>
      </c>
    </row>
    <row r="113" spans="1:11" x14ac:dyDescent="0.35">
      <c r="A113" t="s">
        <v>1006</v>
      </c>
      <c r="B113" t="s">
        <v>701</v>
      </c>
      <c r="C113">
        <v>87</v>
      </c>
      <c r="D113" t="s">
        <v>894</v>
      </c>
      <c r="E113" t="str">
        <f>IF(CKadeaTelcoClients_Churn[[#This Row],[Type_Forfait]]="pro monde","B2B","B2C")</f>
        <v>B2B</v>
      </c>
      <c r="F113">
        <v>450</v>
      </c>
      <c r="G113">
        <v>64.3</v>
      </c>
      <c r="H113">
        <v>2</v>
      </c>
      <c r="I113" s="8">
        <f>IF(AND(F113&gt;720,C113&gt;60),70%,
IF(CKadeaTelcoClients_Churn[[#This Row],[Type_Client]]="B2B",10%,
IF(OR(AND(F113&gt;=240,F113&lt;=720),AND(C113&lt;60,D113="Premium 5G 150Go")),45%,0%)))</f>
        <v>0.1</v>
      </c>
      <c r="J113" s="9">
        <f>CKadeaTelcoClients_Churn[[#This Row],[Remise]]*CKadeaTelcoClients_Churn[[#This Row],[Facture_Mensuelle]]</f>
        <v>6.43</v>
      </c>
      <c r="K113">
        <v>112</v>
      </c>
    </row>
    <row r="114" spans="1:11" x14ac:dyDescent="0.35">
      <c r="A114" t="s">
        <v>1007</v>
      </c>
      <c r="B114" t="s">
        <v>694</v>
      </c>
      <c r="C114">
        <v>84</v>
      </c>
      <c r="D114" t="s">
        <v>897</v>
      </c>
      <c r="E114" t="str">
        <f>IF(CKadeaTelcoClients_Churn[[#This Row],[Type_Forfait]]="pro monde","B2B","B2C")</f>
        <v>B2C</v>
      </c>
      <c r="F114">
        <v>317</v>
      </c>
      <c r="G114">
        <v>36.200000000000003</v>
      </c>
      <c r="H114">
        <v>3</v>
      </c>
      <c r="I114" s="8">
        <f>IF(AND(F114&gt;720,C114&gt;60),70%,
IF(CKadeaTelcoClients_Churn[[#This Row],[Type_Client]]="B2B",10%,
IF(OR(AND(F114&gt;=240,F114&lt;=720),AND(C114&lt;60,D114="Premium 5G 150Go")),45%,0%)))</f>
        <v>0.45</v>
      </c>
      <c r="J114" s="9">
        <f>CKadeaTelcoClients_Churn[[#This Row],[Remise]]*CKadeaTelcoClients_Churn[[#This Row],[Facture_Mensuelle]]</f>
        <v>16.290000000000003</v>
      </c>
      <c r="K114">
        <v>113</v>
      </c>
    </row>
    <row r="115" spans="1:11" x14ac:dyDescent="0.35">
      <c r="A115" t="s">
        <v>1008</v>
      </c>
      <c r="B115" t="s">
        <v>690</v>
      </c>
      <c r="C115">
        <v>7</v>
      </c>
      <c r="D115" t="s">
        <v>892</v>
      </c>
      <c r="E115" t="str">
        <f>IF(CKadeaTelcoClients_Churn[[#This Row],[Type_Forfait]]="pro monde","B2B","B2C")</f>
        <v>B2C</v>
      </c>
      <c r="F115">
        <v>317</v>
      </c>
      <c r="G115">
        <v>97.32</v>
      </c>
      <c r="H115">
        <v>1</v>
      </c>
      <c r="I115" s="8">
        <f>IF(AND(F115&gt;720,C115&gt;60),70%,
IF(CKadeaTelcoClients_Churn[[#This Row],[Type_Client]]="B2B",10%,
IF(OR(AND(F115&gt;=240,F115&lt;=720),AND(C115&lt;60,D115="Premium 5G 150Go")),45%,0%)))</f>
        <v>0.45</v>
      </c>
      <c r="J115" s="9">
        <f>CKadeaTelcoClients_Churn[[#This Row],[Remise]]*CKadeaTelcoClients_Churn[[#This Row],[Facture_Mensuelle]]</f>
        <v>43.793999999999997</v>
      </c>
      <c r="K115">
        <v>114</v>
      </c>
    </row>
    <row r="116" spans="1:11" x14ac:dyDescent="0.35">
      <c r="A116" t="s">
        <v>1009</v>
      </c>
      <c r="B116" t="s">
        <v>694</v>
      </c>
      <c r="C116">
        <v>110</v>
      </c>
      <c r="D116" t="s">
        <v>892</v>
      </c>
      <c r="E116" t="str">
        <f>IF(CKadeaTelcoClients_Churn[[#This Row],[Type_Forfait]]="pro monde","B2B","B2C")</f>
        <v>B2C</v>
      </c>
      <c r="F116">
        <v>51</v>
      </c>
      <c r="G116">
        <v>56.59</v>
      </c>
      <c r="H116">
        <v>5</v>
      </c>
      <c r="I116" s="8">
        <f>IF(AND(F116&gt;720,C116&gt;60),70%,
IF(CKadeaTelcoClients_Churn[[#This Row],[Type_Client]]="B2B",10%,
IF(OR(AND(F116&gt;=240,F116&lt;=720),AND(C116&lt;60,D116="Premium 5G 150Go")),45%,0%)))</f>
        <v>0</v>
      </c>
      <c r="J116" s="9">
        <f>CKadeaTelcoClients_Churn[[#This Row],[Remise]]*CKadeaTelcoClients_Churn[[#This Row],[Facture_Mensuelle]]</f>
        <v>0</v>
      </c>
      <c r="K116">
        <v>115</v>
      </c>
    </row>
    <row r="117" spans="1:11" x14ac:dyDescent="0.35">
      <c r="A117" t="s">
        <v>1010</v>
      </c>
      <c r="B117" t="s">
        <v>738</v>
      </c>
      <c r="C117">
        <v>42</v>
      </c>
      <c r="D117" t="s">
        <v>899</v>
      </c>
      <c r="E117" t="str">
        <f>IF(CKadeaTelcoClients_Churn[[#This Row],[Type_Forfait]]="pro monde","B2B","B2C")</f>
        <v>B2C</v>
      </c>
      <c r="F117">
        <v>173</v>
      </c>
      <c r="G117">
        <v>69.19</v>
      </c>
      <c r="H117">
        <v>4</v>
      </c>
      <c r="I117" s="8">
        <f>IF(AND(F117&gt;720,C117&gt;60),70%,
IF(CKadeaTelcoClients_Churn[[#This Row],[Type_Client]]="B2B",10%,
IF(OR(AND(F117&gt;=240,F117&lt;=720),AND(C117&lt;60,D117="Premium 5G 150Go")),45%,0%)))</f>
        <v>0</v>
      </c>
      <c r="J117" s="9">
        <f>CKadeaTelcoClients_Churn[[#This Row],[Remise]]*CKadeaTelcoClients_Churn[[#This Row],[Facture_Mensuelle]]</f>
        <v>0</v>
      </c>
      <c r="K117">
        <v>116</v>
      </c>
    </row>
    <row r="118" spans="1:11" x14ac:dyDescent="0.35">
      <c r="A118" t="s">
        <v>1011</v>
      </c>
      <c r="B118" t="s">
        <v>696</v>
      </c>
      <c r="C118">
        <v>56</v>
      </c>
      <c r="D118" t="s">
        <v>897</v>
      </c>
      <c r="E118" t="str">
        <f>IF(CKadeaTelcoClients_Churn[[#This Row],[Type_Forfait]]="pro monde","B2B","B2C")</f>
        <v>B2C</v>
      </c>
      <c r="F118">
        <v>333</v>
      </c>
      <c r="G118">
        <v>23.01</v>
      </c>
      <c r="H118">
        <v>2</v>
      </c>
      <c r="I118" s="8">
        <f>IF(AND(F118&gt;720,C118&gt;60),70%,
IF(CKadeaTelcoClients_Churn[[#This Row],[Type_Client]]="B2B",10%,
IF(OR(AND(F118&gt;=240,F118&lt;=720),AND(C118&lt;60,D118="Premium 5G 150Go")),45%,0%)))</f>
        <v>0.45</v>
      </c>
      <c r="J118" s="9">
        <f>CKadeaTelcoClients_Churn[[#This Row],[Remise]]*CKadeaTelcoClients_Churn[[#This Row],[Facture_Mensuelle]]</f>
        <v>10.354500000000002</v>
      </c>
      <c r="K118">
        <v>117</v>
      </c>
    </row>
    <row r="119" spans="1:11" x14ac:dyDescent="0.35">
      <c r="A119" t="s">
        <v>1012</v>
      </c>
      <c r="B119" t="s">
        <v>679</v>
      </c>
      <c r="C119">
        <v>109</v>
      </c>
      <c r="D119" t="s">
        <v>894</v>
      </c>
      <c r="E119" t="str">
        <f>IF(CKadeaTelcoClients_Churn[[#This Row],[Type_Forfait]]="pro monde","B2B","B2C")</f>
        <v>B2B</v>
      </c>
      <c r="F119">
        <v>480</v>
      </c>
      <c r="G119">
        <v>31.36</v>
      </c>
      <c r="H119">
        <v>0</v>
      </c>
      <c r="I119" s="8">
        <f>IF(AND(F119&gt;720,C119&gt;60),70%,
IF(CKadeaTelcoClients_Churn[[#This Row],[Type_Client]]="B2B",10%,
IF(OR(AND(F119&gt;=240,F119&lt;=720),AND(C119&lt;60,D119="Premium 5G 150Go")),45%,0%)))</f>
        <v>0.1</v>
      </c>
      <c r="J119" s="9">
        <f>CKadeaTelcoClients_Churn[[#This Row],[Remise]]*CKadeaTelcoClients_Churn[[#This Row],[Facture_Mensuelle]]</f>
        <v>3.1360000000000001</v>
      </c>
      <c r="K119">
        <v>118</v>
      </c>
    </row>
    <row r="120" spans="1:11" x14ac:dyDescent="0.35">
      <c r="A120" t="s">
        <v>1013</v>
      </c>
      <c r="B120" t="s">
        <v>702</v>
      </c>
      <c r="C120">
        <v>53</v>
      </c>
      <c r="D120" t="s">
        <v>899</v>
      </c>
      <c r="E120" t="str">
        <f>IF(CKadeaTelcoClients_Churn[[#This Row],[Type_Forfait]]="pro monde","B2B","B2C")</f>
        <v>B2C</v>
      </c>
      <c r="F120">
        <v>345</v>
      </c>
      <c r="G120">
        <v>83.73</v>
      </c>
      <c r="H120">
        <v>0</v>
      </c>
      <c r="I120" s="8">
        <f>IF(AND(F120&gt;720,C120&gt;60),70%,
IF(CKadeaTelcoClients_Churn[[#This Row],[Type_Client]]="B2B",10%,
IF(OR(AND(F120&gt;=240,F120&lt;=720),AND(C120&lt;60,D120="Premium 5G 150Go")),45%,0%)))</f>
        <v>0.45</v>
      </c>
      <c r="J120" s="9">
        <f>CKadeaTelcoClients_Churn[[#This Row],[Remise]]*CKadeaTelcoClients_Churn[[#This Row],[Facture_Mensuelle]]</f>
        <v>37.6785</v>
      </c>
      <c r="K120">
        <v>119</v>
      </c>
    </row>
    <row r="121" spans="1:11" x14ac:dyDescent="0.35">
      <c r="A121" t="s">
        <v>1014</v>
      </c>
      <c r="B121" t="s">
        <v>699</v>
      </c>
      <c r="C121">
        <v>36</v>
      </c>
      <c r="D121" t="s">
        <v>892</v>
      </c>
      <c r="E121" t="str">
        <f>IF(CKadeaTelcoClients_Churn[[#This Row],[Type_Forfait]]="pro monde","B2B","B2C")</f>
        <v>B2C</v>
      </c>
      <c r="F121">
        <v>400</v>
      </c>
      <c r="G121">
        <v>60.35</v>
      </c>
      <c r="H121">
        <v>1</v>
      </c>
      <c r="I121" s="8">
        <f>IF(AND(F121&gt;720,C121&gt;60),70%,
IF(CKadeaTelcoClients_Churn[[#This Row],[Type_Client]]="B2B",10%,
IF(OR(AND(F121&gt;=240,F121&lt;=720),AND(C121&lt;60,D121="Premium 5G 150Go")),45%,0%)))</f>
        <v>0.45</v>
      </c>
      <c r="J121" s="9">
        <f>CKadeaTelcoClients_Churn[[#This Row],[Remise]]*CKadeaTelcoClients_Churn[[#This Row],[Facture_Mensuelle]]</f>
        <v>27.157500000000002</v>
      </c>
      <c r="K121">
        <v>120</v>
      </c>
    </row>
    <row r="122" spans="1:11" x14ac:dyDescent="0.35">
      <c r="A122" t="s">
        <v>1015</v>
      </c>
      <c r="B122" t="s">
        <v>685</v>
      </c>
      <c r="C122">
        <v>16</v>
      </c>
      <c r="D122" t="s">
        <v>897</v>
      </c>
      <c r="E122" t="str">
        <f>IF(CKadeaTelcoClients_Churn[[#This Row],[Type_Forfait]]="pro monde","B2B","B2C")</f>
        <v>B2C</v>
      </c>
      <c r="F122">
        <v>13</v>
      </c>
      <c r="G122">
        <v>14.91</v>
      </c>
      <c r="H122">
        <v>1</v>
      </c>
      <c r="I122" s="8">
        <f>IF(AND(F122&gt;720,C122&gt;60),70%,
IF(CKadeaTelcoClients_Churn[[#This Row],[Type_Client]]="B2B",10%,
IF(OR(AND(F122&gt;=240,F122&lt;=720),AND(C122&lt;60,D122="Premium 5G 150Go")),45%,0%)))</f>
        <v>0</v>
      </c>
      <c r="J122" s="9">
        <f>CKadeaTelcoClients_Churn[[#This Row],[Remise]]*CKadeaTelcoClients_Churn[[#This Row],[Facture_Mensuelle]]</f>
        <v>0</v>
      </c>
      <c r="K122">
        <v>121</v>
      </c>
    </row>
    <row r="123" spans="1:11" x14ac:dyDescent="0.35">
      <c r="A123" t="s">
        <v>1016</v>
      </c>
      <c r="B123" t="s">
        <v>707</v>
      </c>
      <c r="C123">
        <v>88</v>
      </c>
      <c r="D123" t="s">
        <v>892</v>
      </c>
      <c r="E123" t="str">
        <f>IF(CKadeaTelcoClients_Churn[[#This Row],[Type_Forfait]]="pro monde","B2B","B2C")</f>
        <v>B2C</v>
      </c>
      <c r="F123">
        <v>232</v>
      </c>
      <c r="G123">
        <v>40.94</v>
      </c>
      <c r="H123">
        <v>2</v>
      </c>
      <c r="I123" s="8">
        <f>IF(AND(F123&gt;720,C123&gt;60),70%,
IF(CKadeaTelcoClients_Churn[[#This Row],[Type_Client]]="B2B",10%,
IF(OR(AND(F123&gt;=240,F123&lt;=720),AND(C123&lt;60,D123="Premium 5G 150Go")),45%,0%)))</f>
        <v>0</v>
      </c>
      <c r="J123" s="9">
        <f>CKadeaTelcoClients_Churn[[#This Row],[Remise]]*CKadeaTelcoClients_Churn[[#This Row],[Facture_Mensuelle]]</f>
        <v>0</v>
      </c>
      <c r="K123">
        <v>122</v>
      </c>
    </row>
    <row r="124" spans="1:11" x14ac:dyDescent="0.35">
      <c r="A124" t="s">
        <v>1017</v>
      </c>
      <c r="B124" t="s">
        <v>703</v>
      </c>
      <c r="C124">
        <v>67</v>
      </c>
      <c r="D124" t="s">
        <v>899</v>
      </c>
      <c r="E124" t="str">
        <f>IF(CKadeaTelcoClients_Churn[[#This Row],[Type_Forfait]]="pro monde","B2B","B2C")</f>
        <v>B2C</v>
      </c>
      <c r="F124">
        <v>264</v>
      </c>
      <c r="G124">
        <v>97.89</v>
      </c>
      <c r="H124">
        <v>1</v>
      </c>
      <c r="I124" s="8">
        <f>IF(AND(F124&gt;720,C124&gt;60),70%,
IF(CKadeaTelcoClients_Churn[[#This Row],[Type_Client]]="B2B",10%,
IF(OR(AND(F124&gt;=240,F124&lt;=720),AND(C124&lt;60,D124="Premium 5G 150Go")),45%,0%)))</f>
        <v>0.45</v>
      </c>
      <c r="J124" s="9">
        <f>CKadeaTelcoClients_Churn[[#This Row],[Remise]]*CKadeaTelcoClients_Churn[[#This Row],[Facture_Mensuelle]]</f>
        <v>44.0505</v>
      </c>
      <c r="K124">
        <v>123</v>
      </c>
    </row>
    <row r="125" spans="1:11" x14ac:dyDescent="0.35">
      <c r="A125" t="s">
        <v>1018</v>
      </c>
      <c r="B125" t="s">
        <v>704</v>
      </c>
      <c r="C125">
        <v>60</v>
      </c>
      <c r="D125" t="s">
        <v>897</v>
      </c>
      <c r="E125" t="str">
        <f>IF(CKadeaTelcoClients_Churn[[#This Row],[Type_Forfait]]="pro monde","B2B","B2C")</f>
        <v>B2C</v>
      </c>
      <c r="F125">
        <v>168</v>
      </c>
      <c r="G125">
        <v>67.650000000000006</v>
      </c>
      <c r="H125">
        <v>1</v>
      </c>
      <c r="I125" s="8">
        <f>IF(AND(F125&gt;720,C125&gt;60),70%,
IF(CKadeaTelcoClients_Churn[[#This Row],[Type_Client]]="B2B",10%,
IF(OR(AND(F125&gt;=240,F125&lt;=720),AND(C125&lt;60,D125="Premium 5G 150Go")),45%,0%)))</f>
        <v>0</v>
      </c>
      <c r="J125" s="9">
        <f>CKadeaTelcoClients_Churn[[#This Row],[Remise]]*CKadeaTelcoClients_Churn[[#This Row],[Facture_Mensuelle]]</f>
        <v>0</v>
      </c>
      <c r="K125">
        <v>124</v>
      </c>
    </row>
    <row r="126" spans="1:11" x14ac:dyDescent="0.35">
      <c r="A126" t="s">
        <v>1019</v>
      </c>
      <c r="B126" t="s">
        <v>694</v>
      </c>
      <c r="C126">
        <v>64</v>
      </c>
      <c r="D126" t="s">
        <v>894</v>
      </c>
      <c r="E126" t="str">
        <f>IF(CKadeaTelcoClients_Churn[[#This Row],[Type_Forfait]]="pro monde","B2B","B2C")</f>
        <v>B2B</v>
      </c>
      <c r="F126">
        <v>300</v>
      </c>
      <c r="G126">
        <v>28.11</v>
      </c>
      <c r="H126">
        <v>2</v>
      </c>
      <c r="I126" s="8">
        <f>IF(AND(F126&gt;720,C126&gt;60),70%,
IF(CKadeaTelcoClients_Churn[[#This Row],[Type_Client]]="B2B",10%,
IF(OR(AND(F126&gt;=240,F126&lt;=720),AND(C126&lt;60,D126="Premium 5G 150Go")),45%,0%)))</f>
        <v>0.1</v>
      </c>
      <c r="J126" s="9">
        <f>CKadeaTelcoClients_Churn[[#This Row],[Remise]]*CKadeaTelcoClients_Churn[[#This Row],[Facture_Mensuelle]]</f>
        <v>2.8109999999999999</v>
      </c>
      <c r="K126">
        <v>125</v>
      </c>
    </row>
    <row r="127" spans="1:11" x14ac:dyDescent="0.35">
      <c r="A127" t="s">
        <v>1020</v>
      </c>
      <c r="B127" t="s">
        <v>693</v>
      </c>
      <c r="C127">
        <v>47</v>
      </c>
      <c r="D127" t="s">
        <v>897</v>
      </c>
      <c r="E127" t="str">
        <f>IF(CKadeaTelcoClients_Churn[[#This Row],[Type_Forfait]]="pro monde","B2B","B2C")</f>
        <v>B2C</v>
      </c>
      <c r="F127">
        <v>98</v>
      </c>
      <c r="G127">
        <v>16.16</v>
      </c>
      <c r="H127">
        <v>5</v>
      </c>
      <c r="I127" s="8">
        <f>IF(AND(F127&gt;720,C127&gt;60),70%,
IF(CKadeaTelcoClients_Churn[[#This Row],[Type_Client]]="B2B",10%,
IF(OR(AND(F127&gt;=240,F127&lt;=720),AND(C127&lt;60,D127="Premium 5G 150Go")),45%,0%)))</f>
        <v>0</v>
      </c>
      <c r="J127" s="9">
        <f>CKadeaTelcoClients_Churn[[#This Row],[Remise]]*CKadeaTelcoClients_Churn[[#This Row],[Facture_Mensuelle]]</f>
        <v>0</v>
      </c>
      <c r="K127">
        <v>126</v>
      </c>
    </row>
    <row r="128" spans="1:11" x14ac:dyDescent="0.35">
      <c r="A128" t="s">
        <v>1021</v>
      </c>
      <c r="B128" t="s">
        <v>719</v>
      </c>
      <c r="C128">
        <v>67</v>
      </c>
      <c r="D128" t="s">
        <v>894</v>
      </c>
      <c r="E128" t="str">
        <f>IF(CKadeaTelcoClients_Churn[[#This Row],[Type_Forfait]]="pro monde","B2B","B2C")</f>
        <v>B2B</v>
      </c>
      <c r="F128">
        <v>55</v>
      </c>
      <c r="G128">
        <v>27.04</v>
      </c>
      <c r="H128">
        <v>1</v>
      </c>
      <c r="I128" s="8">
        <f>IF(AND(F128&gt;720,C128&gt;60),70%,
IF(CKadeaTelcoClients_Churn[[#This Row],[Type_Client]]="B2B",10%,
IF(OR(AND(F128&gt;=240,F128&lt;=720),AND(C128&lt;60,D128="Premium 5G 150Go")),45%,0%)))</f>
        <v>0.1</v>
      </c>
      <c r="J128" s="9">
        <f>CKadeaTelcoClients_Churn[[#This Row],[Remise]]*CKadeaTelcoClients_Churn[[#This Row],[Facture_Mensuelle]]</f>
        <v>2.7040000000000002</v>
      </c>
      <c r="K128">
        <v>127</v>
      </c>
    </row>
    <row r="129" spans="1:11" x14ac:dyDescent="0.35">
      <c r="A129" t="s">
        <v>1022</v>
      </c>
      <c r="B129" t="s">
        <v>699</v>
      </c>
      <c r="C129">
        <v>98</v>
      </c>
      <c r="D129" t="s">
        <v>897</v>
      </c>
      <c r="E129" t="str">
        <f>IF(CKadeaTelcoClients_Churn[[#This Row],[Type_Forfait]]="pro monde","B2B","B2C")</f>
        <v>B2C</v>
      </c>
      <c r="F129">
        <v>52</v>
      </c>
      <c r="G129">
        <v>52.82</v>
      </c>
      <c r="H129">
        <v>2</v>
      </c>
      <c r="I129" s="8">
        <f>IF(AND(F129&gt;720,C129&gt;60),70%,
IF(CKadeaTelcoClients_Churn[[#This Row],[Type_Client]]="B2B",10%,
IF(OR(AND(F129&gt;=240,F129&lt;=720),AND(C129&lt;60,D129="Premium 5G 150Go")),45%,0%)))</f>
        <v>0</v>
      </c>
      <c r="J129" s="9">
        <f>CKadeaTelcoClients_Churn[[#This Row],[Remise]]*CKadeaTelcoClients_Churn[[#This Row],[Facture_Mensuelle]]</f>
        <v>0</v>
      </c>
      <c r="K129">
        <v>128</v>
      </c>
    </row>
    <row r="130" spans="1:11" x14ac:dyDescent="0.35">
      <c r="A130" t="s">
        <v>1023</v>
      </c>
      <c r="B130" t="s">
        <v>693</v>
      </c>
      <c r="C130">
        <v>6</v>
      </c>
      <c r="D130" t="s">
        <v>897</v>
      </c>
      <c r="E130" t="str">
        <f>IF(CKadeaTelcoClients_Churn[[#This Row],[Type_Forfait]]="pro monde","B2B","B2C")</f>
        <v>B2C</v>
      </c>
      <c r="F130">
        <v>6</v>
      </c>
      <c r="G130">
        <v>72.27</v>
      </c>
      <c r="H130">
        <v>4</v>
      </c>
      <c r="I130" s="8">
        <f>IF(AND(F130&gt;720,C130&gt;60),70%,
IF(CKadeaTelcoClients_Churn[[#This Row],[Type_Client]]="B2B",10%,
IF(OR(AND(F130&gt;=240,F130&lt;=720),AND(C130&lt;60,D130="Premium 5G 150Go")),45%,0%)))</f>
        <v>0</v>
      </c>
      <c r="J130" s="9">
        <f>CKadeaTelcoClients_Churn[[#This Row],[Remise]]*CKadeaTelcoClients_Churn[[#This Row],[Facture_Mensuelle]]</f>
        <v>0</v>
      </c>
      <c r="K130">
        <v>129</v>
      </c>
    </row>
    <row r="131" spans="1:11" x14ac:dyDescent="0.35">
      <c r="A131" t="s">
        <v>1024</v>
      </c>
      <c r="B131" t="s">
        <v>693</v>
      </c>
      <c r="C131">
        <v>114</v>
      </c>
      <c r="D131" t="s">
        <v>897</v>
      </c>
      <c r="E131" t="str">
        <f>IF(CKadeaTelcoClients_Churn[[#This Row],[Type_Forfait]]="pro monde","B2B","B2C")</f>
        <v>B2C</v>
      </c>
      <c r="F131">
        <v>304</v>
      </c>
      <c r="G131">
        <v>52.07</v>
      </c>
      <c r="H131">
        <v>1</v>
      </c>
      <c r="I131" s="8">
        <f>IF(AND(F131&gt;720,C131&gt;60),70%,
IF(CKadeaTelcoClients_Churn[[#This Row],[Type_Client]]="B2B",10%,
IF(OR(AND(F131&gt;=240,F131&lt;=720),AND(C131&lt;60,D131="Premium 5G 150Go")),45%,0%)))</f>
        <v>0.45</v>
      </c>
      <c r="J131" s="9">
        <f>CKadeaTelcoClients_Churn[[#This Row],[Remise]]*CKadeaTelcoClients_Churn[[#This Row],[Facture_Mensuelle]]</f>
        <v>23.4315</v>
      </c>
      <c r="K131">
        <v>130</v>
      </c>
    </row>
    <row r="132" spans="1:11" x14ac:dyDescent="0.35">
      <c r="A132" t="s">
        <v>1025</v>
      </c>
      <c r="B132" t="s">
        <v>701</v>
      </c>
      <c r="C132">
        <v>93</v>
      </c>
      <c r="D132" t="s">
        <v>897</v>
      </c>
      <c r="E132" t="str">
        <f>IF(CKadeaTelcoClients_Churn[[#This Row],[Type_Forfait]]="pro monde","B2B","B2C")</f>
        <v>B2C</v>
      </c>
      <c r="F132">
        <v>365</v>
      </c>
      <c r="G132">
        <v>72.319999999999993</v>
      </c>
      <c r="H132">
        <v>1</v>
      </c>
      <c r="I132" s="8">
        <f>IF(AND(F132&gt;720,C132&gt;60),70%,
IF(CKadeaTelcoClients_Churn[[#This Row],[Type_Client]]="B2B",10%,
IF(OR(AND(F132&gt;=240,F132&lt;=720),AND(C132&lt;60,D132="Premium 5G 150Go")),45%,0%)))</f>
        <v>0.45</v>
      </c>
      <c r="J132" s="9">
        <f>CKadeaTelcoClients_Churn[[#This Row],[Remise]]*CKadeaTelcoClients_Churn[[#This Row],[Facture_Mensuelle]]</f>
        <v>32.543999999999997</v>
      </c>
      <c r="K132">
        <v>131</v>
      </c>
    </row>
    <row r="133" spans="1:11" x14ac:dyDescent="0.35">
      <c r="A133" t="s">
        <v>1026</v>
      </c>
      <c r="B133" t="s">
        <v>699</v>
      </c>
      <c r="C133">
        <v>29</v>
      </c>
      <c r="D133" t="s">
        <v>894</v>
      </c>
      <c r="E133" t="str">
        <f>IF(CKadeaTelcoClients_Churn[[#This Row],[Type_Forfait]]="pro monde","B2B","B2C")</f>
        <v>B2B</v>
      </c>
      <c r="F133">
        <v>34</v>
      </c>
      <c r="G133">
        <v>86.68</v>
      </c>
      <c r="H133">
        <v>1</v>
      </c>
      <c r="I133" s="8">
        <f>IF(AND(F133&gt;720,C133&gt;60),70%,
IF(CKadeaTelcoClients_Churn[[#This Row],[Type_Client]]="B2B",10%,
IF(OR(AND(F133&gt;=240,F133&lt;=720),AND(C133&lt;60,D133="Premium 5G 150Go")),45%,0%)))</f>
        <v>0.1</v>
      </c>
      <c r="J133" s="9">
        <f>CKadeaTelcoClients_Churn[[#This Row],[Remise]]*CKadeaTelcoClients_Churn[[#This Row],[Facture_Mensuelle]]</f>
        <v>8.668000000000001</v>
      </c>
      <c r="K133">
        <v>132</v>
      </c>
    </row>
    <row r="134" spans="1:11" x14ac:dyDescent="0.35">
      <c r="A134" t="s">
        <v>1027</v>
      </c>
      <c r="B134" t="s">
        <v>703</v>
      </c>
      <c r="C134">
        <v>7</v>
      </c>
      <c r="D134" t="s">
        <v>892</v>
      </c>
      <c r="E134" t="str">
        <f>IF(CKadeaTelcoClients_Churn[[#This Row],[Type_Forfait]]="pro monde","B2B","B2C")</f>
        <v>B2C</v>
      </c>
      <c r="F134">
        <v>303</v>
      </c>
      <c r="G134">
        <v>60.95</v>
      </c>
      <c r="H134">
        <v>0</v>
      </c>
      <c r="I134" s="8">
        <f>IF(AND(F134&gt;720,C134&gt;60),70%,
IF(CKadeaTelcoClients_Churn[[#This Row],[Type_Client]]="B2B",10%,
IF(OR(AND(F134&gt;=240,F134&lt;=720),AND(C134&lt;60,D134="Premium 5G 150Go")),45%,0%)))</f>
        <v>0.45</v>
      </c>
      <c r="J134" s="9">
        <f>CKadeaTelcoClients_Churn[[#This Row],[Remise]]*CKadeaTelcoClients_Churn[[#This Row],[Facture_Mensuelle]]</f>
        <v>27.427500000000002</v>
      </c>
      <c r="K134">
        <v>133</v>
      </c>
    </row>
    <row r="135" spans="1:11" x14ac:dyDescent="0.35">
      <c r="A135" t="s">
        <v>1028</v>
      </c>
      <c r="B135" t="s">
        <v>726</v>
      </c>
      <c r="C135">
        <v>-36</v>
      </c>
      <c r="D135" t="s">
        <v>897</v>
      </c>
      <c r="E135" t="str">
        <f>IF(CKadeaTelcoClients_Churn[[#This Row],[Type_Forfait]]="pro monde","B2B","B2C")</f>
        <v>B2C</v>
      </c>
      <c r="F135">
        <v>404</v>
      </c>
      <c r="G135">
        <v>40.21</v>
      </c>
      <c r="H135">
        <v>1</v>
      </c>
      <c r="I135" s="8">
        <f>IF(AND(F135&gt;720,C135&gt;60),70%,
IF(CKadeaTelcoClients_Churn[[#This Row],[Type_Client]]="B2B",10%,
IF(OR(AND(F135&gt;=240,F135&lt;=720),AND(C135&lt;60,D135="Premium 5G 150Go")),45%,0%)))</f>
        <v>0.45</v>
      </c>
      <c r="J135" s="9">
        <f>CKadeaTelcoClients_Churn[[#This Row],[Remise]]*CKadeaTelcoClients_Churn[[#This Row],[Facture_Mensuelle]]</f>
        <v>18.0945</v>
      </c>
      <c r="K135">
        <v>134</v>
      </c>
    </row>
    <row r="136" spans="1:11" x14ac:dyDescent="0.35">
      <c r="A136" t="s">
        <v>1029</v>
      </c>
      <c r="B136" t="s">
        <v>699</v>
      </c>
      <c r="C136">
        <v>118</v>
      </c>
      <c r="D136" t="s">
        <v>899</v>
      </c>
      <c r="E136" t="str">
        <f>IF(CKadeaTelcoClients_Churn[[#This Row],[Type_Forfait]]="pro monde","B2B","B2C")</f>
        <v>B2C</v>
      </c>
      <c r="F136">
        <v>430</v>
      </c>
      <c r="G136">
        <v>36.97</v>
      </c>
      <c r="H136">
        <v>2</v>
      </c>
      <c r="I136" s="8">
        <f>IF(AND(F136&gt;720,C136&gt;60),70%,
IF(CKadeaTelcoClients_Churn[[#This Row],[Type_Client]]="B2B",10%,
IF(OR(AND(F136&gt;=240,F136&lt;=720),AND(C136&lt;60,D136="Premium 5G 150Go")),45%,0%)))</f>
        <v>0.45</v>
      </c>
      <c r="J136" s="9">
        <f>CKadeaTelcoClients_Churn[[#This Row],[Remise]]*CKadeaTelcoClients_Churn[[#This Row],[Facture_Mensuelle]]</f>
        <v>16.636500000000002</v>
      </c>
      <c r="K136">
        <v>135</v>
      </c>
    </row>
    <row r="137" spans="1:11" x14ac:dyDescent="0.35">
      <c r="A137" t="s">
        <v>1030</v>
      </c>
      <c r="B137" t="s">
        <v>716</v>
      </c>
      <c r="C137">
        <v>54</v>
      </c>
      <c r="D137" t="s">
        <v>897</v>
      </c>
      <c r="E137" t="str">
        <f>IF(CKadeaTelcoClients_Churn[[#This Row],[Type_Forfait]]="pro monde","B2B","B2C")</f>
        <v>B2C</v>
      </c>
      <c r="F137">
        <v>99</v>
      </c>
      <c r="G137">
        <v>39.58</v>
      </c>
      <c r="H137">
        <v>0</v>
      </c>
      <c r="I137" s="8">
        <f>IF(AND(F137&gt;720,C137&gt;60),70%,
IF(CKadeaTelcoClients_Churn[[#This Row],[Type_Client]]="B2B",10%,
IF(OR(AND(F137&gt;=240,F137&lt;=720),AND(C137&lt;60,D137="Premium 5G 150Go")),45%,0%)))</f>
        <v>0</v>
      </c>
      <c r="J137" s="9">
        <f>CKadeaTelcoClients_Churn[[#This Row],[Remise]]*CKadeaTelcoClients_Churn[[#This Row],[Facture_Mensuelle]]</f>
        <v>0</v>
      </c>
      <c r="K137">
        <v>136</v>
      </c>
    </row>
    <row r="138" spans="1:11" x14ac:dyDescent="0.35">
      <c r="A138" t="s">
        <v>1031</v>
      </c>
      <c r="B138" t="s">
        <v>719</v>
      </c>
      <c r="C138">
        <v>69</v>
      </c>
      <c r="D138" t="s">
        <v>894</v>
      </c>
      <c r="E138" t="str">
        <f>IF(CKadeaTelcoClients_Churn[[#This Row],[Type_Forfait]]="pro monde","B2B","B2C")</f>
        <v>B2B</v>
      </c>
      <c r="F138">
        <v>463</v>
      </c>
      <c r="G138">
        <v>19.440000000000001</v>
      </c>
      <c r="H138">
        <v>0</v>
      </c>
      <c r="I138" s="8">
        <f>IF(AND(F138&gt;720,C138&gt;60),70%,
IF(CKadeaTelcoClients_Churn[[#This Row],[Type_Client]]="B2B",10%,
IF(OR(AND(F138&gt;=240,F138&lt;=720),AND(C138&lt;60,D138="Premium 5G 150Go")),45%,0%)))</f>
        <v>0.1</v>
      </c>
      <c r="J138" s="9">
        <f>CKadeaTelcoClients_Churn[[#This Row],[Remise]]*CKadeaTelcoClients_Churn[[#This Row],[Facture_Mensuelle]]</f>
        <v>1.9440000000000002</v>
      </c>
      <c r="K138">
        <v>137</v>
      </c>
    </row>
    <row r="139" spans="1:11" x14ac:dyDescent="0.35">
      <c r="A139" t="s">
        <v>1032</v>
      </c>
      <c r="B139" t="s">
        <v>726</v>
      </c>
      <c r="C139">
        <v>58</v>
      </c>
      <c r="D139" t="s">
        <v>897</v>
      </c>
      <c r="E139" t="str">
        <f>IF(CKadeaTelcoClients_Churn[[#This Row],[Type_Forfait]]="pro monde","B2B","B2C")</f>
        <v>B2C</v>
      </c>
      <c r="F139">
        <v>293</v>
      </c>
      <c r="G139">
        <v>88.85</v>
      </c>
      <c r="H139">
        <v>5</v>
      </c>
      <c r="I139" s="8">
        <f>IF(AND(F139&gt;720,C139&gt;60),70%,
IF(CKadeaTelcoClients_Churn[[#This Row],[Type_Client]]="B2B",10%,
IF(OR(AND(F139&gt;=240,F139&lt;=720),AND(C139&lt;60,D139="Premium 5G 150Go")),45%,0%)))</f>
        <v>0.45</v>
      </c>
      <c r="J139" s="9">
        <f>CKadeaTelcoClients_Churn[[#This Row],[Remise]]*CKadeaTelcoClients_Churn[[#This Row],[Facture_Mensuelle]]</f>
        <v>39.982500000000002</v>
      </c>
      <c r="K139">
        <v>138</v>
      </c>
    </row>
    <row r="140" spans="1:11" x14ac:dyDescent="0.35">
      <c r="A140" t="s">
        <v>1033</v>
      </c>
      <c r="B140" t="s">
        <v>716</v>
      </c>
      <c r="C140">
        <v>41</v>
      </c>
      <c r="D140" t="s">
        <v>892</v>
      </c>
      <c r="E140" t="str">
        <f>IF(CKadeaTelcoClients_Churn[[#This Row],[Type_Forfait]]="pro monde","B2B","B2C")</f>
        <v>B2C</v>
      </c>
      <c r="F140">
        <v>64</v>
      </c>
      <c r="G140">
        <v>91.95</v>
      </c>
      <c r="H140">
        <v>1</v>
      </c>
      <c r="I140" s="8">
        <f>IF(AND(F140&gt;720,C140&gt;60),70%,
IF(CKadeaTelcoClients_Churn[[#This Row],[Type_Client]]="B2B",10%,
IF(OR(AND(F140&gt;=240,F140&lt;=720),AND(C140&lt;60,D140="Premium 5G 150Go")),45%,0%)))</f>
        <v>0.45</v>
      </c>
      <c r="J140" s="9">
        <f>CKadeaTelcoClients_Churn[[#This Row],[Remise]]*CKadeaTelcoClients_Churn[[#This Row],[Facture_Mensuelle]]</f>
        <v>41.377500000000005</v>
      </c>
      <c r="K140">
        <v>139</v>
      </c>
    </row>
    <row r="141" spans="1:11" x14ac:dyDescent="0.35">
      <c r="A141" t="s">
        <v>1034</v>
      </c>
      <c r="B141" t="s">
        <v>702</v>
      </c>
      <c r="C141">
        <v>1</v>
      </c>
      <c r="D141" t="s">
        <v>894</v>
      </c>
      <c r="E141" t="str">
        <f>IF(CKadeaTelcoClients_Churn[[#This Row],[Type_Forfait]]="pro monde","B2B","B2C")</f>
        <v>B2B</v>
      </c>
      <c r="F141">
        <v>326</v>
      </c>
      <c r="G141">
        <v>54.63</v>
      </c>
      <c r="H141">
        <v>3</v>
      </c>
      <c r="I141" s="8">
        <f>IF(AND(F141&gt;720,C141&gt;60),70%,
IF(CKadeaTelcoClients_Churn[[#This Row],[Type_Client]]="B2B",10%,
IF(OR(AND(F141&gt;=240,F141&lt;=720),AND(C141&lt;60,D141="Premium 5G 150Go")),45%,0%)))</f>
        <v>0.1</v>
      </c>
      <c r="J141" s="9">
        <f>CKadeaTelcoClients_Churn[[#This Row],[Remise]]*CKadeaTelcoClients_Churn[[#This Row],[Facture_Mensuelle]]</f>
        <v>5.463000000000001</v>
      </c>
      <c r="K141">
        <v>140</v>
      </c>
    </row>
    <row r="142" spans="1:11" x14ac:dyDescent="0.35">
      <c r="A142" t="s">
        <v>1035</v>
      </c>
      <c r="B142" t="s">
        <v>699</v>
      </c>
      <c r="C142">
        <v>51</v>
      </c>
      <c r="D142" t="s">
        <v>897</v>
      </c>
      <c r="E142" t="str">
        <f>IF(CKadeaTelcoClients_Churn[[#This Row],[Type_Forfait]]="pro monde","B2B","B2C")</f>
        <v>B2C</v>
      </c>
      <c r="F142">
        <v>260</v>
      </c>
      <c r="G142">
        <v>92.8</v>
      </c>
      <c r="H142">
        <v>5</v>
      </c>
      <c r="I142" s="8">
        <f>IF(AND(F142&gt;720,C142&gt;60),70%,
IF(CKadeaTelcoClients_Churn[[#This Row],[Type_Client]]="B2B",10%,
IF(OR(AND(F142&gt;=240,F142&lt;=720),AND(C142&lt;60,D142="Premium 5G 150Go")),45%,0%)))</f>
        <v>0.45</v>
      </c>
      <c r="J142" s="9">
        <f>CKadeaTelcoClients_Churn[[#This Row],[Remise]]*CKadeaTelcoClients_Churn[[#This Row],[Facture_Mensuelle]]</f>
        <v>41.76</v>
      </c>
      <c r="K142">
        <v>141</v>
      </c>
    </row>
    <row r="143" spans="1:11" x14ac:dyDescent="0.35">
      <c r="A143" t="s">
        <v>1036</v>
      </c>
      <c r="B143" t="s">
        <v>706</v>
      </c>
      <c r="C143">
        <v>25</v>
      </c>
      <c r="D143" t="s">
        <v>897</v>
      </c>
      <c r="E143" t="str">
        <f>IF(CKadeaTelcoClients_Churn[[#This Row],[Type_Forfait]]="pro monde","B2B","B2C")</f>
        <v>B2C</v>
      </c>
      <c r="F143">
        <v>131</v>
      </c>
      <c r="G143">
        <v>67.489999999999995</v>
      </c>
      <c r="H143">
        <v>0</v>
      </c>
      <c r="I143" s="8">
        <f>IF(AND(F143&gt;720,C143&gt;60),70%,
IF(CKadeaTelcoClients_Churn[[#This Row],[Type_Client]]="B2B",10%,
IF(OR(AND(F143&gt;=240,F143&lt;=720),AND(C143&lt;60,D143="Premium 5G 150Go")),45%,0%)))</f>
        <v>0</v>
      </c>
      <c r="J143" s="9">
        <f>CKadeaTelcoClients_Churn[[#This Row],[Remise]]*CKadeaTelcoClients_Churn[[#This Row],[Facture_Mensuelle]]</f>
        <v>0</v>
      </c>
      <c r="K143">
        <v>142</v>
      </c>
    </row>
    <row r="144" spans="1:11" x14ac:dyDescent="0.35">
      <c r="A144" t="s">
        <v>1037</v>
      </c>
      <c r="B144" t="s">
        <v>685</v>
      </c>
      <c r="C144">
        <v>43</v>
      </c>
      <c r="D144" t="s">
        <v>897</v>
      </c>
      <c r="E144" t="str">
        <f>IF(CKadeaTelcoClients_Churn[[#This Row],[Type_Forfait]]="pro monde","B2B","B2C")</f>
        <v>B2C</v>
      </c>
      <c r="F144">
        <v>181</v>
      </c>
      <c r="G144">
        <v>72.39</v>
      </c>
      <c r="H144">
        <v>2</v>
      </c>
      <c r="I144" s="8">
        <f>IF(AND(F144&gt;720,C144&gt;60),70%,
IF(CKadeaTelcoClients_Churn[[#This Row],[Type_Client]]="B2B",10%,
IF(OR(AND(F144&gt;=240,F144&lt;=720),AND(C144&lt;60,D144="Premium 5G 150Go")),45%,0%)))</f>
        <v>0</v>
      </c>
      <c r="J144" s="9">
        <f>CKadeaTelcoClients_Churn[[#This Row],[Remise]]*CKadeaTelcoClients_Churn[[#This Row],[Facture_Mensuelle]]</f>
        <v>0</v>
      </c>
      <c r="K144">
        <v>143</v>
      </c>
    </row>
    <row r="145" spans="1:11" x14ac:dyDescent="0.35">
      <c r="A145" t="s">
        <v>1038</v>
      </c>
      <c r="B145" t="s">
        <v>719</v>
      </c>
      <c r="C145">
        <v>11</v>
      </c>
      <c r="D145" t="s">
        <v>897</v>
      </c>
      <c r="E145" t="str">
        <f>IF(CKadeaTelcoClients_Churn[[#This Row],[Type_Forfait]]="pro monde","B2B","B2C")</f>
        <v>B2C</v>
      </c>
      <c r="F145">
        <v>215</v>
      </c>
      <c r="G145">
        <v>51.99</v>
      </c>
      <c r="H145">
        <v>1</v>
      </c>
      <c r="I145" s="8">
        <f>IF(AND(F145&gt;720,C145&gt;60),70%,
IF(CKadeaTelcoClients_Churn[[#This Row],[Type_Client]]="B2B",10%,
IF(OR(AND(F145&gt;=240,F145&lt;=720),AND(C145&lt;60,D145="Premium 5G 150Go")),45%,0%)))</f>
        <v>0</v>
      </c>
      <c r="J145" s="9">
        <f>CKadeaTelcoClients_Churn[[#This Row],[Remise]]*CKadeaTelcoClients_Churn[[#This Row],[Facture_Mensuelle]]</f>
        <v>0</v>
      </c>
      <c r="K145">
        <v>144</v>
      </c>
    </row>
    <row r="146" spans="1:11" x14ac:dyDescent="0.35">
      <c r="A146" t="s">
        <v>1039</v>
      </c>
      <c r="B146" t="s">
        <v>722</v>
      </c>
      <c r="C146">
        <v>113</v>
      </c>
      <c r="D146" t="s">
        <v>892</v>
      </c>
      <c r="E146" t="str">
        <f>IF(CKadeaTelcoClients_Churn[[#This Row],[Type_Forfait]]="pro monde","B2B","B2C")</f>
        <v>B2C</v>
      </c>
      <c r="F146">
        <v>246</v>
      </c>
      <c r="G146">
        <v>29.18</v>
      </c>
      <c r="H146">
        <v>2</v>
      </c>
      <c r="I146" s="8">
        <f>IF(AND(F146&gt;720,C146&gt;60),70%,
IF(CKadeaTelcoClients_Churn[[#This Row],[Type_Client]]="B2B",10%,
IF(OR(AND(F146&gt;=240,F146&lt;=720),AND(C146&lt;60,D146="Premium 5G 150Go")),45%,0%)))</f>
        <v>0.45</v>
      </c>
      <c r="J146" s="9">
        <f>CKadeaTelcoClients_Churn[[#This Row],[Remise]]*CKadeaTelcoClients_Churn[[#This Row],[Facture_Mensuelle]]</f>
        <v>13.131</v>
      </c>
      <c r="K146">
        <v>145</v>
      </c>
    </row>
    <row r="147" spans="1:11" x14ac:dyDescent="0.35">
      <c r="A147" t="s">
        <v>1040</v>
      </c>
      <c r="B147" t="s">
        <v>702</v>
      </c>
      <c r="C147">
        <v>74</v>
      </c>
      <c r="D147" t="s">
        <v>894</v>
      </c>
      <c r="E147" t="str">
        <f>IF(CKadeaTelcoClients_Churn[[#This Row],[Type_Forfait]]="pro monde","B2B","B2C")</f>
        <v>B2B</v>
      </c>
      <c r="F147">
        <v>371</v>
      </c>
      <c r="G147">
        <v>53.27</v>
      </c>
      <c r="H147">
        <v>3</v>
      </c>
      <c r="I147" s="8">
        <f>IF(AND(F147&gt;720,C147&gt;60),70%,
IF(CKadeaTelcoClients_Churn[[#This Row],[Type_Client]]="B2B",10%,
IF(OR(AND(F147&gt;=240,F147&lt;=720),AND(C147&lt;60,D147="Premium 5G 150Go")),45%,0%)))</f>
        <v>0.1</v>
      </c>
      <c r="J147" s="9">
        <f>CKadeaTelcoClients_Churn[[#This Row],[Remise]]*CKadeaTelcoClients_Churn[[#This Row],[Facture_Mensuelle]]</f>
        <v>5.3270000000000008</v>
      </c>
      <c r="K147">
        <v>146</v>
      </c>
    </row>
    <row r="148" spans="1:11" x14ac:dyDescent="0.35">
      <c r="A148" t="s">
        <v>1041</v>
      </c>
      <c r="B148" t="s">
        <v>694</v>
      </c>
      <c r="C148">
        <v>104</v>
      </c>
      <c r="D148" t="s">
        <v>894</v>
      </c>
      <c r="E148" t="str">
        <f>IF(CKadeaTelcoClients_Churn[[#This Row],[Type_Forfait]]="pro monde","B2B","B2C")</f>
        <v>B2B</v>
      </c>
      <c r="F148">
        <v>317</v>
      </c>
      <c r="G148">
        <v>79.150000000000006</v>
      </c>
      <c r="H148">
        <v>1</v>
      </c>
      <c r="I148" s="8">
        <f>IF(AND(F148&gt;720,C148&gt;60),70%,
IF(CKadeaTelcoClients_Churn[[#This Row],[Type_Client]]="B2B",10%,
IF(OR(AND(F148&gt;=240,F148&lt;=720),AND(C148&lt;60,D148="Premium 5G 150Go")),45%,0%)))</f>
        <v>0.1</v>
      </c>
      <c r="J148" s="9">
        <f>CKadeaTelcoClients_Churn[[#This Row],[Remise]]*CKadeaTelcoClients_Churn[[#This Row],[Facture_Mensuelle]]</f>
        <v>7.9150000000000009</v>
      </c>
      <c r="K148">
        <v>147</v>
      </c>
    </row>
    <row r="149" spans="1:11" x14ac:dyDescent="0.35">
      <c r="A149" t="s">
        <v>1042</v>
      </c>
      <c r="B149" t="s">
        <v>693</v>
      </c>
      <c r="C149">
        <v>4</v>
      </c>
      <c r="D149" t="s">
        <v>897</v>
      </c>
      <c r="E149" t="str">
        <f>IF(CKadeaTelcoClients_Churn[[#This Row],[Type_Forfait]]="pro monde","B2B","B2C")</f>
        <v>B2C</v>
      </c>
      <c r="F149">
        <v>227</v>
      </c>
      <c r="G149">
        <v>83.32</v>
      </c>
      <c r="H149">
        <v>2</v>
      </c>
      <c r="I149" s="8">
        <f>IF(AND(F149&gt;720,C149&gt;60),70%,
IF(CKadeaTelcoClients_Churn[[#This Row],[Type_Client]]="B2B",10%,
IF(OR(AND(F149&gt;=240,F149&lt;=720),AND(C149&lt;60,D149="Premium 5G 150Go")),45%,0%)))</f>
        <v>0</v>
      </c>
      <c r="J149" s="9">
        <f>CKadeaTelcoClients_Churn[[#This Row],[Remise]]*CKadeaTelcoClients_Churn[[#This Row],[Facture_Mensuelle]]</f>
        <v>0</v>
      </c>
      <c r="K149">
        <v>148</v>
      </c>
    </row>
    <row r="150" spans="1:11" x14ac:dyDescent="0.35">
      <c r="A150" t="s">
        <v>1043</v>
      </c>
      <c r="B150" t="s">
        <v>690</v>
      </c>
      <c r="C150">
        <v>95</v>
      </c>
      <c r="D150" t="s">
        <v>894</v>
      </c>
      <c r="E150" t="str">
        <f>IF(CKadeaTelcoClients_Churn[[#This Row],[Type_Forfait]]="pro monde","B2B","B2C")</f>
        <v>B2B</v>
      </c>
      <c r="F150">
        <v>95</v>
      </c>
      <c r="G150">
        <v>82.65</v>
      </c>
      <c r="H150">
        <v>2</v>
      </c>
      <c r="I150" s="8">
        <f>IF(AND(F150&gt;720,C150&gt;60),70%,
IF(CKadeaTelcoClients_Churn[[#This Row],[Type_Client]]="B2B",10%,
IF(OR(AND(F150&gt;=240,F150&lt;=720),AND(C150&lt;60,D150="Premium 5G 150Go")),45%,0%)))</f>
        <v>0.1</v>
      </c>
      <c r="J150" s="9">
        <f>CKadeaTelcoClients_Churn[[#This Row],[Remise]]*CKadeaTelcoClients_Churn[[#This Row],[Facture_Mensuelle]]</f>
        <v>8.2650000000000006</v>
      </c>
      <c r="K150">
        <v>149</v>
      </c>
    </row>
    <row r="151" spans="1:11" x14ac:dyDescent="0.35">
      <c r="A151" t="s">
        <v>1044</v>
      </c>
      <c r="B151" t="s">
        <v>682</v>
      </c>
      <c r="C151">
        <v>29</v>
      </c>
      <c r="D151" t="s">
        <v>899</v>
      </c>
      <c r="E151" t="str">
        <f>IF(CKadeaTelcoClients_Churn[[#This Row],[Type_Forfait]]="pro monde","B2B","B2C")</f>
        <v>B2C</v>
      </c>
      <c r="F151">
        <v>124</v>
      </c>
      <c r="G151">
        <v>43.83</v>
      </c>
      <c r="H151">
        <v>5</v>
      </c>
      <c r="I151" s="8">
        <f>IF(AND(F151&gt;720,C151&gt;60),70%,
IF(CKadeaTelcoClients_Churn[[#This Row],[Type_Client]]="B2B",10%,
IF(OR(AND(F151&gt;=240,F151&lt;=720),AND(C151&lt;60,D151="Premium 5G 150Go")),45%,0%)))</f>
        <v>0</v>
      </c>
      <c r="J151" s="9">
        <f>CKadeaTelcoClients_Churn[[#This Row],[Remise]]*CKadeaTelcoClients_Churn[[#This Row],[Facture_Mensuelle]]</f>
        <v>0</v>
      </c>
      <c r="K151">
        <v>150</v>
      </c>
    </row>
    <row r="152" spans="1:11" x14ac:dyDescent="0.35">
      <c r="A152" t="s">
        <v>1045</v>
      </c>
      <c r="B152" t="s">
        <v>701</v>
      </c>
      <c r="C152">
        <v>97</v>
      </c>
      <c r="D152" t="s">
        <v>897</v>
      </c>
      <c r="E152" t="str">
        <f>IF(CKadeaTelcoClients_Churn[[#This Row],[Type_Forfait]]="pro monde","B2B","B2C")</f>
        <v>B2C</v>
      </c>
      <c r="F152">
        <v>484</v>
      </c>
      <c r="G152">
        <v>61.98</v>
      </c>
      <c r="H152">
        <v>1</v>
      </c>
      <c r="I152" s="8">
        <f>IF(AND(F152&gt;720,C152&gt;60),70%,
IF(CKadeaTelcoClients_Churn[[#This Row],[Type_Client]]="B2B",10%,
IF(OR(AND(F152&gt;=240,F152&lt;=720),AND(C152&lt;60,D152="Premium 5G 150Go")),45%,0%)))</f>
        <v>0.45</v>
      </c>
      <c r="J152" s="9">
        <f>CKadeaTelcoClients_Churn[[#This Row],[Remise]]*CKadeaTelcoClients_Churn[[#This Row],[Facture_Mensuelle]]</f>
        <v>27.890999999999998</v>
      </c>
      <c r="K152">
        <v>151</v>
      </c>
    </row>
    <row r="153" spans="1:11" x14ac:dyDescent="0.35">
      <c r="A153" t="s">
        <v>1046</v>
      </c>
      <c r="B153" t="s">
        <v>711</v>
      </c>
      <c r="C153">
        <v>113</v>
      </c>
      <c r="D153" t="s">
        <v>892</v>
      </c>
      <c r="E153" t="str">
        <f>IF(CKadeaTelcoClients_Churn[[#This Row],[Type_Forfait]]="pro monde","B2B","B2C")</f>
        <v>B2C</v>
      </c>
      <c r="F153">
        <v>207</v>
      </c>
      <c r="G153">
        <v>21.55</v>
      </c>
      <c r="H153">
        <v>0</v>
      </c>
      <c r="I153" s="8">
        <f>IF(AND(F153&gt;720,C153&gt;60),70%,
IF(CKadeaTelcoClients_Churn[[#This Row],[Type_Client]]="B2B",10%,
IF(OR(AND(F153&gt;=240,F153&lt;=720),AND(C153&lt;60,D153="Premium 5G 150Go")),45%,0%)))</f>
        <v>0</v>
      </c>
      <c r="J153" s="9">
        <f>CKadeaTelcoClients_Churn[[#This Row],[Remise]]*CKadeaTelcoClients_Churn[[#This Row],[Facture_Mensuelle]]</f>
        <v>0</v>
      </c>
      <c r="K153">
        <v>152</v>
      </c>
    </row>
    <row r="154" spans="1:11" x14ac:dyDescent="0.35">
      <c r="A154" t="s">
        <v>1047</v>
      </c>
      <c r="B154" t="s">
        <v>682</v>
      </c>
      <c r="C154">
        <v>83</v>
      </c>
      <c r="D154" t="s">
        <v>894</v>
      </c>
      <c r="E154" t="str">
        <f>IF(CKadeaTelcoClients_Churn[[#This Row],[Type_Forfait]]="pro monde","B2B","B2C")</f>
        <v>B2B</v>
      </c>
      <c r="F154">
        <v>420</v>
      </c>
      <c r="G154">
        <v>94.9</v>
      </c>
      <c r="H154">
        <v>1</v>
      </c>
      <c r="I154" s="8">
        <f>IF(AND(F154&gt;720,C154&gt;60),70%,
IF(CKadeaTelcoClients_Churn[[#This Row],[Type_Client]]="B2B",10%,
IF(OR(AND(F154&gt;=240,F154&lt;=720),AND(C154&lt;60,D154="Premium 5G 150Go")),45%,0%)))</f>
        <v>0.1</v>
      </c>
      <c r="J154" s="9">
        <f>CKadeaTelcoClients_Churn[[#This Row],[Remise]]*CKadeaTelcoClients_Churn[[#This Row],[Facture_Mensuelle]]</f>
        <v>9.49</v>
      </c>
      <c r="K154">
        <v>153</v>
      </c>
    </row>
    <row r="155" spans="1:11" x14ac:dyDescent="0.35">
      <c r="A155" t="s">
        <v>1048</v>
      </c>
      <c r="B155" t="s">
        <v>726</v>
      </c>
      <c r="C155">
        <v>97</v>
      </c>
      <c r="D155" t="s">
        <v>892</v>
      </c>
      <c r="E155" t="str">
        <f>IF(CKadeaTelcoClients_Churn[[#This Row],[Type_Forfait]]="pro monde","B2B","B2C")</f>
        <v>B2C</v>
      </c>
      <c r="F155">
        <v>296</v>
      </c>
      <c r="G155">
        <v>10.87</v>
      </c>
      <c r="H155">
        <v>4</v>
      </c>
      <c r="I155" s="8">
        <f>IF(AND(F155&gt;720,C155&gt;60),70%,
IF(CKadeaTelcoClients_Churn[[#This Row],[Type_Client]]="B2B",10%,
IF(OR(AND(F155&gt;=240,F155&lt;=720),AND(C155&lt;60,D155="Premium 5G 150Go")),45%,0%)))</f>
        <v>0.45</v>
      </c>
      <c r="J155" s="9">
        <f>CKadeaTelcoClients_Churn[[#This Row],[Remise]]*CKadeaTelcoClients_Churn[[#This Row],[Facture_Mensuelle]]</f>
        <v>4.8914999999999997</v>
      </c>
      <c r="K155">
        <v>154</v>
      </c>
    </row>
    <row r="156" spans="1:11" x14ac:dyDescent="0.35">
      <c r="A156" t="s">
        <v>1049</v>
      </c>
      <c r="B156" t="s">
        <v>679</v>
      </c>
      <c r="C156">
        <v>66</v>
      </c>
      <c r="D156" t="s">
        <v>899</v>
      </c>
      <c r="E156" t="str">
        <f>IF(CKadeaTelcoClients_Churn[[#This Row],[Type_Forfait]]="pro monde","B2B","B2C")</f>
        <v>B2C</v>
      </c>
      <c r="F156">
        <v>387</v>
      </c>
      <c r="G156">
        <v>82.94</v>
      </c>
      <c r="H156">
        <v>3</v>
      </c>
      <c r="I156" s="8">
        <f>IF(AND(F156&gt;720,C156&gt;60),70%,
IF(CKadeaTelcoClients_Churn[[#This Row],[Type_Client]]="B2B",10%,
IF(OR(AND(F156&gt;=240,F156&lt;=720),AND(C156&lt;60,D156="Premium 5G 150Go")),45%,0%)))</f>
        <v>0.45</v>
      </c>
      <c r="J156" s="9">
        <f>CKadeaTelcoClients_Churn[[#This Row],[Remise]]*CKadeaTelcoClients_Churn[[#This Row],[Facture_Mensuelle]]</f>
        <v>37.323</v>
      </c>
      <c r="K156">
        <v>155</v>
      </c>
    </row>
    <row r="157" spans="1:11" x14ac:dyDescent="0.35">
      <c r="A157" t="s">
        <v>1050</v>
      </c>
      <c r="B157" t="s">
        <v>716</v>
      </c>
      <c r="C157">
        <v>48</v>
      </c>
      <c r="D157" t="s">
        <v>897</v>
      </c>
      <c r="E157" t="str">
        <f>IF(CKadeaTelcoClients_Churn[[#This Row],[Type_Forfait]]="pro monde","B2B","B2C")</f>
        <v>B2C</v>
      </c>
      <c r="F157">
        <v>335</v>
      </c>
      <c r="G157">
        <v>85.09</v>
      </c>
      <c r="H157">
        <v>3</v>
      </c>
      <c r="I157" s="8">
        <f>IF(AND(F157&gt;720,C157&gt;60),70%,
IF(CKadeaTelcoClients_Churn[[#This Row],[Type_Client]]="B2B",10%,
IF(OR(AND(F157&gt;=240,F157&lt;=720),AND(C157&lt;60,D157="Premium 5G 150Go")),45%,0%)))</f>
        <v>0.45</v>
      </c>
      <c r="J157" s="9">
        <f>CKadeaTelcoClients_Churn[[#This Row],[Remise]]*CKadeaTelcoClients_Churn[[#This Row],[Facture_Mensuelle]]</f>
        <v>38.290500000000002</v>
      </c>
      <c r="K157">
        <v>156</v>
      </c>
    </row>
    <row r="158" spans="1:11" x14ac:dyDescent="0.35">
      <c r="A158" t="s">
        <v>1051</v>
      </c>
      <c r="B158" t="s">
        <v>716</v>
      </c>
      <c r="C158">
        <v>64</v>
      </c>
      <c r="D158" t="s">
        <v>894</v>
      </c>
      <c r="E158" t="str">
        <f>IF(CKadeaTelcoClients_Churn[[#This Row],[Type_Forfait]]="pro monde","B2B","B2C")</f>
        <v>B2B</v>
      </c>
      <c r="F158">
        <v>6</v>
      </c>
      <c r="G158">
        <v>40.58</v>
      </c>
      <c r="H158">
        <v>5</v>
      </c>
      <c r="I158" s="8">
        <f>IF(AND(F158&gt;720,C158&gt;60),70%,
IF(CKadeaTelcoClients_Churn[[#This Row],[Type_Client]]="B2B",10%,
IF(OR(AND(F158&gt;=240,F158&lt;=720),AND(C158&lt;60,D158="Premium 5G 150Go")),45%,0%)))</f>
        <v>0.1</v>
      </c>
      <c r="J158" s="9">
        <f>CKadeaTelcoClients_Churn[[#This Row],[Remise]]*CKadeaTelcoClients_Churn[[#This Row],[Facture_Mensuelle]]</f>
        <v>4.0579999999999998</v>
      </c>
      <c r="K158">
        <v>157</v>
      </c>
    </row>
    <row r="159" spans="1:11" x14ac:dyDescent="0.35">
      <c r="A159" t="s">
        <v>1052</v>
      </c>
      <c r="B159" t="s">
        <v>722</v>
      </c>
      <c r="C159">
        <v>67</v>
      </c>
      <c r="D159" t="s">
        <v>892</v>
      </c>
      <c r="E159" t="str">
        <f>IF(CKadeaTelcoClients_Churn[[#This Row],[Type_Forfait]]="pro monde","B2B","B2C")</f>
        <v>B2C</v>
      </c>
      <c r="F159">
        <v>241</v>
      </c>
      <c r="G159">
        <v>47.72</v>
      </c>
      <c r="H159">
        <v>0</v>
      </c>
      <c r="I159" s="8">
        <f>IF(AND(F159&gt;720,C159&gt;60),70%,
IF(CKadeaTelcoClients_Churn[[#This Row],[Type_Client]]="B2B",10%,
IF(OR(AND(F159&gt;=240,F159&lt;=720),AND(C159&lt;60,D159="Premium 5G 150Go")),45%,0%)))</f>
        <v>0.45</v>
      </c>
      <c r="J159" s="9">
        <f>CKadeaTelcoClients_Churn[[#This Row],[Remise]]*CKadeaTelcoClients_Churn[[#This Row],[Facture_Mensuelle]]</f>
        <v>21.474</v>
      </c>
      <c r="K159">
        <v>158</v>
      </c>
    </row>
    <row r="160" spans="1:11" x14ac:dyDescent="0.35">
      <c r="A160" t="s">
        <v>1053</v>
      </c>
      <c r="B160" t="s">
        <v>694</v>
      </c>
      <c r="C160">
        <v>60</v>
      </c>
      <c r="D160" t="s">
        <v>894</v>
      </c>
      <c r="E160" t="str">
        <f>IF(CKadeaTelcoClients_Churn[[#This Row],[Type_Forfait]]="pro monde","B2B","B2C")</f>
        <v>B2B</v>
      </c>
      <c r="F160">
        <v>334</v>
      </c>
      <c r="G160">
        <v>71.72</v>
      </c>
      <c r="H160">
        <v>3</v>
      </c>
      <c r="I160" s="8">
        <f>IF(AND(F160&gt;720,C160&gt;60),70%,
IF(CKadeaTelcoClients_Churn[[#This Row],[Type_Client]]="B2B",10%,
IF(OR(AND(F160&gt;=240,F160&lt;=720),AND(C160&lt;60,D160="Premium 5G 150Go")),45%,0%)))</f>
        <v>0.1</v>
      </c>
      <c r="J160" s="9">
        <f>CKadeaTelcoClients_Churn[[#This Row],[Remise]]*CKadeaTelcoClients_Churn[[#This Row],[Facture_Mensuelle]]</f>
        <v>7.1720000000000006</v>
      </c>
      <c r="K160">
        <v>159</v>
      </c>
    </row>
    <row r="161" spans="1:11" x14ac:dyDescent="0.35">
      <c r="A161" t="s">
        <v>1054</v>
      </c>
      <c r="B161" t="s">
        <v>694</v>
      </c>
      <c r="C161">
        <v>23</v>
      </c>
      <c r="D161" t="s">
        <v>894</v>
      </c>
      <c r="E161" t="str">
        <f>IF(CKadeaTelcoClients_Churn[[#This Row],[Type_Forfait]]="pro monde","B2B","B2C")</f>
        <v>B2B</v>
      </c>
      <c r="F161">
        <v>262</v>
      </c>
      <c r="G161">
        <v>46.3</v>
      </c>
      <c r="H161">
        <v>1</v>
      </c>
      <c r="I161" s="8">
        <f>IF(AND(F161&gt;720,C161&gt;60),70%,
IF(CKadeaTelcoClients_Churn[[#This Row],[Type_Client]]="B2B",10%,
IF(OR(AND(F161&gt;=240,F161&lt;=720),AND(C161&lt;60,D161="Premium 5G 150Go")),45%,0%)))</f>
        <v>0.1</v>
      </c>
      <c r="J161" s="9">
        <f>CKadeaTelcoClients_Churn[[#This Row],[Remise]]*CKadeaTelcoClients_Churn[[#This Row],[Facture_Mensuelle]]</f>
        <v>4.63</v>
      </c>
      <c r="K161">
        <v>160</v>
      </c>
    </row>
    <row r="162" spans="1:11" x14ac:dyDescent="0.35">
      <c r="A162" t="s">
        <v>1055</v>
      </c>
      <c r="B162" t="s">
        <v>704</v>
      </c>
      <c r="C162">
        <v>42</v>
      </c>
      <c r="D162" t="s">
        <v>894</v>
      </c>
      <c r="E162" t="str">
        <f>IF(CKadeaTelcoClients_Churn[[#This Row],[Type_Forfait]]="pro monde","B2B","B2C")</f>
        <v>B2B</v>
      </c>
      <c r="F162">
        <v>389</v>
      </c>
      <c r="G162">
        <v>80.08</v>
      </c>
      <c r="H162">
        <v>1</v>
      </c>
      <c r="I162" s="8">
        <f>IF(AND(F162&gt;720,C162&gt;60),70%,
IF(CKadeaTelcoClients_Churn[[#This Row],[Type_Client]]="B2B",10%,
IF(OR(AND(F162&gt;=240,F162&lt;=720),AND(C162&lt;60,D162="Premium 5G 150Go")),45%,0%)))</f>
        <v>0.1</v>
      </c>
      <c r="J162" s="9">
        <f>CKadeaTelcoClients_Churn[[#This Row],[Remise]]*CKadeaTelcoClients_Churn[[#This Row],[Facture_Mensuelle]]</f>
        <v>8.0080000000000009</v>
      </c>
      <c r="K162">
        <v>161</v>
      </c>
    </row>
    <row r="163" spans="1:11" x14ac:dyDescent="0.35">
      <c r="A163" t="s">
        <v>1056</v>
      </c>
      <c r="B163" t="s">
        <v>696</v>
      </c>
      <c r="C163">
        <v>92</v>
      </c>
      <c r="D163" t="s">
        <v>894</v>
      </c>
      <c r="E163" t="str">
        <f>IF(CKadeaTelcoClients_Churn[[#This Row],[Type_Forfait]]="pro monde","B2B","B2C")</f>
        <v>B2B</v>
      </c>
      <c r="F163">
        <v>487</v>
      </c>
      <c r="G163">
        <v>58.38</v>
      </c>
      <c r="H163">
        <v>1</v>
      </c>
      <c r="I163" s="8">
        <f>IF(AND(F163&gt;720,C163&gt;60),70%,
IF(CKadeaTelcoClients_Churn[[#This Row],[Type_Client]]="B2B",10%,
IF(OR(AND(F163&gt;=240,F163&lt;=720),AND(C163&lt;60,D163="Premium 5G 150Go")),45%,0%)))</f>
        <v>0.1</v>
      </c>
      <c r="J163" s="9">
        <f>CKadeaTelcoClients_Churn[[#This Row],[Remise]]*CKadeaTelcoClients_Churn[[#This Row],[Facture_Mensuelle]]</f>
        <v>5.838000000000001</v>
      </c>
      <c r="K163">
        <v>162</v>
      </c>
    </row>
    <row r="164" spans="1:11" x14ac:dyDescent="0.35">
      <c r="A164" t="s">
        <v>1057</v>
      </c>
      <c r="B164" t="s">
        <v>682</v>
      </c>
      <c r="C164">
        <v>48</v>
      </c>
      <c r="D164" t="s">
        <v>894</v>
      </c>
      <c r="E164" t="str">
        <f>IF(CKadeaTelcoClients_Churn[[#This Row],[Type_Forfait]]="pro monde","B2B","B2C")</f>
        <v>B2B</v>
      </c>
      <c r="F164">
        <v>76</v>
      </c>
      <c r="G164">
        <v>39.35</v>
      </c>
      <c r="H164">
        <v>2</v>
      </c>
      <c r="I164" s="8">
        <f>IF(AND(F164&gt;720,C164&gt;60),70%,
IF(CKadeaTelcoClients_Churn[[#This Row],[Type_Client]]="B2B",10%,
IF(OR(AND(F164&gt;=240,F164&lt;=720),AND(C164&lt;60,D164="Premium 5G 150Go")),45%,0%)))</f>
        <v>0.1</v>
      </c>
      <c r="J164" s="9">
        <f>CKadeaTelcoClients_Churn[[#This Row],[Remise]]*CKadeaTelcoClients_Churn[[#This Row],[Facture_Mensuelle]]</f>
        <v>3.9350000000000005</v>
      </c>
      <c r="K164">
        <v>163</v>
      </c>
    </row>
    <row r="165" spans="1:11" x14ac:dyDescent="0.35">
      <c r="A165" t="s">
        <v>1058</v>
      </c>
      <c r="B165" t="s">
        <v>700</v>
      </c>
      <c r="C165">
        <v>68</v>
      </c>
      <c r="D165" t="s">
        <v>892</v>
      </c>
      <c r="E165" t="str">
        <f>IF(CKadeaTelcoClients_Churn[[#This Row],[Type_Forfait]]="pro monde","B2B","B2C")</f>
        <v>B2C</v>
      </c>
      <c r="F165">
        <v>443</v>
      </c>
      <c r="G165">
        <v>12.09</v>
      </c>
      <c r="H165">
        <v>3</v>
      </c>
      <c r="I165" s="8">
        <f>IF(AND(F165&gt;720,C165&gt;60),70%,
IF(CKadeaTelcoClients_Churn[[#This Row],[Type_Client]]="B2B",10%,
IF(OR(AND(F165&gt;=240,F165&lt;=720),AND(C165&lt;60,D165="Premium 5G 150Go")),45%,0%)))</f>
        <v>0.45</v>
      </c>
      <c r="J165" s="9">
        <f>CKadeaTelcoClients_Churn[[#This Row],[Remise]]*CKadeaTelcoClients_Churn[[#This Row],[Facture_Mensuelle]]</f>
        <v>5.4405000000000001</v>
      </c>
      <c r="K165">
        <v>164</v>
      </c>
    </row>
    <row r="166" spans="1:11" x14ac:dyDescent="0.35">
      <c r="A166" t="s">
        <v>1059</v>
      </c>
      <c r="B166" t="s">
        <v>688</v>
      </c>
      <c r="C166">
        <v>89</v>
      </c>
      <c r="D166" t="s">
        <v>894</v>
      </c>
      <c r="E166" t="str">
        <f>IF(CKadeaTelcoClients_Churn[[#This Row],[Type_Forfait]]="pro monde","B2B","B2C")</f>
        <v>B2B</v>
      </c>
      <c r="F166">
        <v>203</v>
      </c>
      <c r="G166">
        <v>80.680000000000007</v>
      </c>
      <c r="H166">
        <v>5</v>
      </c>
      <c r="I166" s="8">
        <f>IF(AND(F166&gt;720,C166&gt;60),70%,
IF(CKadeaTelcoClients_Churn[[#This Row],[Type_Client]]="B2B",10%,
IF(OR(AND(F166&gt;=240,F166&lt;=720),AND(C166&lt;60,D166="Premium 5G 150Go")),45%,0%)))</f>
        <v>0.1</v>
      </c>
      <c r="J166" s="9">
        <f>CKadeaTelcoClients_Churn[[#This Row],[Remise]]*CKadeaTelcoClients_Churn[[#This Row],[Facture_Mensuelle]]</f>
        <v>8.0680000000000014</v>
      </c>
      <c r="K166">
        <v>165</v>
      </c>
    </row>
    <row r="167" spans="1:11" x14ac:dyDescent="0.35">
      <c r="A167" t="s">
        <v>1060</v>
      </c>
      <c r="B167" t="s">
        <v>701</v>
      </c>
      <c r="C167">
        <v>62</v>
      </c>
      <c r="D167" t="s">
        <v>892</v>
      </c>
      <c r="E167" t="str">
        <f>IF(CKadeaTelcoClients_Churn[[#This Row],[Type_Forfait]]="pro monde","B2B","B2C")</f>
        <v>B2C</v>
      </c>
      <c r="F167">
        <v>116</v>
      </c>
      <c r="G167">
        <v>92.99</v>
      </c>
      <c r="H167">
        <v>5</v>
      </c>
      <c r="I167" s="8">
        <f>IF(AND(F167&gt;720,C167&gt;60),70%,
IF(CKadeaTelcoClients_Churn[[#This Row],[Type_Client]]="B2B",10%,
IF(OR(AND(F167&gt;=240,F167&lt;=720),AND(C167&lt;60,D167="Premium 5G 150Go")),45%,0%)))</f>
        <v>0</v>
      </c>
      <c r="J167" s="9">
        <f>CKadeaTelcoClients_Churn[[#This Row],[Remise]]*CKadeaTelcoClients_Churn[[#This Row],[Facture_Mensuelle]]</f>
        <v>0</v>
      </c>
      <c r="K167">
        <v>166</v>
      </c>
    </row>
    <row r="168" spans="1:11" x14ac:dyDescent="0.35">
      <c r="A168" t="s">
        <v>1061</v>
      </c>
      <c r="B168" t="s">
        <v>711</v>
      </c>
      <c r="C168">
        <v>92</v>
      </c>
      <c r="D168" t="s">
        <v>892</v>
      </c>
      <c r="E168" t="str">
        <f>IF(CKadeaTelcoClients_Churn[[#This Row],[Type_Forfait]]="pro monde","B2B","B2C")</f>
        <v>B2C</v>
      </c>
      <c r="F168">
        <v>116</v>
      </c>
      <c r="G168">
        <v>23.83</v>
      </c>
      <c r="H168">
        <v>3</v>
      </c>
      <c r="I168" s="8">
        <f>IF(AND(F168&gt;720,C168&gt;60),70%,
IF(CKadeaTelcoClients_Churn[[#This Row],[Type_Client]]="B2B",10%,
IF(OR(AND(F168&gt;=240,F168&lt;=720),AND(C168&lt;60,D168="Premium 5G 150Go")),45%,0%)))</f>
        <v>0</v>
      </c>
      <c r="J168" s="9">
        <f>CKadeaTelcoClients_Churn[[#This Row],[Remise]]*CKadeaTelcoClients_Churn[[#This Row],[Facture_Mensuelle]]</f>
        <v>0</v>
      </c>
      <c r="K168">
        <v>167</v>
      </c>
    </row>
    <row r="169" spans="1:11" x14ac:dyDescent="0.35">
      <c r="A169" t="s">
        <v>1062</v>
      </c>
      <c r="B169" t="s">
        <v>738</v>
      </c>
      <c r="C169">
        <v>64</v>
      </c>
      <c r="D169" t="s">
        <v>894</v>
      </c>
      <c r="E169" t="str">
        <f>IF(CKadeaTelcoClients_Churn[[#This Row],[Type_Forfait]]="pro monde","B2B","B2C")</f>
        <v>B2B</v>
      </c>
      <c r="F169">
        <v>370</v>
      </c>
      <c r="G169">
        <v>95.74</v>
      </c>
      <c r="H169">
        <v>1</v>
      </c>
      <c r="I169" s="8">
        <f>IF(AND(F169&gt;720,C169&gt;60),70%,
IF(CKadeaTelcoClients_Churn[[#This Row],[Type_Client]]="B2B",10%,
IF(OR(AND(F169&gt;=240,F169&lt;=720),AND(C169&lt;60,D169="Premium 5G 150Go")),45%,0%)))</f>
        <v>0.1</v>
      </c>
      <c r="J169" s="9">
        <f>CKadeaTelcoClients_Churn[[#This Row],[Remise]]*CKadeaTelcoClients_Churn[[#This Row],[Facture_Mensuelle]]</f>
        <v>9.5739999999999998</v>
      </c>
      <c r="K169">
        <v>168</v>
      </c>
    </row>
    <row r="170" spans="1:11" x14ac:dyDescent="0.35">
      <c r="A170" t="s">
        <v>1063</v>
      </c>
      <c r="B170" t="s">
        <v>706</v>
      </c>
      <c r="C170">
        <v>61</v>
      </c>
      <c r="D170" t="s">
        <v>897</v>
      </c>
      <c r="E170" t="str">
        <f>IF(CKadeaTelcoClients_Churn[[#This Row],[Type_Forfait]]="pro monde","B2B","B2C")</f>
        <v>B2C</v>
      </c>
      <c r="F170">
        <v>383</v>
      </c>
      <c r="G170">
        <v>39.72</v>
      </c>
      <c r="H170">
        <v>4</v>
      </c>
      <c r="I170" s="8">
        <f>IF(AND(F170&gt;720,C170&gt;60),70%,
IF(CKadeaTelcoClients_Churn[[#This Row],[Type_Client]]="B2B",10%,
IF(OR(AND(F170&gt;=240,F170&lt;=720),AND(C170&lt;60,D170="Premium 5G 150Go")),45%,0%)))</f>
        <v>0.45</v>
      </c>
      <c r="J170" s="9">
        <f>CKadeaTelcoClients_Churn[[#This Row],[Remise]]*CKadeaTelcoClients_Churn[[#This Row],[Facture_Mensuelle]]</f>
        <v>17.873999999999999</v>
      </c>
      <c r="K170">
        <v>169</v>
      </c>
    </row>
    <row r="171" spans="1:11" x14ac:dyDescent="0.35">
      <c r="A171" t="s">
        <v>1064</v>
      </c>
      <c r="B171" t="s">
        <v>725</v>
      </c>
      <c r="C171">
        <v>35</v>
      </c>
      <c r="D171" t="s">
        <v>899</v>
      </c>
      <c r="E171" t="str">
        <f>IF(CKadeaTelcoClients_Churn[[#This Row],[Type_Forfait]]="pro monde","B2B","B2C")</f>
        <v>B2C</v>
      </c>
      <c r="F171">
        <v>107</v>
      </c>
      <c r="G171">
        <v>66.69</v>
      </c>
      <c r="H171">
        <v>4</v>
      </c>
      <c r="I171" s="8">
        <f>IF(AND(F171&gt;720,C171&gt;60),70%,
IF(CKadeaTelcoClients_Churn[[#This Row],[Type_Client]]="B2B",10%,
IF(OR(AND(F171&gt;=240,F171&lt;=720),AND(C171&lt;60,D171="Premium 5G 150Go")),45%,0%)))</f>
        <v>0</v>
      </c>
      <c r="J171" s="9">
        <f>CKadeaTelcoClients_Churn[[#This Row],[Remise]]*CKadeaTelcoClients_Churn[[#This Row],[Facture_Mensuelle]]</f>
        <v>0</v>
      </c>
      <c r="K171">
        <v>170</v>
      </c>
    </row>
    <row r="172" spans="1:11" x14ac:dyDescent="0.35">
      <c r="A172" t="s">
        <v>1065</v>
      </c>
      <c r="B172" t="s">
        <v>714</v>
      </c>
      <c r="C172">
        <v>75</v>
      </c>
      <c r="D172" t="s">
        <v>894</v>
      </c>
      <c r="E172" t="str">
        <f>IF(CKadeaTelcoClients_Churn[[#This Row],[Type_Forfait]]="pro monde","B2B","B2C")</f>
        <v>B2B</v>
      </c>
      <c r="F172">
        <v>242</v>
      </c>
      <c r="G172">
        <v>64.27</v>
      </c>
      <c r="H172">
        <v>2</v>
      </c>
      <c r="I172" s="8">
        <f>IF(AND(F172&gt;720,C172&gt;60),70%,
IF(CKadeaTelcoClients_Churn[[#This Row],[Type_Client]]="B2B",10%,
IF(OR(AND(F172&gt;=240,F172&lt;=720),AND(C172&lt;60,D172="Premium 5G 150Go")),45%,0%)))</f>
        <v>0.1</v>
      </c>
      <c r="J172" s="9">
        <f>CKadeaTelcoClients_Churn[[#This Row],[Remise]]*CKadeaTelcoClients_Churn[[#This Row],[Facture_Mensuelle]]</f>
        <v>6.4269999999999996</v>
      </c>
      <c r="K172">
        <v>171</v>
      </c>
    </row>
    <row r="173" spans="1:11" x14ac:dyDescent="0.35">
      <c r="A173" t="s">
        <v>1066</v>
      </c>
      <c r="B173" t="s">
        <v>701</v>
      </c>
      <c r="C173">
        <v>52</v>
      </c>
      <c r="D173" t="s">
        <v>899</v>
      </c>
      <c r="E173" t="str">
        <f>IF(CKadeaTelcoClients_Churn[[#This Row],[Type_Forfait]]="pro monde","B2B","B2C")</f>
        <v>B2C</v>
      </c>
      <c r="F173">
        <v>119</v>
      </c>
      <c r="G173">
        <v>64.709999999999994</v>
      </c>
      <c r="H173">
        <v>4</v>
      </c>
      <c r="I173" s="8">
        <f>IF(AND(F173&gt;720,C173&gt;60),70%,
IF(CKadeaTelcoClients_Churn[[#This Row],[Type_Client]]="B2B",10%,
IF(OR(AND(F173&gt;=240,F173&lt;=720),AND(C173&lt;60,D173="Premium 5G 150Go")),45%,0%)))</f>
        <v>0</v>
      </c>
      <c r="J173" s="9">
        <f>CKadeaTelcoClients_Churn[[#This Row],[Remise]]*CKadeaTelcoClients_Churn[[#This Row],[Facture_Mensuelle]]</f>
        <v>0</v>
      </c>
      <c r="K173">
        <v>172</v>
      </c>
    </row>
    <row r="174" spans="1:11" x14ac:dyDescent="0.35">
      <c r="A174" t="s">
        <v>1067</v>
      </c>
      <c r="B174" t="s">
        <v>699</v>
      </c>
      <c r="C174">
        <v>82</v>
      </c>
      <c r="D174" t="s">
        <v>892</v>
      </c>
      <c r="E174" t="str">
        <f>IF(CKadeaTelcoClients_Churn[[#This Row],[Type_Forfait]]="pro monde","B2B","B2C")</f>
        <v>B2C</v>
      </c>
      <c r="F174">
        <v>264</v>
      </c>
      <c r="G174">
        <v>88.03</v>
      </c>
      <c r="H174">
        <v>1</v>
      </c>
      <c r="I174" s="8">
        <f>IF(AND(F174&gt;720,C174&gt;60),70%,
IF(CKadeaTelcoClients_Churn[[#This Row],[Type_Client]]="B2B",10%,
IF(OR(AND(F174&gt;=240,F174&lt;=720),AND(C174&lt;60,D174="Premium 5G 150Go")),45%,0%)))</f>
        <v>0.45</v>
      </c>
      <c r="J174" s="9">
        <f>CKadeaTelcoClients_Churn[[#This Row],[Remise]]*CKadeaTelcoClients_Churn[[#This Row],[Facture_Mensuelle]]</f>
        <v>39.613500000000002</v>
      </c>
      <c r="K174">
        <v>173</v>
      </c>
    </row>
    <row r="175" spans="1:11" x14ac:dyDescent="0.35">
      <c r="A175" t="s">
        <v>1068</v>
      </c>
      <c r="B175" t="s">
        <v>694</v>
      </c>
      <c r="C175">
        <v>118</v>
      </c>
      <c r="D175" t="s">
        <v>897</v>
      </c>
      <c r="E175" t="str">
        <f>IF(CKadeaTelcoClients_Churn[[#This Row],[Type_Forfait]]="pro monde","B2B","B2C")</f>
        <v>B2C</v>
      </c>
      <c r="F175">
        <v>300</v>
      </c>
      <c r="G175">
        <v>98.22</v>
      </c>
      <c r="H175">
        <v>4</v>
      </c>
      <c r="I175" s="8">
        <f>IF(AND(F175&gt;720,C175&gt;60),70%,
IF(CKadeaTelcoClients_Churn[[#This Row],[Type_Client]]="B2B",10%,
IF(OR(AND(F175&gt;=240,F175&lt;=720),AND(C175&lt;60,D175="Premium 5G 150Go")),45%,0%)))</f>
        <v>0.45</v>
      </c>
      <c r="J175" s="9">
        <f>CKadeaTelcoClients_Churn[[#This Row],[Remise]]*CKadeaTelcoClients_Churn[[#This Row],[Facture_Mensuelle]]</f>
        <v>44.198999999999998</v>
      </c>
      <c r="K175">
        <v>174</v>
      </c>
    </row>
    <row r="176" spans="1:11" x14ac:dyDescent="0.35">
      <c r="A176" t="s">
        <v>1069</v>
      </c>
      <c r="B176" t="s">
        <v>704</v>
      </c>
      <c r="C176">
        <v>102</v>
      </c>
      <c r="D176" t="s">
        <v>892</v>
      </c>
      <c r="E176" t="str">
        <f>IF(CKadeaTelcoClients_Churn[[#This Row],[Type_Forfait]]="pro monde","B2B","B2C")</f>
        <v>B2C</v>
      </c>
      <c r="F176">
        <v>402</v>
      </c>
      <c r="G176">
        <v>28.38</v>
      </c>
      <c r="H176">
        <v>5</v>
      </c>
      <c r="I176" s="8">
        <f>IF(AND(F176&gt;720,C176&gt;60),70%,
IF(CKadeaTelcoClients_Churn[[#This Row],[Type_Client]]="B2B",10%,
IF(OR(AND(F176&gt;=240,F176&lt;=720),AND(C176&lt;60,D176="Premium 5G 150Go")),45%,0%)))</f>
        <v>0.45</v>
      </c>
      <c r="J176" s="9">
        <f>CKadeaTelcoClients_Churn[[#This Row],[Remise]]*CKadeaTelcoClients_Churn[[#This Row],[Facture_Mensuelle]]</f>
        <v>12.770999999999999</v>
      </c>
      <c r="K176">
        <v>175</v>
      </c>
    </row>
    <row r="177" spans="1:11" x14ac:dyDescent="0.35">
      <c r="A177" t="s">
        <v>1070</v>
      </c>
      <c r="B177" t="s">
        <v>737</v>
      </c>
      <c r="C177">
        <v>75</v>
      </c>
      <c r="D177" t="s">
        <v>897</v>
      </c>
      <c r="E177" t="str">
        <f>IF(CKadeaTelcoClients_Churn[[#This Row],[Type_Forfait]]="pro monde","B2B","B2C")</f>
        <v>B2C</v>
      </c>
      <c r="F177">
        <v>282</v>
      </c>
      <c r="G177">
        <v>45.16</v>
      </c>
      <c r="H177">
        <v>5</v>
      </c>
      <c r="I177" s="8">
        <f>IF(AND(F177&gt;720,C177&gt;60),70%,
IF(CKadeaTelcoClients_Churn[[#This Row],[Type_Client]]="B2B",10%,
IF(OR(AND(F177&gt;=240,F177&lt;=720),AND(C177&lt;60,D177="Premium 5G 150Go")),45%,0%)))</f>
        <v>0.45</v>
      </c>
      <c r="J177" s="9">
        <f>CKadeaTelcoClients_Churn[[#This Row],[Remise]]*CKadeaTelcoClients_Churn[[#This Row],[Facture_Mensuelle]]</f>
        <v>20.321999999999999</v>
      </c>
      <c r="K177">
        <v>176</v>
      </c>
    </row>
    <row r="178" spans="1:11" x14ac:dyDescent="0.35">
      <c r="A178" t="s">
        <v>1071</v>
      </c>
      <c r="B178" t="s">
        <v>722</v>
      </c>
      <c r="C178">
        <v>84</v>
      </c>
      <c r="D178" t="s">
        <v>892</v>
      </c>
      <c r="E178" t="str">
        <f>IF(CKadeaTelcoClients_Churn[[#This Row],[Type_Forfait]]="pro monde","B2B","B2C")</f>
        <v>B2C</v>
      </c>
      <c r="F178">
        <v>387</v>
      </c>
      <c r="G178">
        <v>58.1</v>
      </c>
      <c r="H178">
        <v>3</v>
      </c>
      <c r="I178" s="8">
        <f>IF(AND(F178&gt;720,C178&gt;60),70%,
IF(CKadeaTelcoClients_Churn[[#This Row],[Type_Client]]="B2B",10%,
IF(OR(AND(F178&gt;=240,F178&lt;=720),AND(C178&lt;60,D178="Premium 5G 150Go")),45%,0%)))</f>
        <v>0.45</v>
      </c>
      <c r="J178" s="9">
        <f>CKadeaTelcoClients_Churn[[#This Row],[Remise]]*CKadeaTelcoClients_Churn[[#This Row],[Facture_Mensuelle]]</f>
        <v>26.145</v>
      </c>
      <c r="K178">
        <v>177</v>
      </c>
    </row>
    <row r="179" spans="1:11" x14ac:dyDescent="0.35">
      <c r="A179" t="s">
        <v>1072</v>
      </c>
      <c r="B179" t="s">
        <v>716</v>
      </c>
      <c r="C179">
        <v>5</v>
      </c>
      <c r="D179" t="s">
        <v>897</v>
      </c>
      <c r="E179" t="str">
        <f>IF(CKadeaTelcoClients_Churn[[#This Row],[Type_Forfait]]="pro monde","B2B","B2C")</f>
        <v>B2C</v>
      </c>
      <c r="F179">
        <v>239</v>
      </c>
      <c r="G179">
        <v>26.95</v>
      </c>
      <c r="H179">
        <v>2</v>
      </c>
      <c r="I179" s="8">
        <f>IF(AND(F179&gt;720,C179&gt;60),70%,
IF(CKadeaTelcoClients_Churn[[#This Row],[Type_Client]]="B2B",10%,
IF(OR(AND(F179&gt;=240,F179&lt;=720),AND(C179&lt;60,D179="Premium 5G 150Go")),45%,0%)))</f>
        <v>0</v>
      </c>
      <c r="J179" s="9">
        <f>CKadeaTelcoClients_Churn[[#This Row],[Remise]]*CKadeaTelcoClients_Churn[[#This Row],[Facture_Mensuelle]]</f>
        <v>0</v>
      </c>
      <c r="K179">
        <v>178</v>
      </c>
    </row>
    <row r="180" spans="1:11" x14ac:dyDescent="0.35">
      <c r="A180" t="s">
        <v>1073</v>
      </c>
      <c r="B180" t="s">
        <v>688</v>
      </c>
      <c r="C180">
        <v>27</v>
      </c>
      <c r="D180" t="s">
        <v>892</v>
      </c>
      <c r="E180" t="str">
        <f>IF(CKadeaTelcoClients_Churn[[#This Row],[Type_Forfait]]="pro monde","B2B","B2C")</f>
        <v>B2C</v>
      </c>
      <c r="F180">
        <v>369</v>
      </c>
      <c r="G180">
        <v>19.78</v>
      </c>
      <c r="H180">
        <v>1</v>
      </c>
      <c r="I180" s="8">
        <f>IF(AND(F180&gt;720,C180&gt;60),70%,
IF(CKadeaTelcoClients_Churn[[#This Row],[Type_Client]]="B2B",10%,
IF(OR(AND(F180&gt;=240,F180&lt;=720),AND(C180&lt;60,D180="Premium 5G 150Go")),45%,0%)))</f>
        <v>0.45</v>
      </c>
      <c r="J180" s="9">
        <f>CKadeaTelcoClients_Churn[[#This Row],[Remise]]*CKadeaTelcoClients_Churn[[#This Row],[Facture_Mensuelle]]</f>
        <v>8.9010000000000016</v>
      </c>
      <c r="K180">
        <v>179</v>
      </c>
    </row>
    <row r="181" spans="1:11" x14ac:dyDescent="0.35">
      <c r="A181" t="s">
        <v>1074</v>
      </c>
      <c r="B181" t="s">
        <v>706</v>
      </c>
      <c r="C181">
        <v>29</v>
      </c>
      <c r="D181" t="s">
        <v>899</v>
      </c>
      <c r="E181" t="str">
        <f>IF(CKadeaTelcoClients_Churn[[#This Row],[Type_Forfait]]="pro monde","B2B","B2C")</f>
        <v>B2C</v>
      </c>
      <c r="F181">
        <v>416</v>
      </c>
      <c r="G181">
        <v>61.26</v>
      </c>
      <c r="H181">
        <v>0</v>
      </c>
      <c r="I181" s="8">
        <f>IF(AND(F181&gt;720,C181&gt;60),70%,
IF(CKadeaTelcoClients_Churn[[#This Row],[Type_Client]]="B2B",10%,
IF(OR(AND(F181&gt;=240,F181&lt;=720),AND(C181&lt;60,D181="Premium 5G 150Go")),45%,0%)))</f>
        <v>0.45</v>
      </c>
      <c r="J181" s="9">
        <f>CKadeaTelcoClients_Churn[[#This Row],[Remise]]*CKadeaTelcoClients_Churn[[#This Row],[Facture_Mensuelle]]</f>
        <v>27.567</v>
      </c>
      <c r="K181">
        <v>180</v>
      </c>
    </row>
    <row r="182" spans="1:11" x14ac:dyDescent="0.35">
      <c r="A182" t="s">
        <v>1075</v>
      </c>
      <c r="B182" t="s">
        <v>725</v>
      </c>
      <c r="C182">
        <v>115</v>
      </c>
      <c r="D182" t="s">
        <v>897</v>
      </c>
      <c r="E182" t="str">
        <f>IF(CKadeaTelcoClients_Churn[[#This Row],[Type_Forfait]]="pro monde","B2B","B2C")</f>
        <v>B2C</v>
      </c>
      <c r="F182">
        <v>236</v>
      </c>
      <c r="G182">
        <v>50.64</v>
      </c>
      <c r="H182">
        <v>1</v>
      </c>
      <c r="I182" s="8">
        <f>IF(AND(F182&gt;720,C182&gt;60),70%,
IF(CKadeaTelcoClients_Churn[[#This Row],[Type_Client]]="B2B",10%,
IF(OR(AND(F182&gt;=240,F182&lt;=720),AND(C182&lt;60,D182="Premium 5G 150Go")),45%,0%)))</f>
        <v>0</v>
      </c>
      <c r="J182" s="9">
        <f>CKadeaTelcoClients_Churn[[#This Row],[Remise]]*CKadeaTelcoClients_Churn[[#This Row],[Facture_Mensuelle]]</f>
        <v>0</v>
      </c>
      <c r="K182">
        <v>181</v>
      </c>
    </row>
    <row r="183" spans="1:11" x14ac:dyDescent="0.35">
      <c r="A183" t="s">
        <v>1076</v>
      </c>
      <c r="B183" t="s">
        <v>738</v>
      </c>
      <c r="C183">
        <v>26</v>
      </c>
      <c r="D183" t="s">
        <v>897</v>
      </c>
      <c r="E183" t="str">
        <f>IF(CKadeaTelcoClients_Churn[[#This Row],[Type_Forfait]]="pro monde","B2B","B2C")</f>
        <v>B2C</v>
      </c>
      <c r="F183">
        <v>174</v>
      </c>
      <c r="G183">
        <v>90.53</v>
      </c>
      <c r="H183">
        <v>3</v>
      </c>
      <c r="I183" s="8">
        <f>IF(AND(F183&gt;720,C183&gt;60),70%,
IF(CKadeaTelcoClients_Churn[[#This Row],[Type_Client]]="B2B",10%,
IF(OR(AND(F183&gt;=240,F183&lt;=720),AND(C183&lt;60,D183="Premium 5G 150Go")),45%,0%)))</f>
        <v>0</v>
      </c>
      <c r="J183" s="9">
        <f>CKadeaTelcoClients_Churn[[#This Row],[Remise]]*CKadeaTelcoClients_Churn[[#This Row],[Facture_Mensuelle]]</f>
        <v>0</v>
      </c>
      <c r="K183">
        <v>182</v>
      </c>
    </row>
    <row r="184" spans="1:11" x14ac:dyDescent="0.35">
      <c r="A184" t="s">
        <v>1077</v>
      </c>
      <c r="B184" t="s">
        <v>722</v>
      </c>
      <c r="C184">
        <v>58</v>
      </c>
      <c r="D184" t="s">
        <v>897</v>
      </c>
      <c r="E184" t="str">
        <f>IF(CKadeaTelcoClients_Churn[[#This Row],[Type_Forfait]]="pro monde","B2B","B2C")</f>
        <v>B2C</v>
      </c>
      <c r="F184">
        <v>405</v>
      </c>
      <c r="G184">
        <v>18.39</v>
      </c>
      <c r="H184">
        <v>0</v>
      </c>
      <c r="I184" s="8">
        <f>IF(AND(F184&gt;720,C184&gt;60),70%,
IF(CKadeaTelcoClients_Churn[[#This Row],[Type_Client]]="B2B",10%,
IF(OR(AND(F184&gt;=240,F184&lt;=720),AND(C184&lt;60,D184="Premium 5G 150Go")),45%,0%)))</f>
        <v>0.45</v>
      </c>
      <c r="J184" s="9">
        <f>CKadeaTelcoClients_Churn[[#This Row],[Remise]]*CKadeaTelcoClients_Churn[[#This Row],[Facture_Mensuelle]]</f>
        <v>8.275500000000001</v>
      </c>
      <c r="K184">
        <v>183</v>
      </c>
    </row>
    <row r="185" spans="1:11" x14ac:dyDescent="0.35">
      <c r="A185" t="s">
        <v>1078</v>
      </c>
      <c r="B185" t="s">
        <v>702</v>
      </c>
      <c r="C185">
        <v>111</v>
      </c>
      <c r="D185" t="s">
        <v>892</v>
      </c>
      <c r="E185" t="str">
        <f>IF(CKadeaTelcoClients_Churn[[#This Row],[Type_Forfait]]="pro monde","B2B","B2C")</f>
        <v>B2C</v>
      </c>
      <c r="F185">
        <v>43</v>
      </c>
      <c r="G185">
        <v>19.39</v>
      </c>
      <c r="H185">
        <v>3</v>
      </c>
      <c r="I185" s="8">
        <f>IF(AND(F185&gt;720,C185&gt;60),70%,
IF(CKadeaTelcoClients_Churn[[#This Row],[Type_Client]]="B2B",10%,
IF(OR(AND(F185&gt;=240,F185&lt;=720),AND(C185&lt;60,D185="Premium 5G 150Go")),45%,0%)))</f>
        <v>0</v>
      </c>
      <c r="J185" s="9">
        <f>CKadeaTelcoClients_Churn[[#This Row],[Remise]]*CKadeaTelcoClients_Churn[[#This Row],[Facture_Mensuelle]]</f>
        <v>0</v>
      </c>
      <c r="K185">
        <v>184</v>
      </c>
    </row>
    <row r="186" spans="1:11" x14ac:dyDescent="0.35">
      <c r="A186" t="s">
        <v>1079</v>
      </c>
      <c r="B186" t="s">
        <v>716</v>
      </c>
      <c r="C186">
        <v>31</v>
      </c>
      <c r="D186" t="s">
        <v>897</v>
      </c>
      <c r="E186" t="str">
        <f>IF(CKadeaTelcoClients_Churn[[#This Row],[Type_Forfait]]="pro monde","B2B","B2C")</f>
        <v>B2C</v>
      </c>
      <c r="F186">
        <v>160</v>
      </c>
      <c r="G186">
        <v>59.76</v>
      </c>
      <c r="H186">
        <v>4</v>
      </c>
      <c r="I186" s="8">
        <f>IF(AND(F186&gt;720,C186&gt;60),70%,
IF(CKadeaTelcoClients_Churn[[#This Row],[Type_Client]]="B2B",10%,
IF(OR(AND(F186&gt;=240,F186&lt;=720),AND(C186&lt;60,D186="Premium 5G 150Go")),45%,0%)))</f>
        <v>0</v>
      </c>
      <c r="J186" s="9">
        <f>CKadeaTelcoClients_Churn[[#This Row],[Remise]]*CKadeaTelcoClients_Churn[[#This Row],[Facture_Mensuelle]]</f>
        <v>0</v>
      </c>
      <c r="K186">
        <v>185</v>
      </c>
    </row>
    <row r="187" spans="1:11" x14ac:dyDescent="0.35">
      <c r="A187" t="s">
        <v>1080</v>
      </c>
      <c r="B187" t="s">
        <v>685</v>
      </c>
      <c r="C187">
        <v>51</v>
      </c>
      <c r="D187" t="s">
        <v>899</v>
      </c>
      <c r="E187" t="str">
        <f>IF(CKadeaTelcoClients_Churn[[#This Row],[Type_Forfait]]="pro monde","B2B","B2C")</f>
        <v>B2C</v>
      </c>
      <c r="F187">
        <v>433</v>
      </c>
      <c r="G187">
        <v>12.89</v>
      </c>
      <c r="H187">
        <v>1</v>
      </c>
      <c r="I187" s="8">
        <f>IF(AND(F187&gt;720,C187&gt;60),70%,
IF(CKadeaTelcoClients_Churn[[#This Row],[Type_Client]]="B2B",10%,
IF(OR(AND(F187&gt;=240,F187&lt;=720),AND(C187&lt;60,D187="Premium 5G 150Go")),45%,0%)))</f>
        <v>0.45</v>
      </c>
      <c r="J187" s="9">
        <f>CKadeaTelcoClients_Churn[[#This Row],[Remise]]*CKadeaTelcoClients_Churn[[#This Row],[Facture_Mensuelle]]</f>
        <v>5.8005000000000004</v>
      </c>
      <c r="K187">
        <v>186</v>
      </c>
    </row>
    <row r="188" spans="1:11" x14ac:dyDescent="0.35">
      <c r="A188" t="s">
        <v>1081</v>
      </c>
      <c r="B188" t="s">
        <v>699</v>
      </c>
      <c r="C188">
        <v>28</v>
      </c>
      <c r="D188" t="s">
        <v>892</v>
      </c>
      <c r="E188" t="str">
        <f>IF(CKadeaTelcoClients_Churn[[#This Row],[Type_Forfait]]="pro monde","B2B","B2C")</f>
        <v>B2C</v>
      </c>
      <c r="F188">
        <v>96</v>
      </c>
      <c r="G188">
        <v>72.010000000000005</v>
      </c>
      <c r="H188">
        <v>4</v>
      </c>
      <c r="I188" s="8">
        <f>IF(AND(F188&gt;720,C188&gt;60),70%,
IF(CKadeaTelcoClients_Churn[[#This Row],[Type_Client]]="B2B",10%,
IF(OR(AND(F188&gt;=240,F188&lt;=720),AND(C188&lt;60,D188="Premium 5G 150Go")),45%,0%)))</f>
        <v>0.45</v>
      </c>
      <c r="J188" s="9">
        <f>CKadeaTelcoClients_Churn[[#This Row],[Remise]]*CKadeaTelcoClients_Churn[[#This Row],[Facture_Mensuelle]]</f>
        <v>32.404500000000006</v>
      </c>
      <c r="K188">
        <v>187</v>
      </c>
    </row>
    <row r="189" spans="1:11" x14ac:dyDescent="0.35">
      <c r="A189" t="s">
        <v>1082</v>
      </c>
      <c r="B189" t="s">
        <v>707</v>
      </c>
      <c r="C189">
        <v>40</v>
      </c>
      <c r="D189" t="s">
        <v>899</v>
      </c>
      <c r="E189" t="str">
        <f>IF(CKadeaTelcoClients_Churn[[#This Row],[Type_Forfait]]="pro monde","B2B","B2C")</f>
        <v>B2C</v>
      </c>
      <c r="F189">
        <v>219</v>
      </c>
      <c r="G189">
        <v>53.98</v>
      </c>
      <c r="H189">
        <v>2</v>
      </c>
      <c r="I189" s="8">
        <f>IF(AND(F189&gt;720,C189&gt;60),70%,
IF(CKadeaTelcoClients_Churn[[#This Row],[Type_Client]]="B2B",10%,
IF(OR(AND(F189&gt;=240,F189&lt;=720),AND(C189&lt;60,D189="Premium 5G 150Go")),45%,0%)))</f>
        <v>0</v>
      </c>
      <c r="J189" s="9">
        <f>CKadeaTelcoClients_Churn[[#This Row],[Remise]]*CKadeaTelcoClients_Churn[[#This Row],[Facture_Mensuelle]]</f>
        <v>0</v>
      </c>
      <c r="K189">
        <v>188</v>
      </c>
    </row>
    <row r="190" spans="1:11" x14ac:dyDescent="0.35">
      <c r="A190" t="s">
        <v>1083</v>
      </c>
      <c r="B190" t="s">
        <v>694</v>
      </c>
      <c r="C190">
        <v>55</v>
      </c>
      <c r="D190" t="s">
        <v>892</v>
      </c>
      <c r="E190" t="str">
        <f>IF(CKadeaTelcoClients_Churn[[#This Row],[Type_Forfait]]="pro monde","B2B","B2C")</f>
        <v>B2C</v>
      </c>
      <c r="F190">
        <v>394</v>
      </c>
      <c r="G190">
        <v>26.8</v>
      </c>
      <c r="H190">
        <v>4</v>
      </c>
      <c r="I190" s="8">
        <f>IF(AND(F190&gt;720,C190&gt;60),70%,
IF(CKadeaTelcoClients_Churn[[#This Row],[Type_Client]]="B2B",10%,
IF(OR(AND(F190&gt;=240,F190&lt;=720),AND(C190&lt;60,D190="Premium 5G 150Go")),45%,0%)))</f>
        <v>0.45</v>
      </c>
      <c r="J190" s="9">
        <f>CKadeaTelcoClients_Churn[[#This Row],[Remise]]*CKadeaTelcoClients_Churn[[#This Row],[Facture_Mensuelle]]</f>
        <v>12.06</v>
      </c>
      <c r="K190">
        <v>189</v>
      </c>
    </row>
    <row r="191" spans="1:11" x14ac:dyDescent="0.35">
      <c r="A191" t="s">
        <v>1084</v>
      </c>
      <c r="B191" t="s">
        <v>719</v>
      </c>
      <c r="C191">
        <v>114</v>
      </c>
      <c r="D191" t="s">
        <v>892</v>
      </c>
      <c r="E191" t="str">
        <f>IF(CKadeaTelcoClients_Churn[[#This Row],[Type_Forfait]]="pro monde","B2B","B2C")</f>
        <v>B2C</v>
      </c>
      <c r="F191">
        <v>482</v>
      </c>
      <c r="G191">
        <v>16.25</v>
      </c>
      <c r="H191">
        <v>3</v>
      </c>
      <c r="I191" s="8">
        <f>IF(AND(F191&gt;720,C191&gt;60),70%,
IF(CKadeaTelcoClients_Churn[[#This Row],[Type_Client]]="B2B",10%,
IF(OR(AND(F191&gt;=240,F191&lt;=720),AND(C191&lt;60,D191="Premium 5G 150Go")),45%,0%)))</f>
        <v>0.45</v>
      </c>
      <c r="J191" s="9">
        <f>CKadeaTelcoClients_Churn[[#This Row],[Remise]]*CKadeaTelcoClients_Churn[[#This Row],[Facture_Mensuelle]]</f>
        <v>7.3125</v>
      </c>
      <c r="K191">
        <v>190</v>
      </c>
    </row>
    <row r="192" spans="1:11" x14ac:dyDescent="0.35">
      <c r="A192" t="s">
        <v>1085</v>
      </c>
      <c r="B192" t="s">
        <v>726</v>
      </c>
      <c r="C192">
        <v>49</v>
      </c>
      <c r="D192" t="s">
        <v>892</v>
      </c>
      <c r="E192" t="str">
        <f>IF(CKadeaTelcoClients_Churn[[#This Row],[Type_Forfait]]="pro monde","B2B","B2C")</f>
        <v>B2C</v>
      </c>
      <c r="F192">
        <v>357</v>
      </c>
      <c r="G192">
        <v>96.67</v>
      </c>
      <c r="H192">
        <v>3</v>
      </c>
      <c r="I192" s="8">
        <f>IF(AND(F192&gt;720,C192&gt;60),70%,
IF(CKadeaTelcoClients_Churn[[#This Row],[Type_Client]]="B2B",10%,
IF(OR(AND(F192&gt;=240,F192&lt;=720),AND(C192&lt;60,D192="Premium 5G 150Go")),45%,0%)))</f>
        <v>0.45</v>
      </c>
      <c r="J192" s="9">
        <f>CKadeaTelcoClients_Churn[[#This Row],[Remise]]*CKadeaTelcoClients_Churn[[#This Row],[Facture_Mensuelle]]</f>
        <v>43.5015</v>
      </c>
      <c r="K192">
        <v>191</v>
      </c>
    </row>
    <row r="193" spans="1:11" x14ac:dyDescent="0.35">
      <c r="A193" t="s">
        <v>1086</v>
      </c>
      <c r="B193" t="s">
        <v>722</v>
      </c>
      <c r="C193">
        <v>74</v>
      </c>
      <c r="D193" t="s">
        <v>892</v>
      </c>
      <c r="E193" t="str">
        <f>IF(CKadeaTelcoClients_Churn[[#This Row],[Type_Forfait]]="pro monde","B2B","B2C")</f>
        <v>B2C</v>
      </c>
      <c r="F193">
        <v>213</v>
      </c>
      <c r="G193">
        <v>35.54</v>
      </c>
      <c r="H193">
        <v>3</v>
      </c>
      <c r="I193" s="8">
        <f>IF(AND(F193&gt;720,C193&gt;60),70%,
IF(CKadeaTelcoClients_Churn[[#This Row],[Type_Client]]="B2B",10%,
IF(OR(AND(F193&gt;=240,F193&lt;=720),AND(C193&lt;60,D193="Premium 5G 150Go")),45%,0%)))</f>
        <v>0</v>
      </c>
      <c r="J193" s="9">
        <f>CKadeaTelcoClients_Churn[[#This Row],[Remise]]*CKadeaTelcoClients_Churn[[#This Row],[Facture_Mensuelle]]</f>
        <v>0</v>
      </c>
      <c r="K193">
        <v>192</v>
      </c>
    </row>
    <row r="194" spans="1:11" x14ac:dyDescent="0.35">
      <c r="A194" t="s">
        <v>1087</v>
      </c>
      <c r="B194" t="s">
        <v>707</v>
      </c>
      <c r="C194">
        <v>21</v>
      </c>
      <c r="D194" t="s">
        <v>899</v>
      </c>
      <c r="E194" t="str">
        <f>IF(CKadeaTelcoClients_Churn[[#This Row],[Type_Forfait]]="pro monde","B2B","B2C")</f>
        <v>B2C</v>
      </c>
      <c r="F194">
        <v>107</v>
      </c>
      <c r="G194">
        <v>30.97</v>
      </c>
      <c r="H194">
        <v>4</v>
      </c>
      <c r="I194" s="8">
        <f>IF(AND(F194&gt;720,C194&gt;60),70%,
IF(CKadeaTelcoClients_Churn[[#This Row],[Type_Client]]="B2B",10%,
IF(OR(AND(F194&gt;=240,F194&lt;=720),AND(C194&lt;60,D194="Premium 5G 150Go")),45%,0%)))</f>
        <v>0</v>
      </c>
      <c r="J194" s="9">
        <f>CKadeaTelcoClients_Churn[[#This Row],[Remise]]*CKadeaTelcoClients_Churn[[#This Row],[Facture_Mensuelle]]</f>
        <v>0</v>
      </c>
      <c r="K194">
        <v>193</v>
      </c>
    </row>
    <row r="195" spans="1:11" x14ac:dyDescent="0.35">
      <c r="A195" t="s">
        <v>1088</v>
      </c>
      <c r="B195" t="s">
        <v>722</v>
      </c>
      <c r="C195">
        <v>120</v>
      </c>
      <c r="D195" t="s">
        <v>899</v>
      </c>
      <c r="E195" t="str">
        <f>IF(CKadeaTelcoClients_Churn[[#This Row],[Type_Forfait]]="pro monde","B2B","B2C")</f>
        <v>B2C</v>
      </c>
      <c r="F195">
        <v>224</v>
      </c>
      <c r="G195">
        <v>69.36</v>
      </c>
      <c r="H195">
        <v>0</v>
      </c>
      <c r="I195" s="8">
        <f>IF(AND(F195&gt;720,C195&gt;60),70%,
IF(CKadeaTelcoClients_Churn[[#This Row],[Type_Client]]="B2B",10%,
IF(OR(AND(F195&gt;=240,F195&lt;=720),AND(C195&lt;60,D195="Premium 5G 150Go")),45%,0%)))</f>
        <v>0</v>
      </c>
      <c r="J195" s="9">
        <f>CKadeaTelcoClients_Churn[[#This Row],[Remise]]*CKadeaTelcoClients_Churn[[#This Row],[Facture_Mensuelle]]</f>
        <v>0</v>
      </c>
      <c r="K195">
        <v>194</v>
      </c>
    </row>
    <row r="196" spans="1:11" x14ac:dyDescent="0.35">
      <c r="A196" t="s">
        <v>1089</v>
      </c>
      <c r="B196" t="s">
        <v>693</v>
      </c>
      <c r="C196">
        <v>108</v>
      </c>
      <c r="D196" t="s">
        <v>892</v>
      </c>
      <c r="E196" t="str">
        <f>IF(CKadeaTelcoClients_Churn[[#This Row],[Type_Forfait]]="pro monde","B2B","B2C")</f>
        <v>B2C</v>
      </c>
      <c r="F196">
        <v>230</v>
      </c>
      <c r="G196">
        <v>16.3</v>
      </c>
      <c r="H196">
        <v>5</v>
      </c>
      <c r="I196" s="8">
        <f>IF(AND(F196&gt;720,C196&gt;60),70%,
IF(CKadeaTelcoClients_Churn[[#This Row],[Type_Client]]="B2B",10%,
IF(OR(AND(F196&gt;=240,F196&lt;=720),AND(C196&lt;60,D196="Premium 5G 150Go")),45%,0%)))</f>
        <v>0</v>
      </c>
      <c r="J196" s="9">
        <f>CKadeaTelcoClients_Churn[[#This Row],[Remise]]*CKadeaTelcoClients_Churn[[#This Row],[Facture_Mensuelle]]</f>
        <v>0</v>
      </c>
      <c r="K196">
        <v>195</v>
      </c>
    </row>
    <row r="197" spans="1:11" x14ac:dyDescent="0.35">
      <c r="A197" t="s">
        <v>1090</v>
      </c>
      <c r="B197" t="s">
        <v>701</v>
      </c>
      <c r="C197">
        <v>48</v>
      </c>
      <c r="D197" t="s">
        <v>897</v>
      </c>
      <c r="E197" t="str">
        <f>IF(CKadeaTelcoClients_Churn[[#This Row],[Type_Forfait]]="pro monde","B2B","B2C")</f>
        <v>B2C</v>
      </c>
      <c r="F197">
        <v>436</v>
      </c>
      <c r="G197">
        <v>15.17</v>
      </c>
      <c r="H197">
        <v>0</v>
      </c>
      <c r="I197" s="8">
        <f>IF(AND(F197&gt;720,C197&gt;60),70%,
IF(CKadeaTelcoClients_Churn[[#This Row],[Type_Client]]="B2B",10%,
IF(OR(AND(F197&gt;=240,F197&lt;=720),AND(C197&lt;60,D197="Premium 5G 150Go")),45%,0%)))</f>
        <v>0.45</v>
      </c>
      <c r="J197" s="9">
        <f>CKadeaTelcoClients_Churn[[#This Row],[Remise]]*CKadeaTelcoClients_Churn[[#This Row],[Facture_Mensuelle]]</f>
        <v>6.8265000000000002</v>
      </c>
      <c r="K197">
        <v>196</v>
      </c>
    </row>
    <row r="198" spans="1:11" x14ac:dyDescent="0.35">
      <c r="A198" t="s">
        <v>1091</v>
      </c>
      <c r="B198" t="s">
        <v>726</v>
      </c>
      <c r="C198">
        <v>33</v>
      </c>
      <c r="D198" t="s">
        <v>892</v>
      </c>
      <c r="E198" t="str">
        <f>IF(CKadeaTelcoClients_Churn[[#This Row],[Type_Forfait]]="pro monde","B2B","B2C")</f>
        <v>B2C</v>
      </c>
      <c r="F198">
        <v>285</v>
      </c>
      <c r="G198">
        <v>56.67</v>
      </c>
      <c r="H198">
        <v>2</v>
      </c>
      <c r="I198" s="8">
        <f>IF(AND(F198&gt;720,C198&gt;60),70%,
IF(CKadeaTelcoClients_Churn[[#This Row],[Type_Client]]="B2B",10%,
IF(OR(AND(F198&gt;=240,F198&lt;=720),AND(C198&lt;60,D198="Premium 5G 150Go")),45%,0%)))</f>
        <v>0.45</v>
      </c>
      <c r="J198" s="9">
        <f>CKadeaTelcoClients_Churn[[#This Row],[Remise]]*CKadeaTelcoClients_Churn[[#This Row],[Facture_Mensuelle]]</f>
        <v>25.5015</v>
      </c>
      <c r="K198">
        <v>197</v>
      </c>
    </row>
    <row r="199" spans="1:11" x14ac:dyDescent="0.35">
      <c r="A199" t="s">
        <v>1092</v>
      </c>
      <c r="B199" t="s">
        <v>703</v>
      </c>
      <c r="C199">
        <v>71</v>
      </c>
      <c r="D199" t="s">
        <v>892</v>
      </c>
      <c r="E199" t="str">
        <f>IF(CKadeaTelcoClients_Churn[[#This Row],[Type_Forfait]]="pro monde","B2B","B2C")</f>
        <v>B2C</v>
      </c>
      <c r="F199">
        <v>15</v>
      </c>
      <c r="G199">
        <v>25.46</v>
      </c>
      <c r="H199">
        <v>5</v>
      </c>
      <c r="I199" s="8">
        <f>IF(AND(F199&gt;720,C199&gt;60),70%,
IF(CKadeaTelcoClients_Churn[[#This Row],[Type_Client]]="B2B",10%,
IF(OR(AND(F199&gt;=240,F199&lt;=720),AND(C199&lt;60,D199="Premium 5G 150Go")),45%,0%)))</f>
        <v>0</v>
      </c>
      <c r="J199" s="9">
        <f>CKadeaTelcoClients_Churn[[#This Row],[Remise]]*CKadeaTelcoClients_Churn[[#This Row],[Facture_Mensuelle]]</f>
        <v>0</v>
      </c>
      <c r="K199">
        <v>198</v>
      </c>
    </row>
    <row r="200" spans="1:11" x14ac:dyDescent="0.35">
      <c r="A200" t="s">
        <v>1093</v>
      </c>
      <c r="B200" t="s">
        <v>685</v>
      </c>
      <c r="C200">
        <v>11</v>
      </c>
      <c r="D200" t="s">
        <v>892</v>
      </c>
      <c r="E200" t="str">
        <f>IF(CKadeaTelcoClients_Churn[[#This Row],[Type_Forfait]]="pro monde","B2B","B2C")</f>
        <v>B2C</v>
      </c>
      <c r="F200">
        <v>191</v>
      </c>
      <c r="G200">
        <v>87.37</v>
      </c>
      <c r="H200">
        <v>3</v>
      </c>
      <c r="I200" s="8">
        <f>IF(AND(F200&gt;720,C200&gt;60),70%,
IF(CKadeaTelcoClients_Churn[[#This Row],[Type_Client]]="B2B",10%,
IF(OR(AND(F200&gt;=240,F200&lt;=720),AND(C200&lt;60,D200="Premium 5G 150Go")),45%,0%)))</f>
        <v>0.45</v>
      </c>
      <c r="J200" s="9">
        <f>CKadeaTelcoClients_Churn[[#This Row],[Remise]]*CKadeaTelcoClients_Churn[[#This Row],[Facture_Mensuelle]]</f>
        <v>39.316500000000005</v>
      </c>
      <c r="K200">
        <v>199</v>
      </c>
    </row>
    <row r="201" spans="1:11" x14ac:dyDescent="0.35">
      <c r="A201" t="s">
        <v>1094</v>
      </c>
      <c r="B201" t="s">
        <v>696</v>
      </c>
      <c r="C201">
        <v>18</v>
      </c>
      <c r="D201" t="s">
        <v>894</v>
      </c>
      <c r="E201" t="str">
        <f>IF(CKadeaTelcoClients_Churn[[#This Row],[Type_Forfait]]="pro monde","B2B","B2C")</f>
        <v>B2B</v>
      </c>
      <c r="F201">
        <v>71</v>
      </c>
      <c r="G201">
        <v>46.98</v>
      </c>
      <c r="H201">
        <v>2</v>
      </c>
      <c r="I201" s="8">
        <f>IF(AND(F201&gt;720,C201&gt;60),70%,
IF(CKadeaTelcoClients_Churn[[#This Row],[Type_Client]]="B2B",10%,
IF(OR(AND(F201&gt;=240,F201&lt;=720),AND(C201&lt;60,D201="Premium 5G 150Go")),45%,0%)))</f>
        <v>0.1</v>
      </c>
      <c r="J201" s="9">
        <f>CKadeaTelcoClients_Churn[[#This Row],[Remise]]*CKadeaTelcoClients_Churn[[#This Row],[Facture_Mensuelle]]</f>
        <v>4.6979999999999995</v>
      </c>
      <c r="K201">
        <v>200</v>
      </c>
    </row>
    <row r="202" spans="1:11" x14ac:dyDescent="0.35">
      <c r="A202" t="s">
        <v>1095</v>
      </c>
      <c r="B202" t="s">
        <v>737</v>
      </c>
      <c r="C202">
        <v>27</v>
      </c>
      <c r="D202" t="s">
        <v>892</v>
      </c>
      <c r="E202" t="str">
        <f>IF(CKadeaTelcoClients_Churn[[#This Row],[Type_Forfait]]="pro monde","B2B","B2C")</f>
        <v>B2C</v>
      </c>
      <c r="F202">
        <v>61</v>
      </c>
      <c r="G202">
        <v>97.51</v>
      </c>
      <c r="H202">
        <v>5</v>
      </c>
      <c r="I202" s="8">
        <f>IF(AND(F202&gt;720,C202&gt;60),70%,
IF(CKadeaTelcoClients_Churn[[#This Row],[Type_Client]]="B2B",10%,
IF(OR(AND(F202&gt;=240,F202&lt;=720),AND(C202&lt;60,D202="Premium 5G 150Go")),45%,0%)))</f>
        <v>0.45</v>
      </c>
      <c r="J202" s="9">
        <f>CKadeaTelcoClients_Churn[[#This Row],[Remise]]*CKadeaTelcoClients_Churn[[#This Row],[Facture_Mensuelle]]</f>
        <v>43.8795</v>
      </c>
      <c r="K202">
        <v>201</v>
      </c>
    </row>
    <row r="203" spans="1:11" x14ac:dyDescent="0.35">
      <c r="A203" t="s">
        <v>1096</v>
      </c>
      <c r="B203" t="s">
        <v>696</v>
      </c>
      <c r="C203">
        <v>65</v>
      </c>
      <c r="D203" t="s">
        <v>897</v>
      </c>
      <c r="E203" t="str">
        <f>IF(CKadeaTelcoClients_Churn[[#This Row],[Type_Forfait]]="pro monde","B2B","B2C")</f>
        <v>B2C</v>
      </c>
      <c r="F203">
        <v>118</v>
      </c>
      <c r="G203">
        <v>72.430000000000007</v>
      </c>
      <c r="H203">
        <v>1</v>
      </c>
      <c r="I203" s="8">
        <f>IF(AND(F203&gt;720,C203&gt;60),70%,
IF(CKadeaTelcoClients_Churn[[#This Row],[Type_Client]]="B2B",10%,
IF(OR(AND(F203&gt;=240,F203&lt;=720),AND(C203&lt;60,D203="Premium 5G 150Go")),45%,0%)))</f>
        <v>0</v>
      </c>
      <c r="J203" s="9">
        <f>CKadeaTelcoClients_Churn[[#This Row],[Remise]]*CKadeaTelcoClients_Churn[[#This Row],[Facture_Mensuelle]]</f>
        <v>0</v>
      </c>
      <c r="K203">
        <v>202</v>
      </c>
    </row>
    <row r="204" spans="1:11" x14ac:dyDescent="0.35">
      <c r="A204" t="s">
        <v>1097</v>
      </c>
      <c r="B204" t="s">
        <v>701</v>
      </c>
      <c r="C204">
        <v>6</v>
      </c>
      <c r="D204" t="s">
        <v>894</v>
      </c>
      <c r="E204" t="str">
        <f>IF(CKadeaTelcoClients_Churn[[#This Row],[Type_Forfait]]="pro monde","B2B","B2C")</f>
        <v>B2B</v>
      </c>
      <c r="F204">
        <v>109</v>
      </c>
      <c r="G204">
        <v>39.880000000000003</v>
      </c>
      <c r="H204">
        <v>4</v>
      </c>
      <c r="I204" s="8">
        <f>IF(AND(F204&gt;720,C204&gt;60),70%,
IF(CKadeaTelcoClients_Churn[[#This Row],[Type_Client]]="B2B",10%,
IF(OR(AND(F204&gt;=240,F204&lt;=720),AND(C204&lt;60,D204="Premium 5G 150Go")),45%,0%)))</f>
        <v>0.1</v>
      </c>
      <c r="J204" s="9">
        <f>CKadeaTelcoClients_Churn[[#This Row],[Remise]]*CKadeaTelcoClients_Churn[[#This Row],[Facture_Mensuelle]]</f>
        <v>3.9880000000000004</v>
      </c>
      <c r="K204">
        <v>203</v>
      </c>
    </row>
    <row r="205" spans="1:11" x14ac:dyDescent="0.35">
      <c r="A205" t="s">
        <v>1098</v>
      </c>
      <c r="B205" t="s">
        <v>722</v>
      </c>
      <c r="C205">
        <v>60</v>
      </c>
      <c r="D205" t="s">
        <v>899</v>
      </c>
      <c r="E205" t="str">
        <f>IF(CKadeaTelcoClients_Churn[[#This Row],[Type_Forfait]]="pro monde","B2B","B2C")</f>
        <v>B2C</v>
      </c>
      <c r="F205">
        <v>54</v>
      </c>
      <c r="G205">
        <v>67.180000000000007</v>
      </c>
      <c r="H205">
        <v>3</v>
      </c>
      <c r="I205" s="8">
        <f>IF(AND(F205&gt;720,C205&gt;60),70%,
IF(CKadeaTelcoClients_Churn[[#This Row],[Type_Client]]="B2B",10%,
IF(OR(AND(F205&gt;=240,F205&lt;=720),AND(C205&lt;60,D205="Premium 5G 150Go")),45%,0%)))</f>
        <v>0</v>
      </c>
      <c r="J205" s="9">
        <f>CKadeaTelcoClients_Churn[[#This Row],[Remise]]*CKadeaTelcoClients_Churn[[#This Row],[Facture_Mensuelle]]</f>
        <v>0</v>
      </c>
      <c r="K205">
        <v>204</v>
      </c>
    </row>
    <row r="206" spans="1:11" x14ac:dyDescent="0.35">
      <c r="A206" t="s">
        <v>1099</v>
      </c>
      <c r="B206" t="s">
        <v>703</v>
      </c>
      <c r="C206">
        <v>4</v>
      </c>
      <c r="D206" t="s">
        <v>897</v>
      </c>
      <c r="E206" t="str">
        <f>IF(CKadeaTelcoClients_Churn[[#This Row],[Type_Forfait]]="pro monde","B2B","B2C")</f>
        <v>B2C</v>
      </c>
      <c r="F206">
        <v>182</v>
      </c>
      <c r="G206">
        <v>89.56</v>
      </c>
      <c r="H206">
        <v>4</v>
      </c>
      <c r="I206" s="8">
        <f>IF(AND(F206&gt;720,C206&gt;60),70%,
IF(CKadeaTelcoClients_Churn[[#This Row],[Type_Client]]="B2B",10%,
IF(OR(AND(F206&gt;=240,F206&lt;=720),AND(C206&lt;60,D206="Premium 5G 150Go")),45%,0%)))</f>
        <v>0</v>
      </c>
      <c r="J206" s="9">
        <f>CKadeaTelcoClients_Churn[[#This Row],[Remise]]*CKadeaTelcoClients_Churn[[#This Row],[Facture_Mensuelle]]</f>
        <v>0</v>
      </c>
      <c r="K206">
        <v>205</v>
      </c>
    </row>
    <row r="207" spans="1:11" x14ac:dyDescent="0.35">
      <c r="A207" t="s">
        <v>1100</v>
      </c>
      <c r="B207" t="s">
        <v>711</v>
      </c>
      <c r="C207">
        <v>10</v>
      </c>
      <c r="D207" t="s">
        <v>897</v>
      </c>
      <c r="E207" t="str">
        <f>IF(CKadeaTelcoClients_Churn[[#This Row],[Type_Forfait]]="pro monde","B2B","B2C")</f>
        <v>B2C</v>
      </c>
      <c r="F207">
        <v>165</v>
      </c>
      <c r="G207">
        <v>38.619999999999997</v>
      </c>
      <c r="H207">
        <v>2</v>
      </c>
      <c r="I207" s="8">
        <f>IF(AND(F207&gt;720,C207&gt;60),70%,
IF(CKadeaTelcoClients_Churn[[#This Row],[Type_Client]]="B2B",10%,
IF(OR(AND(F207&gt;=240,F207&lt;=720),AND(C207&lt;60,D207="Premium 5G 150Go")),45%,0%)))</f>
        <v>0</v>
      </c>
      <c r="J207" s="9">
        <f>CKadeaTelcoClients_Churn[[#This Row],[Remise]]*CKadeaTelcoClients_Churn[[#This Row],[Facture_Mensuelle]]</f>
        <v>0</v>
      </c>
      <c r="K207">
        <v>206</v>
      </c>
    </row>
    <row r="208" spans="1:11" x14ac:dyDescent="0.35">
      <c r="A208" t="s">
        <v>1101</v>
      </c>
      <c r="B208" t="s">
        <v>706</v>
      </c>
      <c r="C208">
        <v>82</v>
      </c>
      <c r="D208" t="s">
        <v>892</v>
      </c>
      <c r="E208" t="str">
        <f>IF(CKadeaTelcoClients_Churn[[#This Row],[Type_Forfait]]="pro monde","B2B","B2C")</f>
        <v>B2C</v>
      </c>
      <c r="F208">
        <v>88</v>
      </c>
      <c r="G208">
        <v>86.64</v>
      </c>
      <c r="H208">
        <v>1</v>
      </c>
      <c r="I208" s="8">
        <f>IF(AND(F208&gt;720,C208&gt;60),70%,
IF(CKadeaTelcoClients_Churn[[#This Row],[Type_Client]]="B2B",10%,
IF(OR(AND(F208&gt;=240,F208&lt;=720),AND(C208&lt;60,D208="Premium 5G 150Go")),45%,0%)))</f>
        <v>0</v>
      </c>
      <c r="J208" s="9">
        <f>CKadeaTelcoClients_Churn[[#This Row],[Remise]]*CKadeaTelcoClients_Churn[[#This Row],[Facture_Mensuelle]]</f>
        <v>0</v>
      </c>
      <c r="K208">
        <v>207</v>
      </c>
    </row>
    <row r="209" spans="1:11" x14ac:dyDescent="0.35">
      <c r="A209" t="s">
        <v>1102</v>
      </c>
      <c r="B209" t="s">
        <v>703</v>
      </c>
      <c r="C209">
        <v>89</v>
      </c>
      <c r="D209" t="s">
        <v>899</v>
      </c>
      <c r="E209" t="str">
        <f>IF(CKadeaTelcoClients_Churn[[#This Row],[Type_Forfait]]="pro monde","B2B","B2C")</f>
        <v>B2C</v>
      </c>
      <c r="F209">
        <v>7</v>
      </c>
      <c r="G209">
        <v>53.39</v>
      </c>
      <c r="H209">
        <v>3</v>
      </c>
      <c r="I209" s="8">
        <f>IF(AND(F209&gt;720,C209&gt;60),70%,
IF(CKadeaTelcoClients_Churn[[#This Row],[Type_Client]]="B2B",10%,
IF(OR(AND(F209&gt;=240,F209&lt;=720),AND(C209&lt;60,D209="Premium 5G 150Go")),45%,0%)))</f>
        <v>0</v>
      </c>
      <c r="J209" s="9">
        <f>CKadeaTelcoClients_Churn[[#This Row],[Remise]]*CKadeaTelcoClients_Churn[[#This Row],[Facture_Mensuelle]]</f>
        <v>0</v>
      </c>
      <c r="K209">
        <v>208</v>
      </c>
    </row>
    <row r="210" spans="1:11" x14ac:dyDescent="0.35">
      <c r="A210" t="s">
        <v>1103</v>
      </c>
      <c r="B210" t="s">
        <v>701</v>
      </c>
      <c r="C210">
        <v>87</v>
      </c>
      <c r="D210" t="s">
        <v>894</v>
      </c>
      <c r="E210" t="str">
        <f>IF(CKadeaTelcoClients_Churn[[#This Row],[Type_Forfait]]="pro monde","B2B","B2C")</f>
        <v>B2B</v>
      </c>
      <c r="F210">
        <v>205</v>
      </c>
      <c r="G210">
        <v>40.159999999999997</v>
      </c>
      <c r="H210">
        <v>5</v>
      </c>
      <c r="I210" s="8">
        <f>IF(AND(F210&gt;720,C210&gt;60),70%,
IF(CKadeaTelcoClients_Churn[[#This Row],[Type_Client]]="B2B",10%,
IF(OR(AND(F210&gt;=240,F210&lt;=720),AND(C210&lt;60,D210="Premium 5G 150Go")),45%,0%)))</f>
        <v>0.1</v>
      </c>
      <c r="J210" s="9">
        <f>CKadeaTelcoClients_Churn[[#This Row],[Remise]]*CKadeaTelcoClients_Churn[[#This Row],[Facture_Mensuelle]]</f>
        <v>4.016</v>
      </c>
      <c r="K210">
        <v>209</v>
      </c>
    </row>
    <row r="211" spans="1:11" x14ac:dyDescent="0.35">
      <c r="A211" t="s">
        <v>1104</v>
      </c>
      <c r="B211" t="s">
        <v>719</v>
      </c>
      <c r="C211">
        <v>96</v>
      </c>
      <c r="D211" t="s">
        <v>892</v>
      </c>
      <c r="E211" t="str">
        <f>IF(CKadeaTelcoClients_Churn[[#This Row],[Type_Forfait]]="pro monde","B2B","B2C")</f>
        <v>B2C</v>
      </c>
      <c r="F211">
        <v>334</v>
      </c>
      <c r="G211">
        <v>64.77</v>
      </c>
      <c r="H211">
        <v>0</v>
      </c>
      <c r="I211" s="8">
        <f>IF(AND(F211&gt;720,C211&gt;60),70%,
IF(CKadeaTelcoClients_Churn[[#This Row],[Type_Client]]="B2B",10%,
IF(OR(AND(F211&gt;=240,F211&lt;=720),AND(C211&lt;60,D211="Premium 5G 150Go")),45%,0%)))</f>
        <v>0.45</v>
      </c>
      <c r="J211" s="9">
        <f>CKadeaTelcoClients_Churn[[#This Row],[Remise]]*CKadeaTelcoClients_Churn[[#This Row],[Facture_Mensuelle]]</f>
        <v>29.1465</v>
      </c>
      <c r="K211">
        <v>210</v>
      </c>
    </row>
    <row r="212" spans="1:11" x14ac:dyDescent="0.35">
      <c r="A212" t="s">
        <v>1105</v>
      </c>
      <c r="B212" t="s">
        <v>711</v>
      </c>
      <c r="C212">
        <v>60</v>
      </c>
      <c r="D212" t="s">
        <v>899</v>
      </c>
      <c r="E212" t="str">
        <f>IF(CKadeaTelcoClients_Churn[[#This Row],[Type_Forfait]]="pro monde","B2B","B2C")</f>
        <v>B2C</v>
      </c>
      <c r="F212">
        <v>161</v>
      </c>
      <c r="G212">
        <v>62.65</v>
      </c>
      <c r="H212">
        <v>0</v>
      </c>
      <c r="I212" s="8">
        <f>IF(AND(F212&gt;720,C212&gt;60),70%,
IF(CKadeaTelcoClients_Churn[[#This Row],[Type_Client]]="B2B",10%,
IF(OR(AND(F212&gt;=240,F212&lt;=720),AND(C212&lt;60,D212="Premium 5G 150Go")),45%,0%)))</f>
        <v>0</v>
      </c>
      <c r="J212" s="9">
        <f>CKadeaTelcoClients_Churn[[#This Row],[Remise]]*CKadeaTelcoClients_Churn[[#This Row],[Facture_Mensuelle]]</f>
        <v>0</v>
      </c>
      <c r="K212">
        <v>211</v>
      </c>
    </row>
    <row r="213" spans="1:11" x14ac:dyDescent="0.35">
      <c r="A213" t="s">
        <v>1106</v>
      </c>
      <c r="B213" t="s">
        <v>675</v>
      </c>
      <c r="C213">
        <v>49</v>
      </c>
      <c r="D213" t="s">
        <v>899</v>
      </c>
      <c r="E213" t="str">
        <f>IF(CKadeaTelcoClients_Churn[[#This Row],[Type_Forfait]]="pro monde","B2B","B2C")</f>
        <v>B2C</v>
      </c>
      <c r="F213">
        <v>6</v>
      </c>
      <c r="G213">
        <v>44.41</v>
      </c>
      <c r="H213">
        <v>3</v>
      </c>
      <c r="I213" s="8">
        <f>IF(AND(F213&gt;720,C213&gt;60),70%,
IF(CKadeaTelcoClients_Churn[[#This Row],[Type_Client]]="B2B",10%,
IF(OR(AND(F213&gt;=240,F213&lt;=720),AND(C213&lt;60,D213="Premium 5G 150Go")),45%,0%)))</f>
        <v>0</v>
      </c>
      <c r="J213" s="9">
        <f>CKadeaTelcoClients_Churn[[#This Row],[Remise]]*CKadeaTelcoClients_Churn[[#This Row],[Facture_Mensuelle]]</f>
        <v>0</v>
      </c>
      <c r="K213">
        <v>212</v>
      </c>
    </row>
    <row r="214" spans="1:11" x14ac:dyDescent="0.35">
      <c r="A214" t="s">
        <v>1107</v>
      </c>
      <c r="B214" t="s">
        <v>696</v>
      </c>
      <c r="C214">
        <v>44</v>
      </c>
      <c r="D214" t="s">
        <v>897</v>
      </c>
      <c r="E214" t="str">
        <f>IF(CKadeaTelcoClients_Churn[[#This Row],[Type_Forfait]]="pro monde","B2B","B2C")</f>
        <v>B2C</v>
      </c>
      <c r="F214">
        <v>199</v>
      </c>
      <c r="G214">
        <v>67.650000000000006</v>
      </c>
      <c r="H214">
        <v>0</v>
      </c>
      <c r="I214" s="8">
        <f>IF(AND(F214&gt;720,C214&gt;60),70%,
IF(CKadeaTelcoClients_Churn[[#This Row],[Type_Client]]="B2B",10%,
IF(OR(AND(F214&gt;=240,F214&lt;=720),AND(C214&lt;60,D214="Premium 5G 150Go")),45%,0%)))</f>
        <v>0</v>
      </c>
      <c r="J214" s="9">
        <f>CKadeaTelcoClients_Churn[[#This Row],[Remise]]*CKadeaTelcoClients_Churn[[#This Row],[Facture_Mensuelle]]</f>
        <v>0</v>
      </c>
      <c r="K214">
        <v>213</v>
      </c>
    </row>
    <row r="215" spans="1:11" x14ac:dyDescent="0.35">
      <c r="A215" t="s">
        <v>1108</v>
      </c>
      <c r="B215" t="s">
        <v>693</v>
      </c>
      <c r="C215">
        <v>96</v>
      </c>
      <c r="D215" t="s">
        <v>899</v>
      </c>
      <c r="E215" t="str">
        <f>IF(CKadeaTelcoClients_Churn[[#This Row],[Type_Forfait]]="pro monde","B2B","B2C")</f>
        <v>B2C</v>
      </c>
      <c r="F215">
        <v>108</v>
      </c>
      <c r="G215">
        <v>30.92</v>
      </c>
      <c r="H215">
        <v>1</v>
      </c>
      <c r="I215" s="8">
        <f>IF(AND(F215&gt;720,C215&gt;60),70%,
IF(CKadeaTelcoClients_Churn[[#This Row],[Type_Client]]="B2B",10%,
IF(OR(AND(F215&gt;=240,F215&lt;=720),AND(C215&lt;60,D215="Premium 5G 150Go")),45%,0%)))</f>
        <v>0</v>
      </c>
      <c r="J215" s="9">
        <f>CKadeaTelcoClients_Churn[[#This Row],[Remise]]*CKadeaTelcoClients_Churn[[#This Row],[Facture_Mensuelle]]</f>
        <v>0</v>
      </c>
      <c r="K215">
        <v>214</v>
      </c>
    </row>
    <row r="216" spans="1:11" x14ac:dyDescent="0.35">
      <c r="A216" t="s">
        <v>1109</v>
      </c>
      <c r="B216" t="s">
        <v>703</v>
      </c>
      <c r="C216">
        <v>52</v>
      </c>
      <c r="D216" t="s">
        <v>894</v>
      </c>
      <c r="E216" t="str">
        <f>IF(CKadeaTelcoClients_Churn[[#This Row],[Type_Forfait]]="pro monde","B2B","B2C")</f>
        <v>B2B</v>
      </c>
      <c r="F216">
        <v>234</v>
      </c>
      <c r="G216">
        <v>62.87</v>
      </c>
      <c r="H216">
        <v>0</v>
      </c>
      <c r="I216" s="8">
        <f>IF(AND(F216&gt;720,C216&gt;60),70%,
IF(CKadeaTelcoClients_Churn[[#This Row],[Type_Client]]="B2B",10%,
IF(OR(AND(F216&gt;=240,F216&lt;=720),AND(C216&lt;60,D216="Premium 5G 150Go")),45%,0%)))</f>
        <v>0.1</v>
      </c>
      <c r="J216" s="9">
        <f>CKadeaTelcoClients_Churn[[#This Row],[Remise]]*CKadeaTelcoClients_Churn[[#This Row],[Facture_Mensuelle]]</f>
        <v>6.2869999999999999</v>
      </c>
      <c r="K216">
        <v>215</v>
      </c>
    </row>
    <row r="217" spans="1:11" x14ac:dyDescent="0.35">
      <c r="A217" t="s">
        <v>1110</v>
      </c>
      <c r="B217" t="s">
        <v>682</v>
      </c>
      <c r="C217">
        <v>110</v>
      </c>
      <c r="D217" t="s">
        <v>897</v>
      </c>
      <c r="E217" t="str">
        <f>IF(CKadeaTelcoClients_Churn[[#This Row],[Type_Forfait]]="pro monde","B2B","B2C")</f>
        <v>B2C</v>
      </c>
      <c r="F217">
        <v>112</v>
      </c>
      <c r="G217">
        <v>98.95</v>
      </c>
      <c r="H217">
        <v>5</v>
      </c>
      <c r="I217" s="8">
        <f>IF(AND(F217&gt;720,C217&gt;60),70%,
IF(CKadeaTelcoClients_Churn[[#This Row],[Type_Client]]="B2B",10%,
IF(OR(AND(F217&gt;=240,F217&lt;=720),AND(C217&lt;60,D217="Premium 5G 150Go")),45%,0%)))</f>
        <v>0</v>
      </c>
      <c r="J217" s="9">
        <f>CKadeaTelcoClients_Churn[[#This Row],[Remise]]*CKadeaTelcoClients_Churn[[#This Row],[Facture_Mensuelle]]</f>
        <v>0</v>
      </c>
      <c r="K217">
        <v>216</v>
      </c>
    </row>
    <row r="218" spans="1:11" x14ac:dyDescent="0.35">
      <c r="A218" t="s">
        <v>1111</v>
      </c>
      <c r="B218" t="s">
        <v>699</v>
      </c>
      <c r="C218">
        <v>25</v>
      </c>
      <c r="D218" t="s">
        <v>897</v>
      </c>
      <c r="E218" t="str">
        <f>IF(CKadeaTelcoClients_Churn[[#This Row],[Type_Forfait]]="pro monde","B2B","B2C")</f>
        <v>B2C</v>
      </c>
      <c r="F218">
        <v>33</v>
      </c>
      <c r="G218">
        <v>30.93</v>
      </c>
      <c r="H218">
        <v>1</v>
      </c>
      <c r="I218" s="8">
        <f>IF(AND(F218&gt;720,C218&gt;60),70%,
IF(CKadeaTelcoClients_Churn[[#This Row],[Type_Client]]="B2B",10%,
IF(OR(AND(F218&gt;=240,F218&lt;=720),AND(C218&lt;60,D218="Premium 5G 150Go")),45%,0%)))</f>
        <v>0</v>
      </c>
      <c r="J218" s="9">
        <f>CKadeaTelcoClients_Churn[[#This Row],[Remise]]*CKadeaTelcoClients_Churn[[#This Row],[Facture_Mensuelle]]</f>
        <v>0</v>
      </c>
      <c r="K218">
        <v>217</v>
      </c>
    </row>
    <row r="219" spans="1:11" x14ac:dyDescent="0.35">
      <c r="A219" t="s">
        <v>1112</v>
      </c>
      <c r="B219" t="s">
        <v>679</v>
      </c>
      <c r="C219">
        <v>51</v>
      </c>
      <c r="D219" t="s">
        <v>894</v>
      </c>
      <c r="E219" t="str">
        <f>IF(CKadeaTelcoClients_Churn[[#This Row],[Type_Forfait]]="pro monde","B2B","B2C")</f>
        <v>B2B</v>
      </c>
      <c r="F219">
        <v>336</v>
      </c>
      <c r="G219">
        <v>65.47</v>
      </c>
      <c r="H219">
        <v>1</v>
      </c>
      <c r="I219" s="8">
        <f>IF(AND(F219&gt;720,C219&gt;60),70%,
IF(CKadeaTelcoClients_Churn[[#This Row],[Type_Client]]="B2B",10%,
IF(OR(AND(F219&gt;=240,F219&lt;=720),AND(C219&lt;60,D219="Premium 5G 150Go")),45%,0%)))</f>
        <v>0.1</v>
      </c>
      <c r="J219" s="9">
        <f>CKadeaTelcoClients_Churn[[#This Row],[Remise]]*CKadeaTelcoClients_Churn[[#This Row],[Facture_Mensuelle]]</f>
        <v>6.5470000000000006</v>
      </c>
      <c r="K219">
        <v>218</v>
      </c>
    </row>
    <row r="220" spans="1:11" x14ac:dyDescent="0.35">
      <c r="A220" t="s">
        <v>1113</v>
      </c>
      <c r="B220" t="s">
        <v>696</v>
      </c>
      <c r="C220">
        <v>5</v>
      </c>
      <c r="D220" t="s">
        <v>892</v>
      </c>
      <c r="E220" t="str">
        <f>IF(CKadeaTelcoClients_Churn[[#This Row],[Type_Forfait]]="pro monde","B2B","B2C")</f>
        <v>B2C</v>
      </c>
      <c r="F220">
        <v>417</v>
      </c>
      <c r="G220">
        <v>90.71</v>
      </c>
      <c r="H220">
        <v>1</v>
      </c>
      <c r="I220" s="8">
        <f>IF(AND(F220&gt;720,C220&gt;60),70%,
IF(CKadeaTelcoClients_Churn[[#This Row],[Type_Client]]="B2B",10%,
IF(OR(AND(F220&gt;=240,F220&lt;=720),AND(C220&lt;60,D220="Premium 5G 150Go")),45%,0%)))</f>
        <v>0.45</v>
      </c>
      <c r="J220" s="9">
        <f>CKadeaTelcoClients_Churn[[#This Row],[Remise]]*CKadeaTelcoClients_Churn[[#This Row],[Facture_Mensuelle]]</f>
        <v>40.819499999999998</v>
      </c>
      <c r="K220">
        <v>219</v>
      </c>
    </row>
    <row r="221" spans="1:11" x14ac:dyDescent="0.35">
      <c r="A221" t="s">
        <v>1114</v>
      </c>
      <c r="B221" t="s">
        <v>682</v>
      </c>
      <c r="C221">
        <v>2</v>
      </c>
      <c r="D221" t="s">
        <v>894</v>
      </c>
      <c r="E221" t="str">
        <f>IF(CKadeaTelcoClients_Churn[[#This Row],[Type_Forfait]]="pro monde","B2B","B2C")</f>
        <v>B2B</v>
      </c>
      <c r="F221">
        <v>142</v>
      </c>
      <c r="G221">
        <v>37.799999999999997</v>
      </c>
      <c r="H221">
        <v>0</v>
      </c>
      <c r="I221" s="8">
        <f>IF(AND(F221&gt;720,C221&gt;60),70%,
IF(CKadeaTelcoClients_Churn[[#This Row],[Type_Client]]="B2B",10%,
IF(OR(AND(F221&gt;=240,F221&lt;=720),AND(C221&lt;60,D221="Premium 5G 150Go")),45%,0%)))</f>
        <v>0.1</v>
      </c>
      <c r="J221" s="9">
        <f>CKadeaTelcoClients_Churn[[#This Row],[Remise]]*CKadeaTelcoClients_Churn[[#This Row],[Facture_Mensuelle]]</f>
        <v>3.78</v>
      </c>
      <c r="K221">
        <v>220</v>
      </c>
    </row>
    <row r="222" spans="1:11" x14ac:dyDescent="0.35">
      <c r="A222" t="s">
        <v>1115</v>
      </c>
      <c r="B222" t="s">
        <v>725</v>
      </c>
      <c r="C222">
        <v>33</v>
      </c>
      <c r="D222" t="s">
        <v>897</v>
      </c>
      <c r="E222" t="str">
        <f>IF(CKadeaTelcoClients_Churn[[#This Row],[Type_Forfait]]="pro monde","B2B","B2C")</f>
        <v>B2C</v>
      </c>
      <c r="F222">
        <v>332</v>
      </c>
      <c r="G222">
        <v>76.41</v>
      </c>
      <c r="H222">
        <v>1</v>
      </c>
      <c r="I222" s="8">
        <f>IF(AND(F222&gt;720,C222&gt;60),70%,
IF(CKadeaTelcoClients_Churn[[#This Row],[Type_Client]]="B2B",10%,
IF(OR(AND(F222&gt;=240,F222&lt;=720),AND(C222&lt;60,D222="Premium 5G 150Go")),45%,0%)))</f>
        <v>0.45</v>
      </c>
      <c r="J222" s="9">
        <f>CKadeaTelcoClients_Churn[[#This Row],[Remise]]*CKadeaTelcoClients_Churn[[#This Row],[Facture_Mensuelle]]</f>
        <v>34.384500000000003</v>
      </c>
      <c r="K222">
        <v>221</v>
      </c>
    </row>
    <row r="223" spans="1:11" x14ac:dyDescent="0.35">
      <c r="A223" t="s">
        <v>1116</v>
      </c>
      <c r="B223" t="s">
        <v>706</v>
      </c>
      <c r="C223">
        <v>15</v>
      </c>
      <c r="D223" t="s">
        <v>897</v>
      </c>
      <c r="E223" t="str">
        <f>IF(CKadeaTelcoClients_Churn[[#This Row],[Type_Forfait]]="pro monde","B2B","B2C")</f>
        <v>B2C</v>
      </c>
      <c r="F223">
        <v>319</v>
      </c>
      <c r="G223">
        <v>78.150000000000006</v>
      </c>
      <c r="H223">
        <v>4</v>
      </c>
      <c r="I223" s="8">
        <f>IF(AND(F223&gt;720,C223&gt;60),70%,
IF(CKadeaTelcoClients_Churn[[#This Row],[Type_Client]]="B2B",10%,
IF(OR(AND(F223&gt;=240,F223&lt;=720),AND(C223&lt;60,D223="Premium 5G 150Go")),45%,0%)))</f>
        <v>0.45</v>
      </c>
      <c r="J223" s="9">
        <f>CKadeaTelcoClients_Churn[[#This Row],[Remise]]*CKadeaTelcoClients_Churn[[#This Row],[Facture_Mensuelle]]</f>
        <v>35.167500000000004</v>
      </c>
      <c r="K223">
        <v>222</v>
      </c>
    </row>
    <row r="224" spans="1:11" x14ac:dyDescent="0.35">
      <c r="A224" t="s">
        <v>1117</v>
      </c>
      <c r="B224" t="s">
        <v>703</v>
      </c>
      <c r="C224">
        <v>91</v>
      </c>
      <c r="D224" t="s">
        <v>897</v>
      </c>
      <c r="E224" t="str">
        <f>IF(CKadeaTelcoClients_Churn[[#This Row],[Type_Forfait]]="pro monde","B2B","B2C")</f>
        <v>B2C</v>
      </c>
      <c r="F224">
        <v>188</v>
      </c>
      <c r="G224">
        <v>65.78</v>
      </c>
      <c r="H224">
        <v>4</v>
      </c>
      <c r="I224" s="8">
        <f>IF(AND(F224&gt;720,C224&gt;60),70%,
IF(CKadeaTelcoClients_Churn[[#This Row],[Type_Client]]="B2B",10%,
IF(OR(AND(F224&gt;=240,F224&lt;=720),AND(C224&lt;60,D224="Premium 5G 150Go")),45%,0%)))</f>
        <v>0</v>
      </c>
      <c r="J224" s="9">
        <f>CKadeaTelcoClients_Churn[[#This Row],[Remise]]*CKadeaTelcoClients_Churn[[#This Row],[Facture_Mensuelle]]</f>
        <v>0</v>
      </c>
      <c r="K224">
        <v>223</v>
      </c>
    </row>
    <row r="225" spans="1:11" x14ac:dyDescent="0.35">
      <c r="A225" t="s">
        <v>1118</v>
      </c>
      <c r="B225" t="s">
        <v>702</v>
      </c>
      <c r="C225">
        <v>118</v>
      </c>
      <c r="D225" t="s">
        <v>894</v>
      </c>
      <c r="E225" t="str">
        <f>IF(CKadeaTelcoClients_Churn[[#This Row],[Type_Forfait]]="pro monde","B2B","B2C")</f>
        <v>B2B</v>
      </c>
      <c r="F225">
        <v>22</v>
      </c>
      <c r="G225">
        <v>15.39</v>
      </c>
      <c r="H225">
        <v>1</v>
      </c>
      <c r="I225" s="8">
        <f>IF(AND(F225&gt;720,C225&gt;60),70%,
IF(CKadeaTelcoClients_Churn[[#This Row],[Type_Client]]="B2B",10%,
IF(OR(AND(F225&gt;=240,F225&lt;=720),AND(C225&lt;60,D225="Premium 5G 150Go")),45%,0%)))</f>
        <v>0.1</v>
      </c>
      <c r="J225" s="9">
        <f>CKadeaTelcoClients_Churn[[#This Row],[Remise]]*CKadeaTelcoClients_Churn[[#This Row],[Facture_Mensuelle]]</f>
        <v>1.5390000000000001</v>
      </c>
      <c r="K225">
        <v>224</v>
      </c>
    </row>
    <row r="226" spans="1:11" x14ac:dyDescent="0.35">
      <c r="A226" t="s">
        <v>1119</v>
      </c>
      <c r="B226" t="s">
        <v>738</v>
      </c>
      <c r="C226">
        <v>18</v>
      </c>
      <c r="D226" t="s">
        <v>899</v>
      </c>
      <c r="E226" t="str">
        <f>IF(CKadeaTelcoClients_Churn[[#This Row],[Type_Forfait]]="pro monde","B2B","B2C")</f>
        <v>B2C</v>
      </c>
      <c r="F226">
        <v>34</v>
      </c>
      <c r="G226">
        <v>43.71</v>
      </c>
      <c r="H226">
        <v>1</v>
      </c>
      <c r="I226" s="8">
        <f>IF(AND(F226&gt;720,C226&gt;60),70%,
IF(CKadeaTelcoClients_Churn[[#This Row],[Type_Client]]="B2B",10%,
IF(OR(AND(F226&gt;=240,F226&lt;=720),AND(C226&lt;60,D226="Premium 5G 150Go")),45%,0%)))</f>
        <v>0</v>
      </c>
      <c r="J226" s="9">
        <f>CKadeaTelcoClients_Churn[[#This Row],[Remise]]*CKadeaTelcoClients_Churn[[#This Row],[Facture_Mensuelle]]</f>
        <v>0</v>
      </c>
      <c r="K226">
        <v>225</v>
      </c>
    </row>
    <row r="227" spans="1:11" x14ac:dyDescent="0.35">
      <c r="A227" t="s">
        <v>1120</v>
      </c>
      <c r="B227" t="s">
        <v>704</v>
      </c>
      <c r="C227">
        <v>42</v>
      </c>
      <c r="D227" t="s">
        <v>899</v>
      </c>
      <c r="E227" t="str">
        <f>IF(CKadeaTelcoClients_Churn[[#This Row],[Type_Forfait]]="pro monde","B2B","B2C")</f>
        <v>B2C</v>
      </c>
      <c r="F227">
        <v>453</v>
      </c>
      <c r="G227">
        <v>36.700000000000003</v>
      </c>
      <c r="H227">
        <v>4</v>
      </c>
      <c r="I227" s="8">
        <f>IF(AND(F227&gt;720,C227&gt;60),70%,
IF(CKadeaTelcoClients_Churn[[#This Row],[Type_Client]]="B2B",10%,
IF(OR(AND(F227&gt;=240,F227&lt;=720),AND(C227&lt;60,D227="Premium 5G 150Go")),45%,0%)))</f>
        <v>0.45</v>
      </c>
      <c r="J227" s="9">
        <f>CKadeaTelcoClients_Churn[[#This Row],[Remise]]*CKadeaTelcoClients_Churn[[#This Row],[Facture_Mensuelle]]</f>
        <v>16.515000000000001</v>
      </c>
      <c r="K227">
        <v>226</v>
      </c>
    </row>
    <row r="228" spans="1:11" x14ac:dyDescent="0.35">
      <c r="A228" t="s">
        <v>1121</v>
      </c>
      <c r="B228" t="s">
        <v>737</v>
      </c>
      <c r="C228">
        <v>86</v>
      </c>
      <c r="D228" t="s">
        <v>892</v>
      </c>
      <c r="E228" t="str">
        <f>IF(CKadeaTelcoClients_Churn[[#This Row],[Type_Forfait]]="pro monde","B2B","B2C")</f>
        <v>B2C</v>
      </c>
      <c r="F228">
        <v>111</v>
      </c>
      <c r="G228">
        <v>23.65</v>
      </c>
      <c r="H228">
        <v>0</v>
      </c>
      <c r="I228" s="8">
        <f>IF(AND(F228&gt;720,C228&gt;60),70%,
IF(CKadeaTelcoClients_Churn[[#This Row],[Type_Client]]="B2B",10%,
IF(OR(AND(F228&gt;=240,F228&lt;=720),AND(C228&lt;60,D228="Premium 5G 150Go")),45%,0%)))</f>
        <v>0</v>
      </c>
      <c r="J228" s="9">
        <f>CKadeaTelcoClients_Churn[[#This Row],[Remise]]*CKadeaTelcoClients_Churn[[#This Row],[Facture_Mensuelle]]</f>
        <v>0</v>
      </c>
      <c r="K228">
        <v>227</v>
      </c>
    </row>
    <row r="229" spans="1:11" x14ac:dyDescent="0.35">
      <c r="A229" t="s">
        <v>1122</v>
      </c>
      <c r="B229" t="s">
        <v>693</v>
      </c>
      <c r="C229">
        <v>96</v>
      </c>
      <c r="D229" t="s">
        <v>899</v>
      </c>
      <c r="E229" t="str">
        <f>IF(CKadeaTelcoClients_Churn[[#This Row],[Type_Forfait]]="pro monde","B2B","B2C")</f>
        <v>B2C</v>
      </c>
      <c r="F229">
        <v>210</v>
      </c>
      <c r="G229">
        <v>28.39</v>
      </c>
      <c r="H229">
        <v>3</v>
      </c>
      <c r="I229" s="8">
        <f>IF(AND(F229&gt;720,C229&gt;60),70%,
IF(CKadeaTelcoClients_Churn[[#This Row],[Type_Client]]="B2B",10%,
IF(OR(AND(F229&gt;=240,F229&lt;=720),AND(C229&lt;60,D229="Premium 5G 150Go")),45%,0%)))</f>
        <v>0</v>
      </c>
      <c r="J229" s="9">
        <f>CKadeaTelcoClients_Churn[[#This Row],[Remise]]*CKadeaTelcoClients_Churn[[#This Row],[Facture_Mensuelle]]</f>
        <v>0</v>
      </c>
      <c r="K229">
        <v>228</v>
      </c>
    </row>
    <row r="230" spans="1:11" x14ac:dyDescent="0.35">
      <c r="A230" t="s">
        <v>1123</v>
      </c>
      <c r="B230" t="s">
        <v>726</v>
      </c>
      <c r="C230">
        <v>60</v>
      </c>
      <c r="D230" t="s">
        <v>899</v>
      </c>
      <c r="E230" t="str">
        <f>IF(CKadeaTelcoClients_Churn[[#This Row],[Type_Forfait]]="pro monde","B2B","B2C")</f>
        <v>B2C</v>
      </c>
      <c r="F230">
        <v>154</v>
      </c>
      <c r="G230">
        <v>13.41</v>
      </c>
      <c r="H230">
        <v>5</v>
      </c>
      <c r="I230" s="8">
        <f>IF(AND(F230&gt;720,C230&gt;60),70%,
IF(CKadeaTelcoClients_Churn[[#This Row],[Type_Client]]="B2B",10%,
IF(OR(AND(F230&gt;=240,F230&lt;=720),AND(C230&lt;60,D230="Premium 5G 150Go")),45%,0%)))</f>
        <v>0</v>
      </c>
      <c r="J230" s="9">
        <f>CKadeaTelcoClients_Churn[[#This Row],[Remise]]*CKadeaTelcoClients_Churn[[#This Row],[Facture_Mensuelle]]</f>
        <v>0</v>
      </c>
      <c r="K230">
        <v>229</v>
      </c>
    </row>
    <row r="231" spans="1:11" x14ac:dyDescent="0.35">
      <c r="A231" t="s">
        <v>1124</v>
      </c>
      <c r="B231" t="s">
        <v>682</v>
      </c>
      <c r="C231">
        <v>63</v>
      </c>
      <c r="D231" t="s">
        <v>897</v>
      </c>
      <c r="E231" t="str">
        <f>IF(CKadeaTelcoClients_Churn[[#This Row],[Type_Forfait]]="pro monde","B2B","B2C")</f>
        <v>B2C</v>
      </c>
      <c r="F231">
        <v>392</v>
      </c>
      <c r="G231">
        <v>93.11</v>
      </c>
      <c r="H231">
        <v>3</v>
      </c>
      <c r="I231" s="8">
        <f>IF(AND(F231&gt;720,C231&gt;60),70%,
IF(CKadeaTelcoClients_Churn[[#This Row],[Type_Client]]="B2B",10%,
IF(OR(AND(F231&gt;=240,F231&lt;=720),AND(C231&lt;60,D231="Premium 5G 150Go")),45%,0%)))</f>
        <v>0.45</v>
      </c>
      <c r="J231" s="9">
        <f>CKadeaTelcoClients_Churn[[#This Row],[Remise]]*CKadeaTelcoClients_Churn[[#This Row],[Facture_Mensuelle]]</f>
        <v>41.899500000000003</v>
      </c>
      <c r="K231">
        <v>230</v>
      </c>
    </row>
    <row r="232" spans="1:11" x14ac:dyDescent="0.35">
      <c r="A232" t="s">
        <v>1125</v>
      </c>
      <c r="B232" t="s">
        <v>719</v>
      </c>
      <c r="C232">
        <v>60</v>
      </c>
      <c r="D232" t="s">
        <v>897</v>
      </c>
      <c r="E232" t="str">
        <f>IF(CKadeaTelcoClients_Churn[[#This Row],[Type_Forfait]]="pro monde","B2B","B2C")</f>
        <v>B2C</v>
      </c>
      <c r="F232">
        <v>306</v>
      </c>
      <c r="G232">
        <v>63.83</v>
      </c>
      <c r="H232">
        <v>2</v>
      </c>
      <c r="I232" s="8">
        <f>IF(AND(F232&gt;720,C232&gt;60),70%,
IF(CKadeaTelcoClients_Churn[[#This Row],[Type_Client]]="B2B",10%,
IF(OR(AND(F232&gt;=240,F232&lt;=720),AND(C232&lt;60,D232="Premium 5G 150Go")),45%,0%)))</f>
        <v>0.45</v>
      </c>
      <c r="J232" s="9">
        <f>CKadeaTelcoClients_Churn[[#This Row],[Remise]]*CKadeaTelcoClients_Churn[[#This Row],[Facture_Mensuelle]]</f>
        <v>28.723500000000001</v>
      </c>
      <c r="K232">
        <v>231</v>
      </c>
    </row>
    <row r="233" spans="1:11" x14ac:dyDescent="0.35">
      <c r="A233" t="s">
        <v>1126</v>
      </c>
      <c r="B233" t="s">
        <v>719</v>
      </c>
      <c r="C233">
        <v>9</v>
      </c>
      <c r="D233" t="s">
        <v>894</v>
      </c>
      <c r="E233" t="str">
        <f>IF(CKadeaTelcoClients_Churn[[#This Row],[Type_Forfait]]="pro monde","B2B","B2C")</f>
        <v>B2B</v>
      </c>
      <c r="F233">
        <v>255</v>
      </c>
      <c r="G233">
        <v>95.13</v>
      </c>
      <c r="H233">
        <v>1</v>
      </c>
      <c r="I233" s="8">
        <f>IF(AND(F233&gt;720,C233&gt;60),70%,
IF(CKadeaTelcoClients_Churn[[#This Row],[Type_Client]]="B2B",10%,
IF(OR(AND(F233&gt;=240,F233&lt;=720),AND(C233&lt;60,D233="Premium 5G 150Go")),45%,0%)))</f>
        <v>0.1</v>
      </c>
      <c r="J233" s="9">
        <f>CKadeaTelcoClients_Churn[[#This Row],[Remise]]*CKadeaTelcoClients_Churn[[#This Row],[Facture_Mensuelle]]</f>
        <v>9.5129999999999999</v>
      </c>
      <c r="K233">
        <v>232</v>
      </c>
    </row>
    <row r="234" spans="1:11" x14ac:dyDescent="0.35">
      <c r="A234" t="s">
        <v>1127</v>
      </c>
      <c r="B234" t="s">
        <v>694</v>
      </c>
      <c r="C234">
        <v>11</v>
      </c>
      <c r="D234" t="s">
        <v>897</v>
      </c>
      <c r="E234" t="str">
        <f>IF(CKadeaTelcoClients_Churn[[#This Row],[Type_Forfait]]="pro monde","B2B","B2C")</f>
        <v>B2C</v>
      </c>
      <c r="F234">
        <v>52</v>
      </c>
      <c r="G234">
        <v>76.53</v>
      </c>
      <c r="H234">
        <v>5</v>
      </c>
      <c r="I234" s="8">
        <f>IF(AND(F234&gt;720,C234&gt;60),70%,
IF(CKadeaTelcoClients_Churn[[#This Row],[Type_Client]]="B2B",10%,
IF(OR(AND(F234&gt;=240,F234&lt;=720),AND(C234&lt;60,D234="Premium 5G 150Go")),45%,0%)))</f>
        <v>0</v>
      </c>
      <c r="J234" s="9">
        <f>CKadeaTelcoClients_Churn[[#This Row],[Remise]]*CKadeaTelcoClients_Churn[[#This Row],[Facture_Mensuelle]]</f>
        <v>0</v>
      </c>
      <c r="K234">
        <v>233</v>
      </c>
    </row>
    <row r="235" spans="1:11" x14ac:dyDescent="0.35">
      <c r="A235" t="s">
        <v>1128</v>
      </c>
      <c r="B235" t="s">
        <v>707</v>
      </c>
      <c r="C235">
        <v>71</v>
      </c>
      <c r="D235" t="s">
        <v>897</v>
      </c>
      <c r="E235" t="str">
        <f>IF(CKadeaTelcoClients_Churn[[#This Row],[Type_Forfait]]="pro monde","B2B","B2C")</f>
        <v>B2C</v>
      </c>
      <c r="F235">
        <v>364</v>
      </c>
      <c r="G235">
        <v>39.58</v>
      </c>
      <c r="H235">
        <v>1</v>
      </c>
      <c r="I235" s="8">
        <f>IF(AND(F235&gt;720,C235&gt;60),70%,
IF(CKadeaTelcoClients_Churn[[#This Row],[Type_Client]]="B2B",10%,
IF(OR(AND(F235&gt;=240,F235&lt;=720),AND(C235&lt;60,D235="Premium 5G 150Go")),45%,0%)))</f>
        <v>0.45</v>
      </c>
      <c r="J235" s="9">
        <f>CKadeaTelcoClients_Churn[[#This Row],[Remise]]*CKadeaTelcoClients_Churn[[#This Row],[Facture_Mensuelle]]</f>
        <v>17.811</v>
      </c>
      <c r="K235">
        <v>234</v>
      </c>
    </row>
    <row r="236" spans="1:11" x14ac:dyDescent="0.35">
      <c r="A236" t="s">
        <v>1129</v>
      </c>
      <c r="B236" t="s">
        <v>711</v>
      </c>
      <c r="C236">
        <v>85</v>
      </c>
      <c r="D236" t="s">
        <v>892</v>
      </c>
      <c r="E236" t="str">
        <f>IF(CKadeaTelcoClients_Churn[[#This Row],[Type_Forfait]]="pro monde","B2B","B2C")</f>
        <v>B2C</v>
      </c>
      <c r="F236">
        <v>274</v>
      </c>
      <c r="G236">
        <v>35.03</v>
      </c>
      <c r="H236">
        <v>1</v>
      </c>
      <c r="I236" s="8">
        <f>IF(AND(F236&gt;720,C236&gt;60),70%,
IF(CKadeaTelcoClients_Churn[[#This Row],[Type_Client]]="B2B",10%,
IF(OR(AND(F236&gt;=240,F236&lt;=720),AND(C236&lt;60,D236="Premium 5G 150Go")),45%,0%)))</f>
        <v>0.45</v>
      </c>
      <c r="J236" s="9">
        <f>CKadeaTelcoClients_Churn[[#This Row],[Remise]]*CKadeaTelcoClients_Churn[[#This Row],[Facture_Mensuelle]]</f>
        <v>15.763500000000001</v>
      </c>
      <c r="K236">
        <v>235</v>
      </c>
    </row>
    <row r="237" spans="1:11" x14ac:dyDescent="0.35">
      <c r="A237" t="s">
        <v>1130</v>
      </c>
      <c r="B237" t="s">
        <v>714</v>
      </c>
      <c r="C237">
        <v>32</v>
      </c>
      <c r="D237" t="s">
        <v>899</v>
      </c>
      <c r="E237" t="str">
        <f>IF(CKadeaTelcoClients_Churn[[#This Row],[Type_Forfait]]="pro monde","B2B","B2C")</f>
        <v>B2C</v>
      </c>
      <c r="F237">
        <v>405</v>
      </c>
      <c r="G237">
        <v>67.92</v>
      </c>
      <c r="H237">
        <v>3</v>
      </c>
      <c r="I237" s="8">
        <f>IF(AND(F237&gt;720,C237&gt;60),70%,
IF(CKadeaTelcoClients_Churn[[#This Row],[Type_Client]]="B2B",10%,
IF(OR(AND(F237&gt;=240,F237&lt;=720),AND(C237&lt;60,D237="Premium 5G 150Go")),45%,0%)))</f>
        <v>0.45</v>
      </c>
      <c r="J237" s="9">
        <f>CKadeaTelcoClients_Churn[[#This Row],[Remise]]*CKadeaTelcoClients_Churn[[#This Row],[Facture_Mensuelle]]</f>
        <v>30.564</v>
      </c>
      <c r="K237">
        <v>236</v>
      </c>
    </row>
    <row r="238" spans="1:11" x14ac:dyDescent="0.35">
      <c r="A238" t="s">
        <v>1131</v>
      </c>
      <c r="B238" t="s">
        <v>704</v>
      </c>
      <c r="C238">
        <v>92</v>
      </c>
      <c r="D238" t="s">
        <v>897</v>
      </c>
      <c r="E238" t="str">
        <f>IF(CKadeaTelcoClients_Churn[[#This Row],[Type_Forfait]]="pro monde","B2B","B2C")</f>
        <v>B2C</v>
      </c>
      <c r="F238">
        <v>472</v>
      </c>
      <c r="G238">
        <v>78.44</v>
      </c>
      <c r="H238">
        <v>1</v>
      </c>
      <c r="I238" s="8">
        <f>IF(AND(F238&gt;720,C238&gt;60),70%,
IF(CKadeaTelcoClients_Churn[[#This Row],[Type_Client]]="B2B",10%,
IF(OR(AND(F238&gt;=240,F238&lt;=720),AND(C238&lt;60,D238="Premium 5G 150Go")),45%,0%)))</f>
        <v>0.45</v>
      </c>
      <c r="J238" s="9">
        <f>CKadeaTelcoClients_Churn[[#This Row],[Remise]]*CKadeaTelcoClients_Churn[[#This Row],[Facture_Mensuelle]]</f>
        <v>35.298000000000002</v>
      </c>
      <c r="K238">
        <v>237</v>
      </c>
    </row>
    <row r="239" spans="1:11" x14ac:dyDescent="0.35">
      <c r="A239" t="s">
        <v>1132</v>
      </c>
      <c r="B239" t="s">
        <v>679</v>
      </c>
      <c r="C239">
        <v>57</v>
      </c>
      <c r="D239" t="s">
        <v>899</v>
      </c>
      <c r="E239" t="str">
        <f>IF(CKadeaTelcoClients_Churn[[#This Row],[Type_Forfait]]="pro monde","B2B","B2C")</f>
        <v>B2C</v>
      </c>
      <c r="F239">
        <v>435</v>
      </c>
      <c r="G239">
        <v>56.88</v>
      </c>
      <c r="H239">
        <v>4</v>
      </c>
      <c r="I239" s="8">
        <f>IF(AND(F239&gt;720,C239&gt;60),70%,
IF(CKadeaTelcoClients_Churn[[#This Row],[Type_Client]]="B2B",10%,
IF(OR(AND(F239&gt;=240,F239&lt;=720),AND(C239&lt;60,D239="Premium 5G 150Go")),45%,0%)))</f>
        <v>0.45</v>
      </c>
      <c r="J239" s="9">
        <f>CKadeaTelcoClients_Churn[[#This Row],[Remise]]*CKadeaTelcoClients_Churn[[#This Row],[Facture_Mensuelle]]</f>
        <v>25.596</v>
      </c>
      <c r="K239">
        <v>238</v>
      </c>
    </row>
    <row r="240" spans="1:11" x14ac:dyDescent="0.35">
      <c r="A240" t="s">
        <v>1133</v>
      </c>
      <c r="B240" t="s">
        <v>700</v>
      </c>
      <c r="C240">
        <v>18</v>
      </c>
      <c r="D240" t="s">
        <v>897</v>
      </c>
      <c r="E240" t="str">
        <f>IF(CKadeaTelcoClients_Churn[[#This Row],[Type_Forfait]]="pro monde","B2B","B2C")</f>
        <v>B2C</v>
      </c>
      <c r="F240">
        <v>291</v>
      </c>
      <c r="G240">
        <v>97.98</v>
      </c>
      <c r="H240">
        <v>1</v>
      </c>
      <c r="I240" s="8">
        <f>IF(AND(F240&gt;720,C240&gt;60),70%,
IF(CKadeaTelcoClients_Churn[[#This Row],[Type_Client]]="B2B",10%,
IF(OR(AND(F240&gt;=240,F240&lt;=720),AND(C240&lt;60,D240="Premium 5G 150Go")),45%,0%)))</f>
        <v>0.45</v>
      </c>
      <c r="J240" s="9">
        <f>CKadeaTelcoClients_Churn[[#This Row],[Remise]]*CKadeaTelcoClients_Churn[[#This Row],[Facture_Mensuelle]]</f>
        <v>44.091000000000001</v>
      </c>
      <c r="K240">
        <v>239</v>
      </c>
    </row>
    <row r="241" spans="1:11" x14ac:dyDescent="0.35">
      <c r="A241" t="s">
        <v>1134</v>
      </c>
      <c r="B241" t="s">
        <v>726</v>
      </c>
      <c r="C241">
        <v>61</v>
      </c>
      <c r="D241" t="s">
        <v>899</v>
      </c>
      <c r="E241" t="str">
        <f>IF(CKadeaTelcoClients_Churn[[#This Row],[Type_Forfait]]="pro monde","B2B","B2C")</f>
        <v>B2C</v>
      </c>
      <c r="F241">
        <v>87</v>
      </c>
      <c r="G241">
        <v>68.319999999999993</v>
      </c>
      <c r="H241">
        <v>2</v>
      </c>
      <c r="I241" s="8">
        <f>IF(AND(F241&gt;720,C241&gt;60),70%,
IF(CKadeaTelcoClients_Churn[[#This Row],[Type_Client]]="B2B",10%,
IF(OR(AND(F241&gt;=240,F241&lt;=720),AND(C241&lt;60,D241="Premium 5G 150Go")),45%,0%)))</f>
        <v>0</v>
      </c>
      <c r="J241" s="9">
        <f>CKadeaTelcoClients_Churn[[#This Row],[Remise]]*CKadeaTelcoClients_Churn[[#This Row],[Facture_Mensuelle]]</f>
        <v>0</v>
      </c>
      <c r="K241">
        <v>240</v>
      </c>
    </row>
    <row r="242" spans="1:11" x14ac:dyDescent="0.35">
      <c r="A242" t="s">
        <v>1135</v>
      </c>
      <c r="B242" t="s">
        <v>714</v>
      </c>
      <c r="C242">
        <v>106</v>
      </c>
      <c r="D242" t="s">
        <v>899</v>
      </c>
      <c r="E242" t="str">
        <f>IF(CKadeaTelcoClients_Churn[[#This Row],[Type_Forfait]]="pro monde","B2B","B2C")</f>
        <v>B2C</v>
      </c>
      <c r="F242">
        <v>128</v>
      </c>
      <c r="G242">
        <v>35.96</v>
      </c>
      <c r="H242">
        <v>2</v>
      </c>
      <c r="I242" s="8">
        <f>IF(AND(F242&gt;720,C242&gt;60),70%,
IF(CKadeaTelcoClients_Churn[[#This Row],[Type_Client]]="B2B",10%,
IF(OR(AND(F242&gt;=240,F242&lt;=720),AND(C242&lt;60,D242="Premium 5G 150Go")),45%,0%)))</f>
        <v>0</v>
      </c>
      <c r="J242" s="9">
        <f>CKadeaTelcoClients_Churn[[#This Row],[Remise]]*CKadeaTelcoClients_Churn[[#This Row],[Facture_Mensuelle]]</f>
        <v>0</v>
      </c>
      <c r="K242">
        <v>241</v>
      </c>
    </row>
    <row r="243" spans="1:11" x14ac:dyDescent="0.35">
      <c r="A243" t="s">
        <v>1136</v>
      </c>
      <c r="B243" t="s">
        <v>679</v>
      </c>
      <c r="C243">
        <v>36</v>
      </c>
      <c r="D243" t="s">
        <v>897</v>
      </c>
      <c r="E243" t="str">
        <f>IF(CKadeaTelcoClients_Churn[[#This Row],[Type_Forfait]]="pro monde","B2B","B2C")</f>
        <v>B2C</v>
      </c>
      <c r="F243">
        <v>491</v>
      </c>
      <c r="G243">
        <v>12.13</v>
      </c>
      <c r="H243">
        <v>4</v>
      </c>
      <c r="I243" s="8">
        <f>IF(AND(F243&gt;720,C243&gt;60),70%,
IF(CKadeaTelcoClients_Churn[[#This Row],[Type_Client]]="B2B",10%,
IF(OR(AND(F243&gt;=240,F243&lt;=720),AND(C243&lt;60,D243="Premium 5G 150Go")),45%,0%)))</f>
        <v>0.45</v>
      </c>
      <c r="J243" s="9">
        <f>CKadeaTelcoClients_Churn[[#This Row],[Remise]]*CKadeaTelcoClients_Churn[[#This Row],[Facture_Mensuelle]]</f>
        <v>5.4585000000000008</v>
      </c>
      <c r="K243">
        <v>242</v>
      </c>
    </row>
    <row r="244" spans="1:11" x14ac:dyDescent="0.35">
      <c r="A244" t="s">
        <v>1137</v>
      </c>
      <c r="B244" t="s">
        <v>685</v>
      </c>
      <c r="C244">
        <v>108</v>
      </c>
      <c r="D244" t="s">
        <v>894</v>
      </c>
      <c r="E244" t="str">
        <f>IF(CKadeaTelcoClients_Churn[[#This Row],[Type_Forfait]]="pro monde","B2B","B2C")</f>
        <v>B2B</v>
      </c>
      <c r="F244">
        <v>48</v>
      </c>
      <c r="G244">
        <v>86.22</v>
      </c>
      <c r="H244">
        <v>3</v>
      </c>
      <c r="I244" s="8">
        <f>IF(AND(F244&gt;720,C244&gt;60),70%,
IF(CKadeaTelcoClients_Churn[[#This Row],[Type_Client]]="B2B",10%,
IF(OR(AND(F244&gt;=240,F244&lt;=720),AND(C244&lt;60,D244="Premium 5G 150Go")),45%,0%)))</f>
        <v>0.1</v>
      </c>
      <c r="J244" s="9">
        <f>CKadeaTelcoClients_Churn[[#This Row],[Remise]]*CKadeaTelcoClients_Churn[[#This Row],[Facture_Mensuelle]]</f>
        <v>8.6219999999999999</v>
      </c>
      <c r="K244">
        <v>243</v>
      </c>
    </row>
    <row r="245" spans="1:11" x14ac:dyDescent="0.35">
      <c r="A245" t="s">
        <v>1138</v>
      </c>
      <c r="B245" t="s">
        <v>714</v>
      </c>
      <c r="C245">
        <v>21</v>
      </c>
      <c r="D245" t="s">
        <v>897</v>
      </c>
      <c r="E245" t="str">
        <f>IF(CKadeaTelcoClients_Churn[[#This Row],[Type_Forfait]]="pro monde","B2B","B2C")</f>
        <v>B2C</v>
      </c>
      <c r="F245">
        <v>307</v>
      </c>
      <c r="G245">
        <v>39.81</v>
      </c>
      <c r="H245">
        <v>5</v>
      </c>
      <c r="I245" s="8">
        <f>IF(AND(F245&gt;720,C245&gt;60),70%,
IF(CKadeaTelcoClients_Churn[[#This Row],[Type_Client]]="B2B",10%,
IF(OR(AND(F245&gt;=240,F245&lt;=720),AND(C245&lt;60,D245="Premium 5G 150Go")),45%,0%)))</f>
        <v>0.45</v>
      </c>
      <c r="J245" s="9">
        <f>CKadeaTelcoClients_Churn[[#This Row],[Remise]]*CKadeaTelcoClients_Churn[[#This Row],[Facture_Mensuelle]]</f>
        <v>17.9145</v>
      </c>
      <c r="K245">
        <v>244</v>
      </c>
    </row>
    <row r="246" spans="1:11" x14ac:dyDescent="0.35">
      <c r="A246" t="s">
        <v>1139</v>
      </c>
      <c r="B246" t="s">
        <v>714</v>
      </c>
      <c r="C246">
        <v>22</v>
      </c>
      <c r="D246" t="s">
        <v>892</v>
      </c>
      <c r="E246" t="str">
        <f>IF(CKadeaTelcoClients_Churn[[#This Row],[Type_Forfait]]="pro monde","B2B","B2C")</f>
        <v>B2C</v>
      </c>
      <c r="F246">
        <v>166</v>
      </c>
      <c r="G246">
        <v>31.8</v>
      </c>
      <c r="H246">
        <v>1</v>
      </c>
      <c r="I246" s="8">
        <f>IF(AND(F246&gt;720,C246&gt;60),70%,
IF(CKadeaTelcoClients_Churn[[#This Row],[Type_Client]]="B2B",10%,
IF(OR(AND(F246&gt;=240,F246&lt;=720),AND(C246&lt;60,D246="Premium 5G 150Go")),45%,0%)))</f>
        <v>0.45</v>
      </c>
      <c r="J246" s="9">
        <f>CKadeaTelcoClients_Churn[[#This Row],[Remise]]*CKadeaTelcoClients_Churn[[#This Row],[Facture_Mensuelle]]</f>
        <v>14.31</v>
      </c>
      <c r="K246">
        <v>245</v>
      </c>
    </row>
    <row r="247" spans="1:11" x14ac:dyDescent="0.35">
      <c r="A247" t="s">
        <v>1140</v>
      </c>
      <c r="B247" t="s">
        <v>688</v>
      </c>
      <c r="C247">
        <v>108</v>
      </c>
      <c r="D247" t="s">
        <v>892</v>
      </c>
      <c r="E247" t="str">
        <f>IF(CKadeaTelcoClients_Churn[[#This Row],[Type_Forfait]]="pro monde","B2B","B2C")</f>
        <v>B2C</v>
      </c>
      <c r="F247">
        <v>323</v>
      </c>
      <c r="G247">
        <v>58.54</v>
      </c>
      <c r="H247">
        <v>2</v>
      </c>
      <c r="I247" s="8">
        <f>IF(AND(F247&gt;720,C247&gt;60),70%,
IF(CKadeaTelcoClients_Churn[[#This Row],[Type_Client]]="B2B",10%,
IF(OR(AND(F247&gt;=240,F247&lt;=720),AND(C247&lt;60,D247="Premium 5G 150Go")),45%,0%)))</f>
        <v>0.45</v>
      </c>
      <c r="J247" s="9">
        <f>CKadeaTelcoClients_Churn[[#This Row],[Remise]]*CKadeaTelcoClients_Churn[[#This Row],[Facture_Mensuelle]]</f>
        <v>26.343</v>
      </c>
      <c r="K247">
        <v>246</v>
      </c>
    </row>
    <row r="248" spans="1:11" x14ac:dyDescent="0.35">
      <c r="A248" t="s">
        <v>1141</v>
      </c>
      <c r="B248" t="s">
        <v>711</v>
      </c>
      <c r="C248">
        <v>3</v>
      </c>
      <c r="D248" t="s">
        <v>899</v>
      </c>
      <c r="E248" t="str">
        <f>IF(CKadeaTelcoClients_Churn[[#This Row],[Type_Forfait]]="pro monde","B2B","B2C")</f>
        <v>B2C</v>
      </c>
      <c r="F248">
        <v>356</v>
      </c>
      <c r="G248">
        <v>91.6</v>
      </c>
      <c r="H248">
        <v>3</v>
      </c>
      <c r="I248" s="8">
        <f>IF(AND(F248&gt;720,C248&gt;60),70%,
IF(CKadeaTelcoClients_Churn[[#This Row],[Type_Client]]="B2B",10%,
IF(OR(AND(F248&gt;=240,F248&lt;=720),AND(C248&lt;60,D248="Premium 5G 150Go")),45%,0%)))</f>
        <v>0.45</v>
      </c>
      <c r="J248" s="9">
        <f>CKadeaTelcoClients_Churn[[#This Row],[Remise]]*CKadeaTelcoClients_Churn[[#This Row],[Facture_Mensuelle]]</f>
        <v>41.22</v>
      </c>
      <c r="K248">
        <v>247</v>
      </c>
    </row>
    <row r="249" spans="1:11" x14ac:dyDescent="0.35">
      <c r="A249" t="s">
        <v>1142</v>
      </c>
      <c r="B249" t="s">
        <v>675</v>
      </c>
      <c r="C249">
        <v>78</v>
      </c>
      <c r="D249" t="s">
        <v>899</v>
      </c>
      <c r="E249" t="str">
        <f>IF(CKadeaTelcoClients_Churn[[#This Row],[Type_Forfait]]="pro monde","B2B","B2C")</f>
        <v>B2C</v>
      </c>
      <c r="F249">
        <v>198</v>
      </c>
      <c r="G249">
        <v>69.849999999999994</v>
      </c>
      <c r="H249">
        <v>0</v>
      </c>
      <c r="I249" s="8">
        <f>IF(AND(F249&gt;720,C249&gt;60),70%,
IF(CKadeaTelcoClients_Churn[[#This Row],[Type_Client]]="B2B",10%,
IF(OR(AND(F249&gt;=240,F249&lt;=720),AND(C249&lt;60,D249="Premium 5G 150Go")),45%,0%)))</f>
        <v>0</v>
      </c>
      <c r="J249" s="9">
        <f>CKadeaTelcoClients_Churn[[#This Row],[Remise]]*CKadeaTelcoClients_Churn[[#This Row],[Facture_Mensuelle]]</f>
        <v>0</v>
      </c>
      <c r="K249">
        <v>248</v>
      </c>
    </row>
    <row r="250" spans="1:11" x14ac:dyDescent="0.35">
      <c r="A250" t="s">
        <v>1143</v>
      </c>
      <c r="B250" t="s">
        <v>703</v>
      </c>
      <c r="C250">
        <v>13</v>
      </c>
      <c r="D250" t="s">
        <v>894</v>
      </c>
      <c r="E250" t="str">
        <f>IF(CKadeaTelcoClients_Churn[[#This Row],[Type_Forfait]]="pro monde","B2B","B2C")</f>
        <v>B2B</v>
      </c>
      <c r="F250">
        <v>347</v>
      </c>
      <c r="G250">
        <v>32.35</v>
      </c>
      <c r="H250">
        <v>2</v>
      </c>
      <c r="I250" s="8">
        <f>IF(AND(F250&gt;720,C250&gt;60),70%,
IF(CKadeaTelcoClients_Churn[[#This Row],[Type_Client]]="B2B",10%,
IF(OR(AND(F250&gt;=240,F250&lt;=720),AND(C250&lt;60,D250="Premium 5G 150Go")),45%,0%)))</f>
        <v>0.1</v>
      </c>
      <c r="J250" s="9">
        <f>CKadeaTelcoClients_Churn[[#This Row],[Remise]]*CKadeaTelcoClients_Churn[[#This Row],[Facture_Mensuelle]]</f>
        <v>3.2350000000000003</v>
      </c>
      <c r="K250">
        <v>249</v>
      </c>
    </row>
    <row r="251" spans="1:11" x14ac:dyDescent="0.35">
      <c r="A251" t="s">
        <v>1144</v>
      </c>
      <c r="B251" t="s">
        <v>702</v>
      </c>
      <c r="C251">
        <v>23</v>
      </c>
      <c r="D251" t="s">
        <v>894</v>
      </c>
      <c r="E251" t="str">
        <f>IF(CKadeaTelcoClients_Churn[[#This Row],[Type_Forfait]]="pro monde","B2B","B2C")</f>
        <v>B2B</v>
      </c>
      <c r="F251">
        <v>473</v>
      </c>
      <c r="G251">
        <v>71.86</v>
      </c>
      <c r="H251">
        <v>3</v>
      </c>
      <c r="I251" s="8">
        <f>IF(AND(F251&gt;720,C251&gt;60),70%,
IF(CKadeaTelcoClients_Churn[[#This Row],[Type_Client]]="B2B",10%,
IF(OR(AND(F251&gt;=240,F251&lt;=720),AND(C251&lt;60,D251="Premium 5G 150Go")),45%,0%)))</f>
        <v>0.1</v>
      </c>
      <c r="J251" s="9">
        <f>CKadeaTelcoClients_Churn[[#This Row],[Remise]]*CKadeaTelcoClients_Churn[[#This Row],[Facture_Mensuelle]]</f>
        <v>7.1859999999999999</v>
      </c>
      <c r="K251">
        <v>250</v>
      </c>
    </row>
    <row r="252" spans="1:11" x14ac:dyDescent="0.35">
      <c r="A252" t="s">
        <v>1145</v>
      </c>
      <c r="B252" t="s">
        <v>711</v>
      </c>
      <c r="C252">
        <v>96</v>
      </c>
      <c r="D252" t="s">
        <v>899</v>
      </c>
      <c r="E252" t="str">
        <f>IF(CKadeaTelcoClients_Churn[[#This Row],[Type_Forfait]]="pro monde","B2B","B2C")</f>
        <v>B2C</v>
      </c>
      <c r="F252">
        <v>290</v>
      </c>
      <c r="G252">
        <v>29</v>
      </c>
      <c r="H252">
        <v>3</v>
      </c>
      <c r="I252" s="8">
        <f>IF(AND(F252&gt;720,C252&gt;60),70%,
IF(CKadeaTelcoClients_Churn[[#This Row],[Type_Client]]="B2B",10%,
IF(OR(AND(F252&gt;=240,F252&lt;=720),AND(C252&lt;60,D252="Premium 5G 150Go")),45%,0%)))</f>
        <v>0.45</v>
      </c>
      <c r="J252" s="9">
        <f>CKadeaTelcoClients_Churn[[#This Row],[Remise]]*CKadeaTelcoClients_Churn[[#This Row],[Facture_Mensuelle]]</f>
        <v>13.05</v>
      </c>
      <c r="K252">
        <v>251</v>
      </c>
    </row>
    <row r="253" spans="1:11" x14ac:dyDescent="0.35">
      <c r="A253" t="s">
        <v>1146</v>
      </c>
      <c r="B253" t="s">
        <v>685</v>
      </c>
      <c r="C253">
        <v>48</v>
      </c>
      <c r="D253" t="s">
        <v>892</v>
      </c>
      <c r="E253" t="str">
        <f>IF(CKadeaTelcoClients_Churn[[#This Row],[Type_Forfait]]="pro monde","B2B","B2C")</f>
        <v>B2C</v>
      </c>
      <c r="F253">
        <v>416</v>
      </c>
      <c r="G253">
        <v>81.260000000000005</v>
      </c>
      <c r="H253">
        <v>5</v>
      </c>
      <c r="I253" s="8">
        <f>IF(AND(F253&gt;720,C253&gt;60),70%,
IF(CKadeaTelcoClients_Churn[[#This Row],[Type_Client]]="B2B",10%,
IF(OR(AND(F253&gt;=240,F253&lt;=720),AND(C253&lt;60,D253="Premium 5G 150Go")),45%,0%)))</f>
        <v>0.45</v>
      </c>
      <c r="J253" s="9">
        <f>CKadeaTelcoClients_Churn[[#This Row],[Remise]]*CKadeaTelcoClients_Churn[[#This Row],[Facture_Mensuelle]]</f>
        <v>36.567</v>
      </c>
      <c r="K253">
        <v>252</v>
      </c>
    </row>
    <row r="254" spans="1:11" x14ac:dyDescent="0.35">
      <c r="A254" t="s">
        <v>1147</v>
      </c>
      <c r="B254" t="s">
        <v>701</v>
      </c>
      <c r="C254">
        <v>50</v>
      </c>
      <c r="D254" t="s">
        <v>894</v>
      </c>
      <c r="E254" t="str">
        <f>IF(CKadeaTelcoClients_Churn[[#This Row],[Type_Forfait]]="pro monde","B2B","B2C")</f>
        <v>B2B</v>
      </c>
      <c r="F254">
        <v>108</v>
      </c>
      <c r="G254">
        <v>43.81</v>
      </c>
      <c r="H254">
        <v>5</v>
      </c>
      <c r="I254" s="8">
        <f>IF(AND(F254&gt;720,C254&gt;60),70%,
IF(CKadeaTelcoClients_Churn[[#This Row],[Type_Client]]="B2B",10%,
IF(OR(AND(F254&gt;=240,F254&lt;=720),AND(C254&lt;60,D254="Premium 5G 150Go")),45%,0%)))</f>
        <v>0.1</v>
      </c>
      <c r="J254" s="9">
        <f>CKadeaTelcoClients_Churn[[#This Row],[Remise]]*CKadeaTelcoClients_Churn[[#This Row],[Facture_Mensuelle]]</f>
        <v>4.3810000000000002</v>
      </c>
      <c r="K254">
        <v>253</v>
      </c>
    </row>
    <row r="255" spans="1:11" x14ac:dyDescent="0.35">
      <c r="A255" t="s">
        <v>1148</v>
      </c>
      <c r="B255" t="s">
        <v>719</v>
      </c>
      <c r="C255">
        <v>63</v>
      </c>
      <c r="D255" t="s">
        <v>899</v>
      </c>
      <c r="E255" t="str">
        <f>IF(CKadeaTelcoClients_Churn[[#This Row],[Type_Forfait]]="pro monde","B2B","B2C")</f>
        <v>B2C</v>
      </c>
      <c r="F255">
        <v>95</v>
      </c>
      <c r="G255">
        <v>56.81</v>
      </c>
      <c r="H255">
        <v>0</v>
      </c>
      <c r="I255" s="8">
        <f>IF(AND(F255&gt;720,C255&gt;60),70%,
IF(CKadeaTelcoClients_Churn[[#This Row],[Type_Client]]="B2B",10%,
IF(OR(AND(F255&gt;=240,F255&lt;=720),AND(C255&lt;60,D255="Premium 5G 150Go")),45%,0%)))</f>
        <v>0</v>
      </c>
      <c r="J255" s="9">
        <f>CKadeaTelcoClients_Churn[[#This Row],[Remise]]*CKadeaTelcoClients_Churn[[#This Row],[Facture_Mensuelle]]</f>
        <v>0</v>
      </c>
      <c r="K255">
        <v>254</v>
      </c>
    </row>
    <row r="256" spans="1:11" x14ac:dyDescent="0.35">
      <c r="A256" t="s">
        <v>1149</v>
      </c>
      <c r="B256" t="s">
        <v>711</v>
      </c>
      <c r="C256">
        <v>40</v>
      </c>
      <c r="D256" t="s">
        <v>892</v>
      </c>
      <c r="E256" t="str">
        <f>IF(CKadeaTelcoClients_Churn[[#This Row],[Type_Forfait]]="pro monde","B2B","B2C")</f>
        <v>B2C</v>
      </c>
      <c r="F256">
        <v>102</v>
      </c>
      <c r="G256">
        <v>96.59</v>
      </c>
      <c r="H256">
        <v>5</v>
      </c>
      <c r="I256" s="8">
        <f>IF(AND(F256&gt;720,C256&gt;60),70%,
IF(CKadeaTelcoClients_Churn[[#This Row],[Type_Client]]="B2B",10%,
IF(OR(AND(F256&gt;=240,F256&lt;=720),AND(C256&lt;60,D256="Premium 5G 150Go")),45%,0%)))</f>
        <v>0.45</v>
      </c>
      <c r="J256" s="9">
        <f>CKadeaTelcoClients_Churn[[#This Row],[Remise]]*CKadeaTelcoClients_Churn[[#This Row],[Facture_Mensuelle]]</f>
        <v>43.465500000000006</v>
      </c>
      <c r="K256">
        <v>255</v>
      </c>
    </row>
    <row r="257" spans="1:11" x14ac:dyDescent="0.35">
      <c r="A257" t="s">
        <v>1150</v>
      </c>
      <c r="B257" t="s">
        <v>714</v>
      </c>
      <c r="C257">
        <v>83</v>
      </c>
      <c r="D257" t="s">
        <v>899</v>
      </c>
      <c r="E257" t="str">
        <f>IF(CKadeaTelcoClients_Churn[[#This Row],[Type_Forfait]]="pro monde","B2B","B2C")</f>
        <v>B2C</v>
      </c>
      <c r="F257">
        <v>30</v>
      </c>
      <c r="G257">
        <v>33.93</v>
      </c>
      <c r="H257">
        <v>3</v>
      </c>
      <c r="I257" s="8">
        <f>IF(AND(F257&gt;720,C257&gt;60),70%,
IF(CKadeaTelcoClients_Churn[[#This Row],[Type_Client]]="B2B",10%,
IF(OR(AND(F257&gt;=240,F257&lt;=720),AND(C257&lt;60,D257="Premium 5G 150Go")),45%,0%)))</f>
        <v>0</v>
      </c>
      <c r="J257" s="9">
        <f>CKadeaTelcoClients_Churn[[#This Row],[Remise]]*CKadeaTelcoClients_Churn[[#This Row],[Facture_Mensuelle]]</f>
        <v>0</v>
      </c>
      <c r="K257">
        <v>256</v>
      </c>
    </row>
    <row r="258" spans="1:11" x14ac:dyDescent="0.35">
      <c r="A258" t="s">
        <v>1151</v>
      </c>
      <c r="B258" t="s">
        <v>716</v>
      </c>
      <c r="C258">
        <v>76</v>
      </c>
      <c r="D258" t="s">
        <v>899</v>
      </c>
      <c r="E258" t="str">
        <f>IF(CKadeaTelcoClients_Churn[[#This Row],[Type_Forfait]]="pro monde","B2B","B2C")</f>
        <v>B2C</v>
      </c>
      <c r="F258">
        <v>383</v>
      </c>
      <c r="G258">
        <v>53.73</v>
      </c>
      <c r="H258">
        <v>2</v>
      </c>
      <c r="I258" s="8">
        <f>IF(AND(F258&gt;720,C258&gt;60),70%,
IF(CKadeaTelcoClients_Churn[[#This Row],[Type_Client]]="B2B",10%,
IF(OR(AND(F258&gt;=240,F258&lt;=720),AND(C258&lt;60,D258="Premium 5G 150Go")),45%,0%)))</f>
        <v>0.45</v>
      </c>
      <c r="J258" s="9">
        <f>CKadeaTelcoClients_Churn[[#This Row],[Remise]]*CKadeaTelcoClients_Churn[[#This Row],[Facture_Mensuelle]]</f>
        <v>24.1785</v>
      </c>
      <c r="K258">
        <v>257</v>
      </c>
    </row>
    <row r="259" spans="1:11" x14ac:dyDescent="0.35">
      <c r="A259" t="s">
        <v>1152</v>
      </c>
      <c r="B259" t="s">
        <v>722</v>
      </c>
      <c r="C259">
        <v>10</v>
      </c>
      <c r="D259" t="s">
        <v>897</v>
      </c>
      <c r="E259" t="str">
        <f>IF(CKadeaTelcoClients_Churn[[#This Row],[Type_Forfait]]="pro monde","B2B","B2C")</f>
        <v>B2C</v>
      </c>
      <c r="F259">
        <v>93</v>
      </c>
      <c r="G259">
        <v>78.12</v>
      </c>
      <c r="H259">
        <v>4</v>
      </c>
      <c r="I259" s="8">
        <f>IF(AND(F259&gt;720,C259&gt;60),70%,
IF(CKadeaTelcoClients_Churn[[#This Row],[Type_Client]]="B2B",10%,
IF(OR(AND(F259&gt;=240,F259&lt;=720),AND(C259&lt;60,D259="Premium 5G 150Go")),45%,0%)))</f>
        <v>0</v>
      </c>
      <c r="J259" s="9">
        <f>CKadeaTelcoClients_Churn[[#This Row],[Remise]]*CKadeaTelcoClients_Churn[[#This Row],[Facture_Mensuelle]]</f>
        <v>0</v>
      </c>
      <c r="K259">
        <v>258</v>
      </c>
    </row>
    <row r="260" spans="1:11" x14ac:dyDescent="0.35">
      <c r="A260" t="s">
        <v>1153</v>
      </c>
      <c r="B260" t="s">
        <v>707</v>
      </c>
      <c r="C260">
        <v>-53</v>
      </c>
      <c r="D260" t="s">
        <v>897</v>
      </c>
      <c r="E260" t="str">
        <f>IF(CKadeaTelcoClients_Churn[[#This Row],[Type_Forfait]]="pro monde","B2B","B2C")</f>
        <v>B2C</v>
      </c>
      <c r="F260">
        <v>414</v>
      </c>
      <c r="G260">
        <v>64.39</v>
      </c>
      <c r="H260">
        <v>1</v>
      </c>
      <c r="I260" s="8">
        <f>IF(AND(F260&gt;720,C260&gt;60),70%,
IF(CKadeaTelcoClients_Churn[[#This Row],[Type_Client]]="B2B",10%,
IF(OR(AND(F260&gt;=240,F260&lt;=720),AND(C260&lt;60,D260="Premium 5G 150Go")),45%,0%)))</f>
        <v>0.45</v>
      </c>
      <c r="J260" s="9">
        <f>CKadeaTelcoClients_Churn[[#This Row],[Remise]]*CKadeaTelcoClients_Churn[[#This Row],[Facture_Mensuelle]]</f>
        <v>28.9755</v>
      </c>
      <c r="K260">
        <v>259</v>
      </c>
    </row>
    <row r="261" spans="1:11" x14ac:dyDescent="0.35">
      <c r="A261" t="s">
        <v>1154</v>
      </c>
      <c r="B261" t="s">
        <v>690</v>
      </c>
      <c r="C261">
        <v>114</v>
      </c>
      <c r="D261" t="s">
        <v>897</v>
      </c>
      <c r="E261" t="str">
        <f>IF(CKadeaTelcoClients_Churn[[#This Row],[Type_Forfait]]="pro monde","B2B","B2C")</f>
        <v>B2C</v>
      </c>
      <c r="F261">
        <v>388</v>
      </c>
      <c r="G261">
        <v>40.29</v>
      </c>
      <c r="H261">
        <v>5</v>
      </c>
      <c r="I261" s="8">
        <f>IF(AND(F261&gt;720,C261&gt;60),70%,
IF(CKadeaTelcoClients_Churn[[#This Row],[Type_Client]]="B2B",10%,
IF(OR(AND(F261&gt;=240,F261&lt;=720),AND(C261&lt;60,D261="Premium 5G 150Go")),45%,0%)))</f>
        <v>0.45</v>
      </c>
      <c r="J261" s="9">
        <f>CKadeaTelcoClients_Churn[[#This Row],[Remise]]*CKadeaTelcoClients_Churn[[#This Row],[Facture_Mensuelle]]</f>
        <v>18.130500000000001</v>
      </c>
      <c r="K261">
        <v>260</v>
      </c>
    </row>
    <row r="262" spans="1:11" x14ac:dyDescent="0.35">
      <c r="A262" t="s">
        <v>1155</v>
      </c>
      <c r="B262" t="s">
        <v>714</v>
      </c>
      <c r="C262">
        <v>5</v>
      </c>
      <c r="D262" t="s">
        <v>894</v>
      </c>
      <c r="E262" t="str">
        <f>IF(CKadeaTelcoClients_Churn[[#This Row],[Type_Forfait]]="pro monde","B2B","B2C")</f>
        <v>B2B</v>
      </c>
      <c r="F262">
        <v>98</v>
      </c>
      <c r="G262">
        <v>71.37</v>
      </c>
      <c r="H262">
        <v>1</v>
      </c>
      <c r="I262" s="8">
        <f>IF(AND(F262&gt;720,C262&gt;60),70%,
IF(CKadeaTelcoClients_Churn[[#This Row],[Type_Client]]="B2B",10%,
IF(OR(AND(F262&gt;=240,F262&lt;=720),AND(C262&lt;60,D262="Premium 5G 150Go")),45%,0%)))</f>
        <v>0.1</v>
      </c>
      <c r="J262" s="9">
        <f>CKadeaTelcoClients_Churn[[#This Row],[Remise]]*CKadeaTelcoClients_Churn[[#This Row],[Facture_Mensuelle]]</f>
        <v>7.1370000000000005</v>
      </c>
      <c r="K262">
        <v>261</v>
      </c>
    </row>
    <row r="263" spans="1:11" x14ac:dyDescent="0.35">
      <c r="A263" t="s">
        <v>1156</v>
      </c>
      <c r="B263" t="s">
        <v>696</v>
      </c>
      <c r="C263">
        <v>118</v>
      </c>
      <c r="D263" t="s">
        <v>894</v>
      </c>
      <c r="E263" t="str">
        <f>IF(CKadeaTelcoClients_Churn[[#This Row],[Type_Forfait]]="pro monde","B2B","B2C")</f>
        <v>B2B</v>
      </c>
      <c r="F263">
        <v>132</v>
      </c>
      <c r="G263">
        <v>40.880000000000003</v>
      </c>
      <c r="H263">
        <v>4</v>
      </c>
      <c r="I263" s="8">
        <f>IF(AND(F263&gt;720,C263&gt;60),70%,
IF(CKadeaTelcoClients_Churn[[#This Row],[Type_Client]]="B2B",10%,
IF(OR(AND(F263&gt;=240,F263&lt;=720),AND(C263&lt;60,D263="Premium 5G 150Go")),45%,0%)))</f>
        <v>0.1</v>
      </c>
      <c r="J263" s="9">
        <f>CKadeaTelcoClients_Churn[[#This Row],[Remise]]*CKadeaTelcoClients_Churn[[#This Row],[Facture_Mensuelle]]</f>
        <v>4.0880000000000001</v>
      </c>
      <c r="K263">
        <v>262</v>
      </c>
    </row>
    <row r="264" spans="1:11" x14ac:dyDescent="0.35">
      <c r="A264" t="s">
        <v>1157</v>
      </c>
      <c r="B264" t="s">
        <v>711</v>
      </c>
      <c r="C264">
        <v>16</v>
      </c>
      <c r="D264" t="s">
        <v>897</v>
      </c>
      <c r="E264" t="str">
        <f>IF(CKadeaTelcoClients_Churn[[#This Row],[Type_Forfait]]="pro monde","B2B","B2C")</f>
        <v>B2C</v>
      </c>
      <c r="F264">
        <v>461</v>
      </c>
      <c r="G264">
        <v>38.369999999999997</v>
      </c>
      <c r="H264">
        <v>4</v>
      </c>
      <c r="I264" s="8">
        <f>IF(AND(F264&gt;720,C264&gt;60),70%,
IF(CKadeaTelcoClients_Churn[[#This Row],[Type_Client]]="B2B",10%,
IF(OR(AND(F264&gt;=240,F264&lt;=720),AND(C264&lt;60,D264="Premium 5G 150Go")),45%,0%)))</f>
        <v>0.45</v>
      </c>
      <c r="J264" s="9">
        <f>CKadeaTelcoClients_Churn[[#This Row],[Remise]]*CKadeaTelcoClients_Churn[[#This Row],[Facture_Mensuelle]]</f>
        <v>17.266500000000001</v>
      </c>
      <c r="K264">
        <v>263</v>
      </c>
    </row>
    <row r="265" spans="1:11" x14ac:dyDescent="0.35">
      <c r="A265" t="s">
        <v>1158</v>
      </c>
      <c r="B265" t="s">
        <v>726</v>
      </c>
      <c r="C265">
        <v>50</v>
      </c>
      <c r="D265" t="s">
        <v>899</v>
      </c>
      <c r="E265" t="str">
        <f>IF(CKadeaTelcoClients_Churn[[#This Row],[Type_Forfait]]="pro monde","B2B","B2C")</f>
        <v>B2C</v>
      </c>
      <c r="F265">
        <v>446</v>
      </c>
      <c r="G265">
        <v>31.56</v>
      </c>
      <c r="H265">
        <v>5</v>
      </c>
      <c r="I265" s="8">
        <f>IF(AND(F265&gt;720,C265&gt;60),70%,
IF(CKadeaTelcoClients_Churn[[#This Row],[Type_Client]]="B2B",10%,
IF(OR(AND(F265&gt;=240,F265&lt;=720),AND(C265&lt;60,D265="Premium 5G 150Go")),45%,0%)))</f>
        <v>0.45</v>
      </c>
      <c r="J265" s="9">
        <f>CKadeaTelcoClients_Churn[[#This Row],[Remise]]*CKadeaTelcoClients_Churn[[#This Row],[Facture_Mensuelle]]</f>
        <v>14.202</v>
      </c>
      <c r="K265">
        <v>264</v>
      </c>
    </row>
    <row r="266" spans="1:11" x14ac:dyDescent="0.35">
      <c r="A266" t="s">
        <v>1159</v>
      </c>
      <c r="B266" t="s">
        <v>714</v>
      </c>
      <c r="C266">
        <v>120</v>
      </c>
      <c r="D266" t="s">
        <v>894</v>
      </c>
      <c r="E266" t="str">
        <f>IF(CKadeaTelcoClients_Churn[[#This Row],[Type_Forfait]]="pro monde","B2B","B2C")</f>
        <v>B2B</v>
      </c>
      <c r="F266">
        <v>209</v>
      </c>
      <c r="G266">
        <v>42.51</v>
      </c>
      <c r="H266">
        <v>4</v>
      </c>
      <c r="I266" s="8">
        <f>IF(AND(F266&gt;720,C266&gt;60),70%,
IF(CKadeaTelcoClients_Churn[[#This Row],[Type_Client]]="B2B",10%,
IF(OR(AND(F266&gt;=240,F266&lt;=720),AND(C266&lt;60,D266="Premium 5G 150Go")),45%,0%)))</f>
        <v>0.1</v>
      </c>
      <c r="J266" s="9">
        <f>CKadeaTelcoClients_Churn[[#This Row],[Remise]]*CKadeaTelcoClients_Churn[[#This Row],[Facture_Mensuelle]]</f>
        <v>4.2510000000000003</v>
      </c>
      <c r="K266">
        <v>265</v>
      </c>
    </row>
    <row r="267" spans="1:11" x14ac:dyDescent="0.35">
      <c r="A267" t="s">
        <v>1160</v>
      </c>
      <c r="B267" t="s">
        <v>737</v>
      </c>
      <c r="C267">
        <v>73</v>
      </c>
      <c r="D267" t="s">
        <v>899</v>
      </c>
      <c r="E267" t="str">
        <f>IF(CKadeaTelcoClients_Churn[[#This Row],[Type_Forfait]]="pro monde","B2B","B2C")</f>
        <v>B2C</v>
      </c>
      <c r="F267">
        <v>225</v>
      </c>
      <c r="G267">
        <v>45.86</v>
      </c>
      <c r="H267">
        <v>0</v>
      </c>
      <c r="I267" s="8">
        <f>IF(AND(F267&gt;720,C267&gt;60),70%,
IF(CKadeaTelcoClients_Churn[[#This Row],[Type_Client]]="B2B",10%,
IF(OR(AND(F267&gt;=240,F267&lt;=720),AND(C267&lt;60,D267="Premium 5G 150Go")),45%,0%)))</f>
        <v>0</v>
      </c>
      <c r="J267" s="9">
        <f>CKadeaTelcoClients_Churn[[#This Row],[Remise]]*CKadeaTelcoClients_Churn[[#This Row],[Facture_Mensuelle]]</f>
        <v>0</v>
      </c>
      <c r="K267">
        <v>266</v>
      </c>
    </row>
    <row r="268" spans="1:11" x14ac:dyDescent="0.35">
      <c r="A268" t="s">
        <v>1161</v>
      </c>
      <c r="B268" t="s">
        <v>701</v>
      </c>
      <c r="C268">
        <v>21</v>
      </c>
      <c r="D268" t="s">
        <v>894</v>
      </c>
      <c r="E268" t="str">
        <f>IF(CKadeaTelcoClients_Churn[[#This Row],[Type_Forfait]]="pro monde","B2B","B2C")</f>
        <v>B2B</v>
      </c>
      <c r="F268">
        <v>320</v>
      </c>
      <c r="G268">
        <v>64.97</v>
      </c>
      <c r="H268">
        <v>1</v>
      </c>
      <c r="I268" s="8">
        <f>IF(AND(F268&gt;720,C268&gt;60),70%,
IF(CKadeaTelcoClients_Churn[[#This Row],[Type_Client]]="B2B",10%,
IF(OR(AND(F268&gt;=240,F268&lt;=720),AND(C268&lt;60,D268="Premium 5G 150Go")),45%,0%)))</f>
        <v>0.1</v>
      </c>
      <c r="J268" s="9">
        <f>CKadeaTelcoClients_Churn[[#This Row],[Remise]]*CKadeaTelcoClients_Churn[[#This Row],[Facture_Mensuelle]]</f>
        <v>6.4969999999999999</v>
      </c>
      <c r="K268">
        <v>267</v>
      </c>
    </row>
    <row r="269" spans="1:11" x14ac:dyDescent="0.35">
      <c r="A269" t="s">
        <v>1162</v>
      </c>
      <c r="B269" t="s">
        <v>704</v>
      </c>
      <c r="C269">
        <v>25</v>
      </c>
      <c r="D269" t="s">
        <v>892</v>
      </c>
      <c r="E269" t="str">
        <f>IF(CKadeaTelcoClients_Churn[[#This Row],[Type_Forfait]]="pro monde","B2B","B2C")</f>
        <v>B2C</v>
      </c>
      <c r="F269">
        <v>467</v>
      </c>
      <c r="G269">
        <v>97.78</v>
      </c>
      <c r="H269">
        <v>3</v>
      </c>
      <c r="I269" s="8">
        <f>IF(AND(F269&gt;720,C269&gt;60),70%,
IF(CKadeaTelcoClients_Churn[[#This Row],[Type_Client]]="B2B",10%,
IF(OR(AND(F269&gt;=240,F269&lt;=720),AND(C269&lt;60,D269="Premium 5G 150Go")),45%,0%)))</f>
        <v>0.45</v>
      </c>
      <c r="J269" s="9">
        <f>CKadeaTelcoClients_Churn[[#This Row],[Remise]]*CKadeaTelcoClients_Churn[[#This Row],[Facture_Mensuelle]]</f>
        <v>44.001000000000005</v>
      </c>
      <c r="K269">
        <v>268</v>
      </c>
    </row>
    <row r="270" spans="1:11" x14ac:dyDescent="0.35">
      <c r="A270" t="s">
        <v>1163</v>
      </c>
      <c r="B270" t="s">
        <v>716</v>
      </c>
      <c r="C270">
        <v>98</v>
      </c>
      <c r="D270" t="s">
        <v>892</v>
      </c>
      <c r="E270" t="str">
        <f>IF(CKadeaTelcoClients_Churn[[#This Row],[Type_Forfait]]="pro monde","B2B","B2C")</f>
        <v>B2C</v>
      </c>
      <c r="F270">
        <v>319</v>
      </c>
      <c r="G270">
        <v>88.58</v>
      </c>
      <c r="H270">
        <v>0</v>
      </c>
      <c r="I270" s="8">
        <f>IF(AND(F270&gt;720,C270&gt;60),70%,
IF(CKadeaTelcoClients_Churn[[#This Row],[Type_Client]]="B2B",10%,
IF(OR(AND(F270&gt;=240,F270&lt;=720),AND(C270&lt;60,D270="Premium 5G 150Go")),45%,0%)))</f>
        <v>0.45</v>
      </c>
      <c r="J270" s="9">
        <f>CKadeaTelcoClients_Churn[[#This Row],[Remise]]*CKadeaTelcoClients_Churn[[#This Row],[Facture_Mensuelle]]</f>
        <v>39.860999999999997</v>
      </c>
      <c r="K270">
        <v>269</v>
      </c>
    </row>
    <row r="271" spans="1:11" x14ac:dyDescent="0.35">
      <c r="A271" t="s">
        <v>1164</v>
      </c>
      <c r="B271" t="s">
        <v>704</v>
      </c>
      <c r="C271">
        <v>56</v>
      </c>
      <c r="D271" t="s">
        <v>894</v>
      </c>
      <c r="E271" t="str">
        <f>IF(CKadeaTelcoClients_Churn[[#This Row],[Type_Forfait]]="pro monde","B2B","B2C")</f>
        <v>B2B</v>
      </c>
      <c r="F271">
        <v>55</v>
      </c>
      <c r="G271">
        <v>82.56</v>
      </c>
      <c r="H271">
        <v>2</v>
      </c>
      <c r="I271" s="8">
        <f>IF(AND(F271&gt;720,C271&gt;60),70%,
IF(CKadeaTelcoClients_Churn[[#This Row],[Type_Client]]="B2B",10%,
IF(OR(AND(F271&gt;=240,F271&lt;=720),AND(C271&lt;60,D271="Premium 5G 150Go")),45%,0%)))</f>
        <v>0.1</v>
      </c>
      <c r="J271" s="9">
        <f>CKadeaTelcoClients_Churn[[#This Row],[Remise]]*CKadeaTelcoClients_Churn[[#This Row],[Facture_Mensuelle]]</f>
        <v>8.2560000000000002</v>
      </c>
      <c r="K271">
        <v>270</v>
      </c>
    </row>
    <row r="272" spans="1:11" x14ac:dyDescent="0.35">
      <c r="A272" t="s">
        <v>1165</v>
      </c>
      <c r="B272" t="s">
        <v>719</v>
      </c>
      <c r="C272">
        <v>33</v>
      </c>
      <c r="D272" t="s">
        <v>892</v>
      </c>
      <c r="E272" t="str">
        <f>IF(CKadeaTelcoClients_Churn[[#This Row],[Type_Forfait]]="pro monde","B2B","B2C")</f>
        <v>B2C</v>
      </c>
      <c r="F272">
        <v>444</v>
      </c>
      <c r="G272">
        <v>10.28</v>
      </c>
      <c r="H272">
        <v>5</v>
      </c>
      <c r="I272" s="8">
        <f>IF(AND(F272&gt;720,C272&gt;60),70%,
IF(CKadeaTelcoClients_Churn[[#This Row],[Type_Client]]="B2B",10%,
IF(OR(AND(F272&gt;=240,F272&lt;=720),AND(C272&lt;60,D272="Premium 5G 150Go")),45%,0%)))</f>
        <v>0.45</v>
      </c>
      <c r="J272" s="9">
        <f>CKadeaTelcoClients_Churn[[#This Row],[Remise]]*CKadeaTelcoClients_Churn[[#This Row],[Facture_Mensuelle]]</f>
        <v>4.6259999999999994</v>
      </c>
      <c r="K272">
        <v>271</v>
      </c>
    </row>
    <row r="273" spans="1:11" x14ac:dyDescent="0.35">
      <c r="A273" t="s">
        <v>1166</v>
      </c>
      <c r="B273" t="s">
        <v>703</v>
      </c>
      <c r="C273">
        <v>99</v>
      </c>
      <c r="D273" t="s">
        <v>894</v>
      </c>
      <c r="E273" t="str">
        <f>IF(CKadeaTelcoClients_Churn[[#This Row],[Type_Forfait]]="pro monde","B2B","B2C")</f>
        <v>B2B</v>
      </c>
      <c r="F273">
        <v>325</v>
      </c>
      <c r="G273">
        <v>88.35</v>
      </c>
      <c r="H273">
        <v>4</v>
      </c>
      <c r="I273" s="8">
        <f>IF(AND(F273&gt;720,C273&gt;60),70%,
IF(CKadeaTelcoClients_Churn[[#This Row],[Type_Client]]="B2B",10%,
IF(OR(AND(F273&gt;=240,F273&lt;=720),AND(C273&lt;60,D273="Premium 5G 150Go")),45%,0%)))</f>
        <v>0.1</v>
      </c>
      <c r="J273" s="9">
        <f>CKadeaTelcoClients_Churn[[#This Row],[Remise]]*CKadeaTelcoClients_Churn[[#This Row],[Facture_Mensuelle]]</f>
        <v>8.8349999999999991</v>
      </c>
      <c r="K273">
        <v>272</v>
      </c>
    </row>
    <row r="274" spans="1:11" x14ac:dyDescent="0.35">
      <c r="A274" t="s">
        <v>1167</v>
      </c>
      <c r="B274" t="s">
        <v>702</v>
      </c>
      <c r="C274">
        <v>117</v>
      </c>
      <c r="D274" t="s">
        <v>897</v>
      </c>
      <c r="E274" t="str">
        <f>IF(CKadeaTelcoClients_Churn[[#This Row],[Type_Forfait]]="pro monde","B2B","B2C")</f>
        <v>B2C</v>
      </c>
      <c r="F274">
        <v>85</v>
      </c>
      <c r="G274">
        <v>46.16</v>
      </c>
      <c r="H274">
        <v>3</v>
      </c>
      <c r="I274" s="8">
        <f>IF(AND(F274&gt;720,C274&gt;60),70%,
IF(CKadeaTelcoClients_Churn[[#This Row],[Type_Client]]="B2B",10%,
IF(OR(AND(F274&gt;=240,F274&lt;=720),AND(C274&lt;60,D274="Premium 5G 150Go")),45%,0%)))</f>
        <v>0</v>
      </c>
      <c r="J274" s="9">
        <f>CKadeaTelcoClients_Churn[[#This Row],[Remise]]*CKadeaTelcoClients_Churn[[#This Row],[Facture_Mensuelle]]</f>
        <v>0</v>
      </c>
      <c r="K274">
        <v>273</v>
      </c>
    </row>
    <row r="275" spans="1:11" x14ac:dyDescent="0.35">
      <c r="A275" t="s">
        <v>1168</v>
      </c>
      <c r="B275" t="s">
        <v>696</v>
      </c>
      <c r="C275">
        <v>97</v>
      </c>
      <c r="D275" t="s">
        <v>897</v>
      </c>
      <c r="E275" t="str">
        <f>IF(CKadeaTelcoClients_Churn[[#This Row],[Type_Forfait]]="pro monde","B2B","B2C")</f>
        <v>B2C</v>
      </c>
      <c r="F275">
        <v>40</v>
      </c>
      <c r="G275">
        <v>85.19</v>
      </c>
      <c r="H275">
        <v>1</v>
      </c>
      <c r="I275" s="8">
        <f>IF(AND(F275&gt;720,C275&gt;60),70%,
IF(CKadeaTelcoClients_Churn[[#This Row],[Type_Client]]="B2B",10%,
IF(OR(AND(F275&gt;=240,F275&lt;=720),AND(C275&lt;60,D275="Premium 5G 150Go")),45%,0%)))</f>
        <v>0</v>
      </c>
      <c r="J275" s="9">
        <f>CKadeaTelcoClients_Churn[[#This Row],[Remise]]*CKadeaTelcoClients_Churn[[#This Row],[Facture_Mensuelle]]</f>
        <v>0</v>
      </c>
      <c r="K275">
        <v>274</v>
      </c>
    </row>
    <row r="276" spans="1:11" x14ac:dyDescent="0.35">
      <c r="A276" t="s">
        <v>1169</v>
      </c>
      <c r="B276" t="s">
        <v>675</v>
      </c>
      <c r="C276">
        <v>93</v>
      </c>
      <c r="D276" t="s">
        <v>892</v>
      </c>
      <c r="E276" t="str">
        <f>IF(CKadeaTelcoClients_Churn[[#This Row],[Type_Forfait]]="pro monde","B2B","B2C")</f>
        <v>B2C</v>
      </c>
      <c r="F276">
        <v>150</v>
      </c>
      <c r="G276">
        <v>93.25</v>
      </c>
      <c r="H276">
        <v>3</v>
      </c>
      <c r="I276" s="8">
        <f>IF(AND(F276&gt;720,C276&gt;60),70%,
IF(CKadeaTelcoClients_Churn[[#This Row],[Type_Client]]="B2B",10%,
IF(OR(AND(F276&gt;=240,F276&lt;=720),AND(C276&lt;60,D276="Premium 5G 150Go")),45%,0%)))</f>
        <v>0</v>
      </c>
      <c r="J276" s="9">
        <f>CKadeaTelcoClients_Churn[[#This Row],[Remise]]*CKadeaTelcoClients_Churn[[#This Row],[Facture_Mensuelle]]</f>
        <v>0</v>
      </c>
      <c r="K276">
        <v>275</v>
      </c>
    </row>
    <row r="277" spans="1:11" x14ac:dyDescent="0.35">
      <c r="A277" t="s">
        <v>1170</v>
      </c>
      <c r="B277" t="s">
        <v>737</v>
      </c>
      <c r="C277">
        <v>45</v>
      </c>
      <c r="D277" t="s">
        <v>899</v>
      </c>
      <c r="E277" t="str">
        <f>IF(CKadeaTelcoClients_Churn[[#This Row],[Type_Forfait]]="pro monde","B2B","B2C")</f>
        <v>B2C</v>
      </c>
      <c r="F277">
        <v>43</v>
      </c>
      <c r="G277">
        <v>12.31</v>
      </c>
      <c r="H277">
        <v>0</v>
      </c>
      <c r="I277" s="8">
        <f>IF(AND(F277&gt;720,C277&gt;60),70%,
IF(CKadeaTelcoClients_Churn[[#This Row],[Type_Client]]="B2B",10%,
IF(OR(AND(F277&gt;=240,F277&lt;=720),AND(C277&lt;60,D277="Premium 5G 150Go")),45%,0%)))</f>
        <v>0</v>
      </c>
      <c r="J277" s="9">
        <f>CKadeaTelcoClients_Churn[[#This Row],[Remise]]*CKadeaTelcoClients_Churn[[#This Row],[Facture_Mensuelle]]</f>
        <v>0</v>
      </c>
      <c r="K277">
        <v>276</v>
      </c>
    </row>
    <row r="278" spans="1:11" x14ac:dyDescent="0.35">
      <c r="A278" t="s">
        <v>1171</v>
      </c>
      <c r="B278" t="s">
        <v>675</v>
      </c>
      <c r="C278">
        <v>66</v>
      </c>
      <c r="D278" t="s">
        <v>892</v>
      </c>
      <c r="E278" t="str">
        <f>IF(CKadeaTelcoClients_Churn[[#This Row],[Type_Forfait]]="pro monde","B2B","B2C")</f>
        <v>B2C</v>
      </c>
      <c r="F278">
        <v>193</v>
      </c>
      <c r="G278">
        <v>21.06</v>
      </c>
      <c r="H278">
        <v>3</v>
      </c>
      <c r="I278" s="8">
        <f>IF(AND(F278&gt;720,C278&gt;60),70%,
IF(CKadeaTelcoClients_Churn[[#This Row],[Type_Client]]="B2B",10%,
IF(OR(AND(F278&gt;=240,F278&lt;=720),AND(C278&lt;60,D278="Premium 5G 150Go")),45%,0%)))</f>
        <v>0</v>
      </c>
      <c r="J278" s="9">
        <f>CKadeaTelcoClients_Churn[[#This Row],[Remise]]*CKadeaTelcoClients_Churn[[#This Row],[Facture_Mensuelle]]</f>
        <v>0</v>
      </c>
      <c r="K278">
        <v>277</v>
      </c>
    </row>
    <row r="279" spans="1:11" x14ac:dyDescent="0.35">
      <c r="A279" t="s">
        <v>1172</v>
      </c>
      <c r="B279" t="s">
        <v>737</v>
      </c>
      <c r="C279">
        <v>91</v>
      </c>
      <c r="D279" t="s">
        <v>899</v>
      </c>
      <c r="E279" t="str">
        <f>IF(CKadeaTelcoClients_Churn[[#This Row],[Type_Forfait]]="pro monde","B2B","B2C")</f>
        <v>B2C</v>
      </c>
      <c r="F279">
        <v>63</v>
      </c>
      <c r="G279">
        <v>57.76</v>
      </c>
      <c r="H279">
        <v>5</v>
      </c>
      <c r="I279" s="8">
        <f>IF(AND(F279&gt;720,C279&gt;60),70%,
IF(CKadeaTelcoClients_Churn[[#This Row],[Type_Client]]="B2B",10%,
IF(OR(AND(F279&gt;=240,F279&lt;=720),AND(C279&lt;60,D279="Premium 5G 150Go")),45%,0%)))</f>
        <v>0</v>
      </c>
      <c r="J279" s="9">
        <f>CKadeaTelcoClients_Churn[[#This Row],[Remise]]*CKadeaTelcoClients_Churn[[#This Row],[Facture_Mensuelle]]</f>
        <v>0</v>
      </c>
      <c r="K279">
        <v>278</v>
      </c>
    </row>
    <row r="280" spans="1:11" x14ac:dyDescent="0.35">
      <c r="A280" t="s">
        <v>1173</v>
      </c>
      <c r="B280" t="s">
        <v>696</v>
      </c>
      <c r="C280">
        <v>63</v>
      </c>
      <c r="D280" t="s">
        <v>894</v>
      </c>
      <c r="E280" t="str">
        <f>IF(CKadeaTelcoClients_Churn[[#This Row],[Type_Forfait]]="pro monde","B2B","B2C")</f>
        <v>B2B</v>
      </c>
      <c r="F280">
        <v>141</v>
      </c>
      <c r="G280">
        <v>95.6</v>
      </c>
      <c r="H280">
        <v>4</v>
      </c>
      <c r="I280" s="8">
        <f>IF(AND(F280&gt;720,C280&gt;60),70%,
IF(CKadeaTelcoClients_Churn[[#This Row],[Type_Client]]="B2B",10%,
IF(OR(AND(F280&gt;=240,F280&lt;=720),AND(C280&lt;60,D280="Premium 5G 150Go")),45%,0%)))</f>
        <v>0.1</v>
      </c>
      <c r="J280" s="9">
        <f>CKadeaTelcoClients_Churn[[#This Row],[Remise]]*CKadeaTelcoClients_Churn[[#This Row],[Facture_Mensuelle]]</f>
        <v>9.56</v>
      </c>
      <c r="K280">
        <v>279</v>
      </c>
    </row>
    <row r="281" spans="1:11" x14ac:dyDescent="0.35">
      <c r="A281" t="s">
        <v>1174</v>
      </c>
      <c r="B281" t="s">
        <v>704</v>
      </c>
      <c r="C281">
        <v>82</v>
      </c>
      <c r="D281" t="s">
        <v>892</v>
      </c>
      <c r="E281" t="str">
        <f>IF(CKadeaTelcoClients_Churn[[#This Row],[Type_Forfait]]="pro monde","B2B","B2C")</f>
        <v>B2C</v>
      </c>
      <c r="F281">
        <v>32</v>
      </c>
      <c r="G281">
        <v>77.63</v>
      </c>
      <c r="H281">
        <v>1</v>
      </c>
      <c r="I281" s="8">
        <f>IF(AND(F281&gt;720,C281&gt;60),70%,
IF(CKadeaTelcoClients_Churn[[#This Row],[Type_Client]]="B2B",10%,
IF(OR(AND(F281&gt;=240,F281&lt;=720),AND(C281&lt;60,D281="Premium 5G 150Go")),45%,0%)))</f>
        <v>0</v>
      </c>
      <c r="J281" s="9">
        <f>CKadeaTelcoClients_Churn[[#This Row],[Remise]]*CKadeaTelcoClients_Churn[[#This Row],[Facture_Mensuelle]]</f>
        <v>0</v>
      </c>
      <c r="K281">
        <v>280</v>
      </c>
    </row>
    <row r="282" spans="1:11" x14ac:dyDescent="0.35">
      <c r="A282" t="s">
        <v>1175</v>
      </c>
      <c r="B282" t="s">
        <v>701</v>
      </c>
      <c r="C282">
        <v>89</v>
      </c>
      <c r="D282" t="s">
        <v>897</v>
      </c>
      <c r="E282" t="str">
        <f>IF(CKadeaTelcoClients_Churn[[#This Row],[Type_Forfait]]="pro monde","B2B","B2C")</f>
        <v>B2C</v>
      </c>
      <c r="F282">
        <v>175</v>
      </c>
      <c r="G282">
        <v>32.369999999999997</v>
      </c>
      <c r="H282">
        <v>1</v>
      </c>
      <c r="I282" s="8">
        <f>IF(AND(F282&gt;720,C282&gt;60),70%,
IF(CKadeaTelcoClients_Churn[[#This Row],[Type_Client]]="B2B",10%,
IF(OR(AND(F282&gt;=240,F282&lt;=720),AND(C282&lt;60,D282="Premium 5G 150Go")),45%,0%)))</f>
        <v>0</v>
      </c>
      <c r="J282" s="9">
        <f>CKadeaTelcoClients_Churn[[#This Row],[Remise]]*CKadeaTelcoClients_Churn[[#This Row],[Facture_Mensuelle]]</f>
        <v>0</v>
      </c>
      <c r="K282">
        <v>281</v>
      </c>
    </row>
    <row r="283" spans="1:11" x14ac:dyDescent="0.35">
      <c r="A283" t="s">
        <v>1176</v>
      </c>
      <c r="B283" t="s">
        <v>707</v>
      </c>
      <c r="C283">
        <v>48</v>
      </c>
      <c r="D283" t="s">
        <v>899</v>
      </c>
      <c r="E283" t="str">
        <f>IF(CKadeaTelcoClients_Churn[[#This Row],[Type_Forfait]]="pro monde","B2B","B2C")</f>
        <v>B2C</v>
      </c>
      <c r="F283">
        <v>15</v>
      </c>
      <c r="G283">
        <v>50.67</v>
      </c>
      <c r="H283">
        <v>1</v>
      </c>
      <c r="I283" s="8">
        <f>IF(AND(F283&gt;720,C283&gt;60),70%,
IF(CKadeaTelcoClients_Churn[[#This Row],[Type_Client]]="B2B",10%,
IF(OR(AND(F283&gt;=240,F283&lt;=720),AND(C283&lt;60,D283="Premium 5G 150Go")),45%,0%)))</f>
        <v>0</v>
      </c>
      <c r="J283" s="9">
        <f>CKadeaTelcoClients_Churn[[#This Row],[Remise]]*CKadeaTelcoClients_Churn[[#This Row],[Facture_Mensuelle]]</f>
        <v>0</v>
      </c>
      <c r="K283">
        <v>282</v>
      </c>
    </row>
    <row r="284" spans="1:11" x14ac:dyDescent="0.35">
      <c r="A284" t="s">
        <v>1177</v>
      </c>
      <c r="B284" t="s">
        <v>726</v>
      </c>
      <c r="C284">
        <v>90</v>
      </c>
      <c r="D284" t="s">
        <v>894</v>
      </c>
      <c r="E284" t="str">
        <f>IF(CKadeaTelcoClients_Churn[[#This Row],[Type_Forfait]]="pro monde","B2B","B2C")</f>
        <v>B2B</v>
      </c>
      <c r="F284">
        <v>299</v>
      </c>
      <c r="G284">
        <v>71.760000000000005</v>
      </c>
      <c r="H284">
        <v>1</v>
      </c>
      <c r="I284" s="8">
        <f>IF(AND(F284&gt;720,C284&gt;60),70%,
IF(CKadeaTelcoClients_Churn[[#This Row],[Type_Client]]="B2B",10%,
IF(OR(AND(F284&gt;=240,F284&lt;=720),AND(C284&lt;60,D284="Premium 5G 150Go")),45%,0%)))</f>
        <v>0.1</v>
      </c>
      <c r="J284" s="9">
        <f>CKadeaTelcoClients_Churn[[#This Row],[Remise]]*CKadeaTelcoClients_Churn[[#This Row],[Facture_Mensuelle]]</f>
        <v>7.176000000000001</v>
      </c>
      <c r="K284">
        <v>283</v>
      </c>
    </row>
    <row r="285" spans="1:11" x14ac:dyDescent="0.35">
      <c r="A285" t="s">
        <v>1178</v>
      </c>
      <c r="B285" t="s">
        <v>688</v>
      </c>
      <c r="C285">
        <v>8</v>
      </c>
      <c r="D285" t="s">
        <v>897</v>
      </c>
      <c r="E285" t="str">
        <f>IF(CKadeaTelcoClients_Churn[[#This Row],[Type_Forfait]]="pro monde","B2B","B2C")</f>
        <v>B2C</v>
      </c>
      <c r="F285">
        <v>120</v>
      </c>
      <c r="G285">
        <v>88.29</v>
      </c>
      <c r="H285">
        <v>5</v>
      </c>
      <c r="I285" s="8">
        <f>IF(AND(F285&gt;720,C285&gt;60),70%,
IF(CKadeaTelcoClients_Churn[[#This Row],[Type_Client]]="B2B",10%,
IF(OR(AND(F285&gt;=240,F285&lt;=720),AND(C285&lt;60,D285="Premium 5G 150Go")),45%,0%)))</f>
        <v>0</v>
      </c>
      <c r="J285" s="9">
        <f>CKadeaTelcoClients_Churn[[#This Row],[Remise]]*CKadeaTelcoClients_Churn[[#This Row],[Facture_Mensuelle]]</f>
        <v>0</v>
      </c>
      <c r="K285">
        <v>284</v>
      </c>
    </row>
    <row r="286" spans="1:11" x14ac:dyDescent="0.35">
      <c r="A286" t="s">
        <v>1179</v>
      </c>
      <c r="B286" t="s">
        <v>716</v>
      </c>
      <c r="C286">
        <v>84</v>
      </c>
      <c r="D286" t="s">
        <v>897</v>
      </c>
      <c r="E286" t="str">
        <f>IF(CKadeaTelcoClients_Churn[[#This Row],[Type_Forfait]]="pro monde","B2B","B2C")</f>
        <v>B2C</v>
      </c>
      <c r="F286">
        <v>244</v>
      </c>
      <c r="G286">
        <v>56.34</v>
      </c>
      <c r="H286">
        <v>5</v>
      </c>
      <c r="I286" s="8">
        <f>IF(AND(F286&gt;720,C286&gt;60),70%,
IF(CKadeaTelcoClients_Churn[[#This Row],[Type_Client]]="B2B",10%,
IF(OR(AND(F286&gt;=240,F286&lt;=720),AND(C286&lt;60,D286="Premium 5G 150Go")),45%,0%)))</f>
        <v>0.45</v>
      </c>
      <c r="J286" s="9">
        <f>CKadeaTelcoClients_Churn[[#This Row],[Remise]]*CKadeaTelcoClients_Churn[[#This Row],[Facture_Mensuelle]]</f>
        <v>25.353000000000002</v>
      </c>
      <c r="K286">
        <v>285</v>
      </c>
    </row>
    <row r="287" spans="1:11" x14ac:dyDescent="0.35">
      <c r="A287" t="s">
        <v>1180</v>
      </c>
      <c r="B287" t="s">
        <v>682</v>
      </c>
      <c r="C287">
        <v>50</v>
      </c>
      <c r="D287" t="s">
        <v>897</v>
      </c>
      <c r="E287" t="str">
        <f>IF(CKadeaTelcoClients_Churn[[#This Row],[Type_Forfait]]="pro monde","B2B","B2C")</f>
        <v>B2C</v>
      </c>
      <c r="F287">
        <v>248</v>
      </c>
      <c r="G287">
        <v>69.42</v>
      </c>
      <c r="H287">
        <v>0</v>
      </c>
      <c r="I287" s="8">
        <f>IF(AND(F287&gt;720,C287&gt;60),70%,
IF(CKadeaTelcoClients_Churn[[#This Row],[Type_Client]]="B2B",10%,
IF(OR(AND(F287&gt;=240,F287&lt;=720),AND(C287&lt;60,D287="Premium 5G 150Go")),45%,0%)))</f>
        <v>0.45</v>
      </c>
      <c r="J287" s="9">
        <f>CKadeaTelcoClients_Churn[[#This Row],[Remise]]*CKadeaTelcoClients_Churn[[#This Row],[Facture_Mensuelle]]</f>
        <v>31.239000000000001</v>
      </c>
      <c r="K287">
        <v>286</v>
      </c>
    </row>
    <row r="288" spans="1:11" x14ac:dyDescent="0.35">
      <c r="A288" t="s">
        <v>1181</v>
      </c>
      <c r="B288" t="s">
        <v>707</v>
      </c>
      <c r="C288">
        <v>119</v>
      </c>
      <c r="D288" t="s">
        <v>894</v>
      </c>
      <c r="E288" t="str">
        <f>IF(CKadeaTelcoClients_Churn[[#This Row],[Type_Forfait]]="pro monde","B2B","B2C")</f>
        <v>B2B</v>
      </c>
      <c r="F288">
        <v>344</v>
      </c>
      <c r="G288">
        <v>10.28</v>
      </c>
      <c r="H288">
        <v>0</v>
      </c>
      <c r="I288" s="8">
        <f>IF(AND(F288&gt;720,C288&gt;60),70%,
IF(CKadeaTelcoClients_Churn[[#This Row],[Type_Client]]="B2B",10%,
IF(OR(AND(F288&gt;=240,F288&lt;=720),AND(C288&lt;60,D288="Premium 5G 150Go")),45%,0%)))</f>
        <v>0.1</v>
      </c>
      <c r="J288" s="9">
        <f>CKadeaTelcoClients_Churn[[#This Row],[Remise]]*CKadeaTelcoClients_Churn[[#This Row],[Facture_Mensuelle]]</f>
        <v>1.028</v>
      </c>
      <c r="K288">
        <v>287</v>
      </c>
    </row>
    <row r="289" spans="1:11" x14ac:dyDescent="0.35">
      <c r="A289" t="s">
        <v>1182</v>
      </c>
      <c r="B289" t="s">
        <v>694</v>
      </c>
      <c r="C289">
        <v>55</v>
      </c>
      <c r="D289" t="s">
        <v>894</v>
      </c>
      <c r="E289" t="str">
        <f>IF(CKadeaTelcoClients_Churn[[#This Row],[Type_Forfait]]="pro monde","B2B","B2C")</f>
        <v>B2B</v>
      </c>
      <c r="F289">
        <v>389</v>
      </c>
      <c r="G289">
        <v>67.430000000000007</v>
      </c>
      <c r="H289">
        <v>3</v>
      </c>
      <c r="I289" s="8">
        <f>IF(AND(F289&gt;720,C289&gt;60),70%,
IF(CKadeaTelcoClients_Churn[[#This Row],[Type_Client]]="B2B",10%,
IF(OR(AND(F289&gt;=240,F289&lt;=720),AND(C289&lt;60,D289="Premium 5G 150Go")),45%,0%)))</f>
        <v>0.1</v>
      </c>
      <c r="J289" s="9">
        <f>CKadeaTelcoClients_Churn[[#This Row],[Remise]]*CKadeaTelcoClients_Churn[[#This Row],[Facture_Mensuelle]]</f>
        <v>6.7430000000000012</v>
      </c>
      <c r="K289">
        <v>288</v>
      </c>
    </row>
    <row r="290" spans="1:11" x14ac:dyDescent="0.35">
      <c r="A290" t="s">
        <v>1183</v>
      </c>
      <c r="B290" t="s">
        <v>716</v>
      </c>
      <c r="C290">
        <v>95</v>
      </c>
      <c r="D290" t="s">
        <v>892</v>
      </c>
      <c r="E290" t="str">
        <f>IF(CKadeaTelcoClients_Churn[[#This Row],[Type_Forfait]]="pro monde","B2B","B2C")</f>
        <v>B2C</v>
      </c>
      <c r="F290">
        <v>51</v>
      </c>
      <c r="G290">
        <v>94.77</v>
      </c>
      <c r="H290">
        <v>5</v>
      </c>
      <c r="I290" s="8">
        <f>IF(AND(F290&gt;720,C290&gt;60),70%,
IF(CKadeaTelcoClients_Churn[[#This Row],[Type_Client]]="B2B",10%,
IF(OR(AND(F290&gt;=240,F290&lt;=720),AND(C290&lt;60,D290="Premium 5G 150Go")),45%,0%)))</f>
        <v>0</v>
      </c>
      <c r="J290" s="9">
        <f>CKadeaTelcoClients_Churn[[#This Row],[Remise]]*CKadeaTelcoClients_Churn[[#This Row],[Facture_Mensuelle]]</f>
        <v>0</v>
      </c>
      <c r="K290">
        <v>289</v>
      </c>
    </row>
    <row r="291" spans="1:11" x14ac:dyDescent="0.35">
      <c r="A291" t="s">
        <v>1184</v>
      </c>
      <c r="B291" t="s">
        <v>694</v>
      </c>
      <c r="C291">
        <v>32</v>
      </c>
      <c r="D291" t="s">
        <v>894</v>
      </c>
      <c r="E291" t="str">
        <f>IF(CKadeaTelcoClients_Churn[[#This Row],[Type_Forfait]]="pro monde","B2B","B2C")</f>
        <v>B2B</v>
      </c>
      <c r="F291">
        <v>4</v>
      </c>
      <c r="G291">
        <v>39</v>
      </c>
      <c r="H291">
        <v>0</v>
      </c>
      <c r="I291" s="8">
        <f>IF(AND(F291&gt;720,C291&gt;60),70%,
IF(CKadeaTelcoClients_Churn[[#This Row],[Type_Client]]="B2B",10%,
IF(OR(AND(F291&gt;=240,F291&lt;=720),AND(C291&lt;60,D291="Premium 5G 150Go")),45%,0%)))</f>
        <v>0.1</v>
      </c>
      <c r="J291" s="9">
        <f>CKadeaTelcoClients_Churn[[#This Row],[Remise]]*CKadeaTelcoClients_Churn[[#This Row],[Facture_Mensuelle]]</f>
        <v>3.9000000000000004</v>
      </c>
      <c r="K291">
        <v>290</v>
      </c>
    </row>
    <row r="292" spans="1:11" x14ac:dyDescent="0.35">
      <c r="A292" t="s">
        <v>1185</v>
      </c>
      <c r="B292" t="s">
        <v>690</v>
      </c>
      <c r="C292">
        <v>32</v>
      </c>
      <c r="D292" t="s">
        <v>899</v>
      </c>
      <c r="E292" t="str">
        <f>IF(CKadeaTelcoClients_Churn[[#This Row],[Type_Forfait]]="pro monde","B2B","B2C")</f>
        <v>B2C</v>
      </c>
      <c r="F292">
        <v>31</v>
      </c>
      <c r="G292">
        <v>67.040000000000006</v>
      </c>
      <c r="H292">
        <v>1</v>
      </c>
      <c r="I292" s="8">
        <f>IF(AND(F292&gt;720,C292&gt;60),70%,
IF(CKadeaTelcoClients_Churn[[#This Row],[Type_Client]]="B2B",10%,
IF(OR(AND(F292&gt;=240,F292&lt;=720),AND(C292&lt;60,D292="Premium 5G 150Go")),45%,0%)))</f>
        <v>0</v>
      </c>
      <c r="J292" s="9">
        <f>CKadeaTelcoClients_Churn[[#This Row],[Remise]]*CKadeaTelcoClients_Churn[[#This Row],[Facture_Mensuelle]]</f>
        <v>0</v>
      </c>
      <c r="K292">
        <v>291</v>
      </c>
    </row>
    <row r="293" spans="1:11" x14ac:dyDescent="0.35">
      <c r="A293" t="s">
        <v>1186</v>
      </c>
      <c r="B293" t="s">
        <v>690</v>
      </c>
      <c r="C293">
        <v>62</v>
      </c>
      <c r="D293" t="s">
        <v>899</v>
      </c>
      <c r="E293" t="str">
        <f>IF(CKadeaTelcoClients_Churn[[#This Row],[Type_Forfait]]="pro monde","B2B","B2C")</f>
        <v>B2C</v>
      </c>
      <c r="F293">
        <v>136</v>
      </c>
      <c r="G293">
        <v>88.61</v>
      </c>
      <c r="H293">
        <v>2</v>
      </c>
      <c r="I293" s="8">
        <f>IF(AND(F293&gt;720,C293&gt;60),70%,
IF(CKadeaTelcoClients_Churn[[#This Row],[Type_Client]]="B2B",10%,
IF(OR(AND(F293&gt;=240,F293&lt;=720),AND(C293&lt;60,D293="Premium 5G 150Go")),45%,0%)))</f>
        <v>0</v>
      </c>
      <c r="J293" s="9">
        <f>CKadeaTelcoClients_Churn[[#This Row],[Remise]]*CKadeaTelcoClients_Churn[[#This Row],[Facture_Mensuelle]]</f>
        <v>0</v>
      </c>
      <c r="K293">
        <v>292</v>
      </c>
    </row>
    <row r="294" spans="1:11" x14ac:dyDescent="0.35">
      <c r="A294" t="s">
        <v>1187</v>
      </c>
      <c r="B294" t="s">
        <v>685</v>
      </c>
      <c r="C294">
        <v>5</v>
      </c>
      <c r="D294" t="s">
        <v>892</v>
      </c>
      <c r="E294" t="str">
        <f>IF(CKadeaTelcoClients_Churn[[#This Row],[Type_Forfait]]="pro monde","B2B","B2C")</f>
        <v>B2C</v>
      </c>
      <c r="F294">
        <v>384</v>
      </c>
      <c r="G294">
        <v>97.26</v>
      </c>
      <c r="H294">
        <v>3</v>
      </c>
      <c r="I294" s="8">
        <f>IF(AND(F294&gt;720,C294&gt;60),70%,
IF(CKadeaTelcoClients_Churn[[#This Row],[Type_Client]]="B2B",10%,
IF(OR(AND(F294&gt;=240,F294&lt;=720),AND(C294&lt;60,D294="Premium 5G 150Go")),45%,0%)))</f>
        <v>0.45</v>
      </c>
      <c r="J294" s="9">
        <f>CKadeaTelcoClients_Churn[[#This Row],[Remise]]*CKadeaTelcoClients_Churn[[#This Row],[Facture_Mensuelle]]</f>
        <v>43.767000000000003</v>
      </c>
      <c r="K294">
        <v>293</v>
      </c>
    </row>
    <row r="295" spans="1:11" x14ac:dyDescent="0.35">
      <c r="A295" t="s">
        <v>1188</v>
      </c>
      <c r="B295" t="s">
        <v>719</v>
      </c>
      <c r="C295">
        <v>118</v>
      </c>
      <c r="D295" t="s">
        <v>899</v>
      </c>
      <c r="E295" t="str">
        <f>IF(CKadeaTelcoClients_Churn[[#This Row],[Type_Forfait]]="pro monde","B2B","B2C")</f>
        <v>B2C</v>
      </c>
      <c r="F295">
        <v>489</v>
      </c>
      <c r="G295">
        <v>76.22</v>
      </c>
      <c r="H295">
        <v>2</v>
      </c>
      <c r="I295" s="8">
        <f>IF(AND(F295&gt;720,C295&gt;60),70%,
IF(CKadeaTelcoClients_Churn[[#This Row],[Type_Client]]="B2B",10%,
IF(OR(AND(F295&gt;=240,F295&lt;=720),AND(C295&lt;60,D295="Premium 5G 150Go")),45%,0%)))</f>
        <v>0.45</v>
      </c>
      <c r="J295" s="9">
        <f>CKadeaTelcoClients_Churn[[#This Row],[Remise]]*CKadeaTelcoClients_Churn[[#This Row],[Facture_Mensuelle]]</f>
        <v>34.298999999999999</v>
      </c>
      <c r="K295">
        <v>294</v>
      </c>
    </row>
    <row r="296" spans="1:11" x14ac:dyDescent="0.35">
      <c r="A296" t="s">
        <v>1189</v>
      </c>
      <c r="B296" t="s">
        <v>719</v>
      </c>
      <c r="C296">
        <v>105</v>
      </c>
      <c r="D296" t="s">
        <v>899</v>
      </c>
      <c r="E296" t="str">
        <f>IF(CKadeaTelcoClients_Churn[[#This Row],[Type_Forfait]]="pro monde","B2B","B2C")</f>
        <v>B2C</v>
      </c>
      <c r="F296">
        <v>3</v>
      </c>
      <c r="G296">
        <v>71.010000000000005</v>
      </c>
      <c r="H296">
        <v>1</v>
      </c>
      <c r="I296" s="8">
        <f>IF(AND(F296&gt;720,C296&gt;60),70%,
IF(CKadeaTelcoClients_Churn[[#This Row],[Type_Client]]="B2B",10%,
IF(OR(AND(F296&gt;=240,F296&lt;=720),AND(C296&lt;60,D296="Premium 5G 150Go")),45%,0%)))</f>
        <v>0</v>
      </c>
      <c r="J296" s="9">
        <f>CKadeaTelcoClients_Churn[[#This Row],[Remise]]*CKadeaTelcoClients_Churn[[#This Row],[Facture_Mensuelle]]</f>
        <v>0</v>
      </c>
      <c r="K296">
        <v>295</v>
      </c>
    </row>
    <row r="297" spans="1:11" x14ac:dyDescent="0.35">
      <c r="A297" t="s">
        <v>1190</v>
      </c>
      <c r="B297" t="s">
        <v>700</v>
      </c>
      <c r="C297">
        <v>47</v>
      </c>
      <c r="D297" t="s">
        <v>899</v>
      </c>
      <c r="E297" t="str">
        <f>IF(CKadeaTelcoClients_Churn[[#This Row],[Type_Forfait]]="pro monde","B2B","B2C")</f>
        <v>B2C</v>
      </c>
      <c r="F297">
        <v>340</v>
      </c>
      <c r="G297">
        <v>31.02</v>
      </c>
      <c r="H297">
        <v>5</v>
      </c>
      <c r="I297" s="8">
        <f>IF(AND(F297&gt;720,C297&gt;60),70%,
IF(CKadeaTelcoClients_Churn[[#This Row],[Type_Client]]="B2B",10%,
IF(OR(AND(F297&gt;=240,F297&lt;=720),AND(C297&lt;60,D297="Premium 5G 150Go")),45%,0%)))</f>
        <v>0.45</v>
      </c>
      <c r="J297" s="9">
        <f>CKadeaTelcoClients_Churn[[#This Row],[Remise]]*CKadeaTelcoClients_Churn[[#This Row],[Facture_Mensuelle]]</f>
        <v>13.959</v>
      </c>
      <c r="K297">
        <v>296</v>
      </c>
    </row>
    <row r="298" spans="1:11" x14ac:dyDescent="0.35">
      <c r="A298" t="s">
        <v>1191</v>
      </c>
      <c r="B298" t="s">
        <v>707</v>
      </c>
      <c r="C298">
        <v>81</v>
      </c>
      <c r="D298" t="s">
        <v>894</v>
      </c>
      <c r="E298" t="str">
        <f>IF(CKadeaTelcoClients_Churn[[#This Row],[Type_Forfait]]="pro monde","B2B","B2C")</f>
        <v>B2B</v>
      </c>
      <c r="F298">
        <v>298</v>
      </c>
      <c r="G298">
        <v>53.61</v>
      </c>
      <c r="H298">
        <v>2</v>
      </c>
      <c r="I298" s="8">
        <f>IF(AND(F298&gt;720,C298&gt;60),70%,
IF(CKadeaTelcoClients_Churn[[#This Row],[Type_Client]]="B2B",10%,
IF(OR(AND(F298&gt;=240,F298&lt;=720),AND(C298&lt;60,D298="Premium 5G 150Go")),45%,0%)))</f>
        <v>0.1</v>
      </c>
      <c r="J298" s="9">
        <f>CKadeaTelcoClients_Churn[[#This Row],[Remise]]*CKadeaTelcoClients_Churn[[#This Row],[Facture_Mensuelle]]</f>
        <v>5.3610000000000007</v>
      </c>
      <c r="K298">
        <v>297</v>
      </c>
    </row>
    <row r="299" spans="1:11" x14ac:dyDescent="0.35">
      <c r="A299" t="s">
        <v>1192</v>
      </c>
      <c r="B299" t="s">
        <v>696</v>
      </c>
      <c r="C299">
        <v>91</v>
      </c>
      <c r="D299" t="s">
        <v>899</v>
      </c>
      <c r="E299" t="str">
        <f>IF(CKadeaTelcoClients_Churn[[#This Row],[Type_Forfait]]="pro monde","B2B","B2C")</f>
        <v>B2C</v>
      </c>
      <c r="F299">
        <v>404</v>
      </c>
      <c r="G299">
        <v>76.53</v>
      </c>
      <c r="H299">
        <v>5</v>
      </c>
      <c r="I299" s="8">
        <f>IF(AND(F299&gt;720,C299&gt;60),70%,
IF(CKadeaTelcoClients_Churn[[#This Row],[Type_Client]]="B2B",10%,
IF(OR(AND(F299&gt;=240,F299&lt;=720),AND(C299&lt;60,D299="Premium 5G 150Go")),45%,0%)))</f>
        <v>0.45</v>
      </c>
      <c r="J299" s="9">
        <f>CKadeaTelcoClients_Churn[[#This Row],[Remise]]*CKadeaTelcoClients_Churn[[#This Row],[Facture_Mensuelle]]</f>
        <v>34.438500000000005</v>
      </c>
      <c r="K299">
        <v>298</v>
      </c>
    </row>
    <row r="300" spans="1:11" x14ac:dyDescent="0.35">
      <c r="A300" t="s">
        <v>1193</v>
      </c>
      <c r="B300" t="s">
        <v>711</v>
      </c>
      <c r="C300">
        <v>87</v>
      </c>
      <c r="D300" t="s">
        <v>897</v>
      </c>
      <c r="E300" t="str">
        <f>IF(CKadeaTelcoClients_Churn[[#This Row],[Type_Forfait]]="pro monde","B2B","B2C")</f>
        <v>B2C</v>
      </c>
      <c r="F300">
        <v>21</v>
      </c>
      <c r="G300">
        <v>81.459999999999994</v>
      </c>
      <c r="H300">
        <v>3</v>
      </c>
      <c r="I300" s="8">
        <f>IF(AND(F300&gt;720,C300&gt;60),70%,
IF(CKadeaTelcoClients_Churn[[#This Row],[Type_Client]]="B2B",10%,
IF(OR(AND(F300&gt;=240,F300&lt;=720),AND(C300&lt;60,D300="Premium 5G 150Go")),45%,0%)))</f>
        <v>0</v>
      </c>
      <c r="J300" s="9">
        <f>CKadeaTelcoClients_Churn[[#This Row],[Remise]]*CKadeaTelcoClients_Churn[[#This Row],[Facture_Mensuelle]]</f>
        <v>0</v>
      </c>
      <c r="K300">
        <v>299</v>
      </c>
    </row>
    <row r="301" spans="1:11" x14ac:dyDescent="0.35">
      <c r="A301" t="s">
        <v>1194</v>
      </c>
      <c r="B301" t="s">
        <v>696</v>
      </c>
      <c r="C301">
        <v>4</v>
      </c>
      <c r="D301" t="s">
        <v>894</v>
      </c>
      <c r="E301" t="str">
        <f>IF(CKadeaTelcoClients_Churn[[#This Row],[Type_Forfait]]="pro monde","B2B","B2C")</f>
        <v>B2B</v>
      </c>
      <c r="F301">
        <v>49</v>
      </c>
      <c r="G301">
        <v>41.35</v>
      </c>
      <c r="H301">
        <v>5</v>
      </c>
      <c r="I301" s="8">
        <f>IF(AND(F301&gt;720,C301&gt;60),70%,
IF(CKadeaTelcoClients_Churn[[#This Row],[Type_Client]]="B2B",10%,
IF(OR(AND(F301&gt;=240,F301&lt;=720),AND(C301&lt;60,D301="Premium 5G 150Go")),45%,0%)))</f>
        <v>0.1</v>
      </c>
      <c r="J301" s="9">
        <f>CKadeaTelcoClients_Churn[[#This Row],[Remise]]*CKadeaTelcoClients_Churn[[#This Row],[Facture_Mensuelle]]</f>
        <v>4.1350000000000007</v>
      </c>
      <c r="K301">
        <v>300</v>
      </c>
    </row>
    <row r="302" spans="1:11" x14ac:dyDescent="0.35">
      <c r="A302" t="s">
        <v>1195</v>
      </c>
      <c r="B302" t="s">
        <v>738</v>
      </c>
      <c r="C302">
        <v>76</v>
      </c>
      <c r="D302" t="s">
        <v>897</v>
      </c>
      <c r="E302" t="str">
        <f>IF(CKadeaTelcoClients_Churn[[#This Row],[Type_Forfait]]="pro monde","B2B","B2C")</f>
        <v>B2C</v>
      </c>
      <c r="F302">
        <v>192</v>
      </c>
      <c r="G302">
        <v>68.53</v>
      </c>
      <c r="H302">
        <v>0</v>
      </c>
      <c r="I302" s="8">
        <f>IF(AND(F302&gt;720,C302&gt;60),70%,
IF(CKadeaTelcoClients_Churn[[#This Row],[Type_Client]]="B2B",10%,
IF(OR(AND(F302&gt;=240,F302&lt;=720),AND(C302&lt;60,D302="Premium 5G 150Go")),45%,0%)))</f>
        <v>0</v>
      </c>
      <c r="J302" s="9">
        <f>CKadeaTelcoClients_Churn[[#This Row],[Remise]]*CKadeaTelcoClients_Churn[[#This Row],[Facture_Mensuelle]]</f>
        <v>0</v>
      </c>
      <c r="K302">
        <v>301</v>
      </c>
    </row>
    <row r="303" spans="1:11" x14ac:dyDescent="0.35">
      <c r="A303" t="s">
        <v>1196</v>
      </c>
      <c r="B303" t="s">
        <v>719</v>
      </c>
      <c r="C303">
        <v>69</v>
      </c>
      <c r="D303" t="s">
        <v>892</v>
      </c>
      <c r="E303" t="str">
        <f>IF(CKadeaTelcoClients_Churn[[#This Row],[Type_Forfait]]="pro monde","B2B","B2C")</f>
        <v>B2C</v>
      </c>
      <c r="F303">
        <v>486</v>
      </c>
      <c r="G303">
        <v>34.770000000000003</v>
      </c>
      <c r="H303">
        <v>0</v>
      </c>
      <c r="I303" s="8">
        <f>IF(AND(F303&gt;720,C303&gt;60),70%,
IF(CKadeaTelcoClients_Churn[[#This Row],[Type_Client]]="B2B",10%,
IF(OR(AND(F303&gt;=240,F303&lt;=720),AND(C303&lt;60,D303="Premium 5G 150Go")),45%,0%)))</f>
        <v>0.45</v>
      </c>
      <c r="J303" s="9">
        <f>CKadeaTelcoClients_Churn[[#This Row],[Remise]]*CKadeaTelcoClients_Churn[[#This Row],[Facture_Mensuelle]]</f>
        <v>15.646500000000001</v>
      </c>
      <c r="K303">
        <v>302</v>
      </c>
    </row>
    <row r="304" spans="1:11" x14ac:dyDescent="0.35">
      <c r="A304" t="s">
        <v>1197</v>
      </c>
      <c r="B304" t="s">
        <v>707</v>
      </c>
      <c r="C304">
        <v>25</v>
      </c>
      <c r="D304" t="s">
        <v>894</v>
      </c>
      <c r="E304" t="str">
        <f>IF(CKadeaTelcoClients_Churn[[#This Row],[Type_Forfait]]="pro monde","B2B","B2C")</f>
        <v>B2B</v>
      </c>
      <c r="F304">
        <v>218</v>
      </c>
      <c r="G304">
        <v>68.790000000000006</v>
      </c>
      <c r="H304">
        <v>0</v>
      </c>
      <c r="I304" s="8">
        <f>IF(AND(F304&gt;720,C304&gt;60),70%,
IF(CKadeaTelcoClients_Churn[[#This Row],[Type_Client]]="B2B",10%,
IF(OR(AND(F304&gt;=240,F304&lt;=720),AND(C304&lt;60,D304="Premium 5G 150Go")),45%,0%)))</f>
        <v>0.1</v>
      </c>
      <c r="J304" s="9">
        <f>CKadeaTelcoClients_Churn[[#This Row],[Remise]]*CKadeaTelcoClients_Churn[[#This Row],[Facture_Mensuelle]]</f>
        <v>6.8790000000000013</v>
      </c>
      <c r="K304">
        <v>303</v>
      </c>
    </row>
    <row r="305" spans="1:11" x14ac:dyDescent="0.35">
      <c r="A305" t="s">
        <v>1198</v>
      </c>
      <c r="B305" t="s">
        <v>726</v>
      </c>
      <c r="C305">
        <v>109</v>
      </c>
      <c r="D305" t="s">
        <v>899</v>
      </c>
      <c r="E305" t="str">
        <f>IF(CKadeaTelcoClients_Churn[[#This Row],[Type_Forfait]]="pro monde","B2B","B2C")</f>
        <v>B2C</v>
      </c>
      <c r="F305">
        <v>347</v>
      </c>
      <c r="G305">
        <v>43.06</v>
      </c>
      <c r="H305">
        <v>4</v>
      </c>
      <c r="I305" s="8">
        <f>IF(AND(F305&gt;720,C305&gt;60),70%,
IF(CKadeaTelcoClients_Churn[[#This Row],[Type_Client]]="B2B",10%,
IF(OR(AND(F305&gt;=240,F305&lt;=720),AND(C305&lt;60,D305="Premium 5G 150Go")),45%,0%)))</f>
        <v>0.45</v>
      </c>
      <c r="J305" s="9">
        <f>CKadeaTelcoClients_Churn[[#This Row],[Remise]]*CKadeaTelcoClients_Churn[[#This Row],[Facture_Mensuelle]]</f>
        <v>19.377000000000002</v>
      </c>
      <c r="K305">
        <v>304</v>
      </c>
    </row>
    <row r="306" spans="1:11" x14ac:dyDescent="0.35">
      <c r="A306" t="s">
        <v>1199</v>
      </c>
      <c r="B306" t="s">
        <v>722</v>
      </c>
      <c r="C306">
        <v>50</v>
      </c>
      <c r="D306" t="s">
        <v>894</v>
      </c>
      <c r="E306" t="str">
        <f>IF(CKadeaTelcoClients_Churn[[#This Row],[Type_Forfait]]="pro monde","B2B","B2C")</f>
        <v>B2B</v>
      </c>
      <c r="F306">
        <v>430</v>
      </c>
      <c r="G306">
        <v>20.8</v>
      </c>
      <c r="H306">
        <v>2</v>
      </c>
      <c r="I306" s="8">
        <f>IF(AND(F306&gt;720,C306&gt;60),70%,
IF(CKadeaTelcoClients_Churn[[#This Row],[Type_Client]]="B2B",10%,
IF(OR(AND(F306&gt;=240,F306&lt;=720),AND(C306&lt;60,D306="Premium 5G 150Go")),45%,0%)))</f>
        <v>0.1</v>
      </c>
      <c r="J306" s="9">
        <f>CKadeaTelcoClients_Churn[[#This Row],[Remise]]*CKadeaTelcoClients_Churn[[#This Row],[Facture_Mensuelle]]</f>
        <v>2.08</v>
      </c>
      <c r="K306">
        <v>305</v>
      </c>
    </row>
    <row r="307" spans="1:11" x14ac:dyDescent="0.35">
      <c r="A307" t="s">
        <v>1200</v>
      </c>
      <c r="B307" t="s">
        <v>682</v>
      </c>
      <c r="C307">
        <v>55</v>
      </c>
      <c r="D307" t="s">
        <v>892</v>
      </c>
      <c r="E307" t="str">
        <f>IF(CKadeaTelcoClients_Churn[[#This Row],[Type_Forfait]]="pro monde","B2B","B2C")</f>
        <v>B2C</v>
      </c>
      <c r="F307">
        <v>86</v>
      </c>
      <c r="G307">
        <v>17.440000000000001</v>
      </c>
      <c r="H307">
        <v>2</v>
      </c>
      <c r="I307" s="8">
        <f>IF(AND(F307&gt;720,C307&gt;60),70%,
IF(CKadeaTelcoClients_Churn[[#This Row],[Type_Client]]="B2B",10%,
IF(OR(AND(F307&gt;=240,F307&lt;=720),AND(C307&lt;60,D307="Premium 5G 150Go")),45%,0%)))</f>
        <v>0.45</v>
      </c>
      <c r="J307" s="9">
        <f>CKadeaTelcoClients_Churn[[#This Row],[Remise]]*CKadeaTelcoClients_Churn[[#This Row],[Facture_Mensuelle]]</f>
        <v>7.8480000000000008</v>
      </c>
      <c r="K307">
        <v>306</v>
      </c>
    </row>
    <row r="308" spans="1:11" x14ac:dyDescent="0.35">
      <c r="A308" t="s">
        <v>1201</v>
      </c>
      <c r="B308" t="s">
        <v>688</v>
      </c>
      <c r="C308">
        <v>41</v>
      </c>
      <c r="D308" t="s">
        <v>894</v>
      </c>
      <c r="E308" t="str">
        <f>IF(CKadeaTelcoClients_Churn[[#This Row],[Type_Forfait]]="pro monde","B2B","B2C")</f>
        <v>B2B</v>
      </c>
      <c r="F308">
        <v>474</v>
      </c>
      <c r="G308">
        <v>54.03</v>
      </c>
      <c r="H308">
        <v>4</v>
      </c>
      <c r="I308" s="8">
        <f>IF(AND(F308&gt;720,C308&gt;60),70%,
IF(CKadeaTelcoClients_Churn[[#This Row],[Type_Client]]="B2B",10%,
IF(OR(AND(F308&gt;=240,F308&lt;=720),AND(C308&lt;60,D308="Premium 5G 150Go")),45%,0%)))</f>
        <v>0.1</v>
      </c>
      <c r="J308" s="9">
        <f>CKadeaTelcoClients_Churn[[#This Row],[Remise]]*CKadeaTelcoClients_Churn[[#This Row],[Facture_Mensuelle]]</f>
        <v>5.4030000000000005</v>
      </c>
      <c r="K308">
        <v>307</v>
      </c>
    </row>
    <row r="309" spans="1:11" x14ac:dyDescent="0.35">
      <c r="A309" t="s">
        <v>1202</v>
      </c>
      <c r="B309" t="s">
        <v>706</v>
      </c>
      <c r="C309">
        <v>99</v>
      </c>
      <c r="D309" t="s">
        <v>897</v>
      </c>
      <c r="E309" t="str">
        <f>IF(CKadeaTelcoClients_Churn[[#This Row],[Type_Forfait]]="pro monde","B2B","B2C")</f>
        <v>B2C</v>
      </c>
      <c r="F309">
        <v>28</v>
      </c>
      <c r="G309">
        <v>70.19</v>
      </c>
      <c r="H309">
        <v>1</v>
      </c>
      <c r="I309" s="8">
        <f>IF(AND(F309&gt;720,C309&gt;60),70%,
IF(CKadeaTelcoClients_Churn[[#This Row],[Type_Client]]="B2B",10%,
IF(OR(AND(F309&gt;=240,F309&lt;=720),AND(C309&lt;60,D309="Premium 5G 150Go")),45%,0%)))</f>
        <v>0</v>
      </c>
      <c r="J309" s="9">
        <f>CKadeaTelcoClients_Churn[[#This Row],[Remise]]*CKadeaTelcoClients_Churn[[#This Row],[Facture_Mensuelle]]</f>
        <v>0</v>
      </c>
      <c r="K309">
        <v>308</v>
      </c>
    </row>
    <row r="310" spans="1:11" x14ac:dyDescent="0.35">
      <c r="A310" t="s">
        <v>1203</v>
      </c>
      <c r="B310" t="s">
        <v>699</v>
      </c>
      <c r="C310">
        <v>47</v>
      </c>
      <c r="D310" t="s">
        <v>892</v>
      </c>
      <c r="E310" t="str">
        <f>IF(CKadeaTelcoClients_Churn[[#This Row],[Type_Forfait]]="pro monde","B2B","B2C")</f>
        <v>B2C</v>
      </c>
      <c r="F310">
        <v>49</v>
      </c>
      <c r="G310">
        <v>55.88</v>
      </c>
      <c r="H310">
        <v>3</v>
      </c>
      <c r="I310" s="8">
        <f>IF(AND(F310&gt;720,C310&gt;60),70%,
IF(CKadeaTelcoClients_Churn[[#This Row],[Type_Client]]="B2B",10%,
IF(OR(AND(F310&gt;=240,F310&lt;=720),AND(C310&lt;60,D310="Premium 5G 150Go")),45%,0%)))</f>
        <v>0.45</v>
      </c>
      <c r="J310" s="9">
        <f>CKadeaTelcoClients_Churn[[#This Row],[Remise]]*CKadeaTelcoClients_Churn[[#This Row],[Facture_Mensuelle]]</f>
        <v>25.146000000000001</v>
      </c>
      <c r="K310">
        <v>309</v>
      </c>
    </row>
    <row r="311" spans="1:11" x14ac:dyDescent="0.35">
      <c r="A311" t="s">
        <v>1204</v>
      </c>
      <c r="B311" t="s">
        <v>714</v>
      </c>
      <c r="C311">
        <v>103</v>
      </c>
      <c r="D311" t="s">
        <v>899</v>
      </c>
      <c r="E311" t="str">
        <f>IF(CKadeaTelcoClients_Churn[[#This Row],[Type_Forfait]]="pro monde","B2B","B2C")</f>
        <v>B2C</v>
      </c>
      <c r="F311">
        <v>182</v>
      </c>
      <c r="G311">
        <v>12.07</v>
      </c>
      <c r="H311">
        <v>5</v>
      </c>
      <c r="I311" s="8">
        <f>IF(AND(F311&gt;720,C311&gt;60),70%,
IF(CKadeaTelcoClients_Churn[[#This Row],[Type_Client]]="B2B",10%,
IF(OR(AND(F311&gt;=240,F311&lt;=720),AND(C311&lt;60,D311="Premium 5G 150Go")),45%,0%)))</f>
        <v>0</v>
      </c>
      <c r="J311" s="9">
        <f>CKadeaTelcoClients_Churn[[#This Row],[Remise]]*CKadeaTelcoClients_Churn[[#This Row],[Facture_Mensuelle]]</f>
        <v>0</v>
      </c>
      <c r="K311">
        <v>310</v>
      </c>
    </row>
    <row r="312" spans="1:11" x14ac:dyDescent="0.35">
      <c r="A312" t="s">
        <v>1205</v>
      </c>
      <c r="B312" t="s">
        <v>701</v>
      </c>
      <c r="C312">
        <v>87</v>
      </c>
      <c r="D312" t="s">
        <v>899</v>
      </c>
      <c r="E312" t="str">
        <f>IF(CKadeaTelcoClients_Churn[[#This Row],[Type_Forfait]]="pro monde","B2B","B2C")</f>
        <v>B2C</v>
      </c>
      <c r="F312">
        <v>498</v>
      </c>
      <c r="G312">
        <v>61.57</v>
      </c>
      <c r="H312">
        <v>0</v>
      </c>
      <c r="I312" s="8">
        <f>IF(AND(F312&gt;720,C312&gt;60),70%,
IF(CKadeaTelcoClients_Churn[[#This Row],[Type_Client]]="B2B",10%,
IF(OR(AND(F312&gt;=240,F312&lt;=720),AND(C312&lt;60,D312="Premium 5G 150Go")),45%,0%)))</f>
        <v>0.45</v>
      </c>
      <c r="J312" s="9">
        <f>CKadeaTelcoClients_Churn[[#This Row],[Remise]]*CKadeaTelcoClients_Churn[[#This Row],[Facture_Mensuelle]]</f>
        <v>27.706500000000002</v>
      </c>
      <c r="K312">
        <v>311</v>
      </c>
    </row>
    <row r="313" spans="1:11" x14ac:dyDescent="0.35">
      <c r="A313" t="s">
        <v>1206</v>
      </c>
      <c r="B313" t="s">
        <v>726</v>
      </c>
      <c r="C313">
        <v>120</v>
      </c>
      <c r="D313" t="s">
        <v>899</v>
      </c>
      <c r="E313" t="str">
        <f>IF(CKadeaTelcoClients_Churn[[#This Row],[Type_Forfait]]="pro monde","B2B","B2C")</f>
        <v>B2C</v>
      </c>
      <c r="F313">
        <v>242</v>
      </c>
      <c r="G313">
        <v>61.54</v>
      </c>
      <c r="H313">
        <v>1</v>
      </c>
      <c r="I313" s="8">
        <f>IF(AND(F313&gt;720,C313&gt;60),70%,
IF(CKadeaTelcoClients_Churn[[#This Row],[Type_Client]]="B2B",10%,
IF(OR(AND(F313&gt;=240,F313&lt;=720),AND(C313&lt;60,D313="Premium 5G 150Go")),45%,0%)))</f>
        <v>0.45</v>
      </c>
      <c r="J313" s="9">
        <f>CKadeaTelcoClients_Churn[[#This Row],[Remise]]*CKadeaTelcoClients_Churn[[#This Row],[Facture_Mensuelle]]</f>
        <v>27.693000000000001</v>
      </c>
      <c r="K313">
        <v>312</v>
      </c>
    </row>
    <row r="314" spans="1:11" x14ac:dyDescent="0.35">
      <c r="A314" t="s">
        <v>1207</v>
      </c>
      <c r="B314" t="s">
        <v>738</v>
      </c>
      <c r="C314">
        <v>102</v>
      </c>
      <c r="D314" t="s">
        <v>897</v>
      </c>
      <c r="E314" t="str">
        <f>IF(CKadeaTelcoClients_Churn[[#This Row],[Type_Forfait]]="pro monde","B2B","B2C")</f>
        <v>B2C</v>
      </c>
      <c r="F314">
        <v>91</v>
      </c>
      <c r="G314">
        <v>34.64</v>
      </c>
      <c r="H314">
        <v>2</v>
      </c>
      <c r="I314" s="8">
        <f>IF(AND(F314&gt;720,C314&gt;60),70%,
IF(CKadeaTelcoClients_Churn[[#This Row],[Type_Client]]="B2B",10%,
IF(OR(AND(F314&gt;=240,F314&lt;=720),AND(C314&lt;60,D314="Premium 5G 150Go")),45%,0%)))</f>
        <v>0</v>
      </c>
      <c r="J314" s="9">
        <f>CKadeaTelcoClients_Churn[[#This Row],[Remise]]*CKadeaTelcoClients_Churn[[#This Row],[Facture_Mensuelle]]</f>
        <v>0</v>
      </c>
      <c r="K314">
        <v>313</v>
      </c>
    </row>
    <row r="315" spans="1:11" x14ac:dyDescent="0.35">
      <c r="A315" t="s">
        <v>1208</v>
      </c>
      <c r="B315" t="s">
        <v>688</v>
      </c>
      <c r="C315">
        <v>17</v>
      </c>
      <c r="D315" t="s">
        <v>899</v>
      </c>
      <c r="E315" t="str">
        <f>IF(CKadeaTelcoClients_Churn[[#This Row],[Type_Forfait]]="pro monde","B2B","B2C")</f>
        <v>B2C</v>
      </c>
      <c r="F315">
        <v>483</v>
      </c>
      <c r="G315">
        <v>77.08</v>
      </c>
      <c r="H315">
        <v>0</v>
      </c>
      <c r="I315" s="8">
        <f>IF(AND(F315&gt;720,C315&gt;60),70%,
IF(CKadeaTelcoClients_Churn[[#This Row],[Type_Client]]="B2B",10%,
IF(OR(AND(F315&gt;=240,F315&lt;=720),AND(C315&lt;60,D315="Premium 5G 150Go")),45%,0%)))</f>
        <v>0.45</v>
      </c>
      <c r="J315" s="9">
        <f>CKadeaTelcoClients_Churn[[#This Row],[Remise]]*CKadeaTelcoClients_Churn[[#This Row],[Facture_Mensuelle]]</f>
        <v>34.686</v>
      </c>
      <c r="K315">
        <v>314</v>
      </c>
    </row>
    <row r="316" spans="1:11" x14ac:dyDescent="0.35">
      <c r="A316" t="s">
        <v>1209</v>
      </c>
      <c r="B316" t="s">
        <v>696</v>
      </c>
      <c r="C316">
        <v>67</v>
      </c>
      <c r="D316" t="s">
        <v>894</v>
      </c>
      <c r="E316" t="str">
        <f>IF(CKadeaTelcoClients_Churn[[#This Row],[Type_Forfait]]="pro monde","B2B","B2C")</f>
        <v>B2B</v>
      </c>
      <c r="F316">
        <v>26</v>
      </c>
      <c r="G316">
        <v>81.489999999999995</v>
      </c>
      <c r="H316">
        <v>4</v>
      </c>
      <c r="I316" s="8">
        <f>IF(AND(F316&gt;720,C316&gt;60),70%,
IF(CKadeaTelcoClients_Churn[[#This Row],[Type_Client]]="B2B",10%,
IF(OR(AND(F316&gt;=240,F316&lt;=720),AND(C316&lt;60,D316="Premium 5G 150Go")),45%,0%)))</f>
        <v>0.1</v>
      </c>
      <c r="J316" s="9">
        <f>CKadeaTelcoClients_Churn[[#This Row],[Remise]]*CKadeaTelcoClients_Churn[[#This Row],[Facture_Mensuelle]]</f>
        <v>8.1489999999999991</v>
      </c>
      <c r="K316">
        <v>315</v>
      </c>
    </row>
    <row r="317" spans="1:11" x14ac:dyDescent="0.35">
      <c r="A317" t="s">
        <v>1210</v>
      </c>
      <c r="B317" t="s">
        <v>682</v>
      </c>
      <c r="C317">
        <v>85</v>
      </c>
      <c r="D317" t="s">
        <v>894</v>
      </c>
      <c r="E317" t="str">
        <f>IF(CKadeaTelcoClients_Churn[[#This Row],[Type_Forfait]]="pro monde","B2B","B2C")</f>
        <v>B2B</v>
      </c>
      <c r="F317">
        <v>60</v>
      </c>
      <c r="G317">
        <v>26.3</v>
      </c>
      <c r="H317">
        <v>2</v>
      </c>
      <c r="I317" s="8">
        <f>IF(AND(F317&gt;720,C317&gt;60),70%,
IF(CKadeaTelcoClients_Churn[[#This Row],[Type_Client]]="B2B",10%,
IF(OR(AND(F317&gt;=240,F317&lt;=720),AND(C317&lt;60,D317="Premium 5G 150Go")),45%,0%)))</f>
        <v>0.1</v>
      </c>
      <c r="J317" s="9">
        <f>CKadeaTelcoClients_Churn[[#This Row],[Remise]]*CKadeaTelcoClients_Churn[[#This Row],[Facture_Mensuelle]]</f>
        <v>2.6300000000000003</v>
      </c>
      <c r="K317">
        <v>316</v>
      </c>
    </row>
    <row r="318" spans="1:11" x14ac:dyDescent="0.35">
      <c r="A318" t="s">
        <v>1211</v>
      </c>
      <c r="B318" t="s">
        <v>719</v>
      </c>
      <c r="C318">
        <v>78</v>
      </c>
      <c r="D318" t="s">
        <v>892</v>
      </c>
      <c r="E318" t="str">
        <f>IF(CKadeaTelcoClients_Churn[[#This Row],[Type_Forfait]]="pro monde","B2B","B2C")</f>
        <v>B2C</v>
      </c>
      <c r="F318">
        <v>263</v>
      </c>
      <c r="G318">
        <v>53.58</v>
      </c>
      <c r="H318">
        <v>5</v>
      </c>
      <c r="I318" s="8">
        <f>IF(AND(F318&gt;720,C318&gt;60),70%,
IF(CKadeaTelcoClients_Churn[[#This Row],[Type_Client]]="B2B",10%,
IF(OR(AND(F318&gt;=240,F318&lt;=720),AND(C318&lt;60,D318="Premium 5G 150Go")),45%,0%)))</f>
        <v>0.45</v>
      </c>
      <c r="J318" s="9">
        <f>CKadeaTelcoClients_Churn[[#This Row],[Remise]]*CKadeaTelcoClients_Churn[[#This Row],[Facture_Mensuelle]]</f>
        <v>24.111000000000001</v>
      </c>
      <c r="K318">
        <v>317</v>
      </c>
    </row>
    <row r="319" spans="1:11" x14ac:dyDescent="0.35">
      <c r="A319" t="s">
        <v>1212</v>
      </c>
      <c r="B319" t="s">
        <v>719</v>
      </c>
      <c r="C319">
        <v>76</v>
      </c>
      <c r="D319" t="s">
        <v>899</v>
      </c>
      <c r="E319" t="str">
        <f>IF(CKadeaTelcoClients_Churn[[#This Row],[Type_Forfait]]="pro monde","B2B","B2C")</f>
        <v>B2C</v>
      </c>
      <c r="F319">
        <v>332</v>
      </c>
      <c r="G319">
        <v>68.010000000000005</v>
      </c>
      <c r="H319">
        <v>4</v>
      </c>
      <c r="I319" s="8">
        <f>IF(AND(F319&gt;720,C319&gt;60),70%,
IF(CKadeaTelcoClients_Churn[[#This Row],[Type_Client]]="B2B",10%,
IF(OR(AND(F319&gt;=240,F319&lt;=720),AND(C319&lt;60,D319="Premium 5G 150Go")),45%,0%)))</f>
        <v>0.45</v>
      </c>
      <c r="J319" s="9">
        <f>CKadeaTelcoClients_Churn[[#This Row],[Remise]]*CKadeaTelcoClients_Churn[[#This Row],[Facture_Mensuelle]]</f>
        <v>30.604500000000002</v>
      </c>
      <c r="K319">
        <v>318</v>
      </c>
    </row>
    <row r="320" spans="1:11" x14ac:dyDescent="0.35">
      <c r="A320" t="s">
        <v>1213</v>
      </c>
      <c r="B320" t="s">
        <v>719</v>
      </c>
      <c r="C320">
        <v>29</v>
      </c>
      <c r="D320" t="s">
        <v>897</v>
      </c>
      <c r="E320" t="str">
        <f>IF(CKadeaTelcoClients_Churn[[#This Row],[Type_Forfait]]="pro monde","B2B","B2C")</f>
        <v>B2C</v>
      </c>
      <c r="F320">
        <v>173</v>
      </c>
      <c r="G320">
        <v>49.03</v>
      </c>
      <c r="H320">
        <v>3</v>
      </c>
      <c r="I320" s="8">
        <f>IF(AND(F320&gt;720,C320&gt;60),70%,
IF(CKadeaTelcoClients_Churn[[#This Row],[Type_Client]]="B2B",10%,
IF(OR(AND(F320&gt;=240,F320&lt;=720),AND(C320&lt;60,D320="Premium 5G 150Go")),45%,0%)))</f>
        <v>0</v>
      </c>
      <c r="J320" s="9">
        <f>CKadeaTelcoClients_Churn[[#This Row],[Remise]]*CKadeaTelcoClients_Churn[[#This Row],[Facture_Mensuelle]]</f>
        <v>0</v>
      </c>
      <c r="K320">
        <v>319</v>
      </c>
    </row>
    <row r="321" spans="1:11" x14ac:dyDescent="0.35">
      <c r="A321" t="s">
        <v>1214</v>
      </c>
      <c r="B321" t="s">
        <v>696</v>
      </c>
      <c r="C321">
        <v>14</v>
      </c>
      <c r="D321" t="s">
        <v>894</v>
      </c>
      <c r="E321" t="str">
        <f>IF(CKadeaTelcoClients_Churn[[#This Row],[Type_Forfait]]="pro monde","B2B","B2C")</f>
        <v>B2B</v>
      </c>
      <c r="F321">
        <v>303</v>
      </c>
      <c r="G321">
        <v>61.43</v>
      </c>
      <c r="H321">
        <v>1</v>
      </c>
      <c r="I321" s="8">
        <f>IF(AND(F321&gt;720,C321&gt;60),70%,
IF(CKadeaTelcoClients_Churn[[#This Row],[Type_Client]]="B2B",10%,
IF(OR(AND(F321&gt;=240,F321&lt;=720),AND(C321&lt;60,D321="Premium 5G 150Go")),45%,0%)))</f>
        <v>0.1</v>
      </c>
      <c r="J321" s="9">
        <f>CKadeaTelcoClients_Churn[[#This Row],[Remise]]*CKadeaTelcoClients_Churn[[#This Row],[Facture_Mensuelle]]</f>
        <v>6.1430000000000007</v>
      </c>
      <c r="K321">
        <v>320</v>
      </c>
    </row>
    <row r="322" spans="1:11" x14ac:dyDescent="0.35">
      <c r="A322" t="s">
        <v>1215</v>
      </c>
      <c r="B322" t="s">
        <v>738</v>
      </c>
      <c r="C322">
        <v>51</v>
      </c>
      <c r="D322" t="s">
        <v>892</v>
      </c>
      <c r="E322" t="str">
        <f>IF(CKadeaTelcoClients_Churn[[#This Row],[Type_Forfait]]="pro monde","B2B","B2C")</f>
        <v>B2C</v>
      </c>
      <c r="F322">
        <v>222</v>
      </c>
      <c r="G322">
        <v>18.95</v>
      </c>
      <c r="H322">
        <v>4</v>
      </c>
      <c r="I322" s="8">
        <f>IF(AND(F322&gt;720,C322&gt;60),70%,
IF(CKadeaTelcoClients_Churn[[#This Row],[Type_Client]]="B2B",10%,
IF(OR(AND(F322&gt;=240,F322&lt;=720),AND(C322&lt;60,D322="Premium 5G 150Go")),45%,0%)))</f>
        <v>0.45</v>
      </c>
      <c r="J322" s="9">
        <f>CKadeaTelcoClients_Churn[[#This Row],[Remise]]*CKadeaTelcoClients_Churn[[#This Row],[Facture_Mensuelle]]</f>
        <v>8.5274999999999999</v>
      </c>
      <c r="K322">
        <v>321</v>
      </c>
    </row>
    <row r="323" spans="1:11" x14ac:dyDescent="0.35">
      <c r="A323" t="s">
        <v>1216</v>
      </c>
      <c r="B323" t="s">
        <v>738</v>
      </c>
      <c r="C323">
        <v>2</v>
      </c>
      <c r="D323" t="s">
        <v>894</v>
      </c>
      <c r="E323" t="str">
        <f>IF(CKadeaTelcoClients_Churn[[#This Row],[Type_Forfait]]="pro monde","B2B","B2C")</f>
        <v>B2B</v>
      </c>
      <c r="F323">
        <v>496</v>
      </c>
      <c r="G323">
        <v>15.71</v>
      </c>
      <c r="H323">
        <v>3</v>
      </c>
      <c r="I323" s="8">
        <f>IF(AND(F323&gt;720,C323&gt;60),70%,
IF(CKadeaTelcoClients_Churn[[#This Row],[Type_Client]]="B2B",10%,
IF(OR(AND(F323&gt;=240,F323&lt;=720),AND(C323&lt;60,D323="Premium 5G 150Go")),45%,0%)))</f>
        <v>0.1</v>
      </c>
      <c r="J323" s="9">
        <f>CKadeaTelcoClients_Churn[[#This Row],[Remise]]*CKadeaTelcoClients_Churn[[#This Row],[Facture_Mensuelle]]</f>
        <v>1.5710000000000002</v>
      </c>
      <c r="K323">
        <v>322</v>
      </c>
    </row>
    <row r="324" spans="1:11" x14ac:dyDescent="0.35">
      <c r="A324" t="s">
        <v>1217</v>
      </c>
      <c r="B324" t="s">
        <v>722</v>
      </c>
      <c r="C324">
        <v>69</v>
      </c>
      <c r="D324" t="s">
        <v>894</v>
      </c>
      <c r="E324" t="str">
        <f>IF(CKadeaTelcoClients_Churn[[#This Row],[Type_Forfait]]="pro monde","B2B","B2C")</f>
        <v>B2B</v>
      </c>
      <c r="F324">
        <v>76</v>
      </c>
      <c r="G324">
        <v>91.8</v>
      </c>
      <c r="H324">
        <v>5</v>
      </c>
      <c r="I324" s="8">
        <f>IF(AND(F324&gt;720,C324&gt;60),70%,
IF(CKadeaTelcoClients_Churn[[#This Row],[Type_Client]]="B2B",10%,
IF(OR(AND(F324&gt;=240,F324&lt;=720),AND(C324&lt;60,D324="Premium 5G 150Go")),45%,0%)))</f>
        <v>0.1</v>
      </c>
      <c r="J324" s="9">
        <f>CKadeaTelcoClients_Churn[[#This Row],[Remise]]*CKadeaTelcoClients_Churn[[#This Row],[Facture_Mensuelle]]</f>
        <v>9.18</v>
      </c>
      <c r="K324">
        <v>323</v>
      </c>
    </row>
    <row r="325" spans="1:11" x14ac:dyDescent="0.35">
      <c r="A325" t="s">
        <v>1218</v>
      </c>
      <c r="B325" t="s">
        <v>704</v>
      </c>
      <c r="C325">
        <v>110</v>
      </c>
      <c r="D325" t="s">
        <v>892</v>
      </c>
      <c r="E325" t="str">
        <f>IF(CKadeaTelcoClients_Churn[[#This Row],[Type_Forfait]]="pro monde","B2B","B2C")</f>
        <v>B2C</v>
      </c>
      <c r="F325">
        <v>321</v>
      </c>
      <c r="G325">
        <v>81.569999999999993</v>
      </c>
      <c r="H325">
        <v>2</v>
      </c>
      <c r="I325" s="8">
        <f>IF(AND(F325&gt;720,C325&gt;60),70%,
IF(CKadeaTelcoClients_Churn[[#This Row],[Type_Client]]="B2B",10%,
IF(OR(AND(F325&gt;=240,F325&lt;=720),AND(C325&lt;60,D325="Premium 5G 150Go")),45%,0%)))</f>
        <v>0.45</v>
      </c>
      <c r="J325" s="9">
        <f>CKadeaTelcoClients_Churn[[#This Row],[Remise]]*CKadeaTelcoClients_Churn[[#This Row],[Facture_Mensuelle]]</f>
        <v>36.706499999999998</v>
      </c>
      <c r="K325">
        <v>324</v>
      </c>
    </row>
    <row r="326" spans="1:11" x14ac:dyDescent="0.35">
      <c r="A326" t="s">
        <v>1219</v>
      </c>
      <c r="B326" t="s">
        <v>711</v>
      </c>
      <c r="C326">
        <v>59</v>
      </c>
      <c r="D326" t="s">
        <v>894</v>
      </c>
      <c r="E326" t="str">
        <f>IF(CKadeaTelcoClients_Churn[[#This Row],[Type_Forfait]]="pro monde","B2B","B2C")</f>
        <v>B2B</v>
      </c>
      <c r="F326">
        <v>369</v>
      </c>
      <c r="G326">
        <v>26.64</v>
      </c>
      <c r="H326">
        <v>4</v>
      </c>
      <c r="I326" s="8">
        <f>IF(AND(F326&gt;720,C326&gt;60),70%,
IF(CKadeaTelcoClients_Churn[[#This Row],[Type_Client]]="B2B",10%,
IF(OR(AND(F326&gt;=240,F326&lt;=720),AND(C326&lt;60,D326="Premium 5G 150Go")),45%,0%)))</f>
        <v>0.1</v>
      </c>
      <c r="J326" s="9">
        <f>CKadeaTelcoClients_Churn[[#This Row],[Remise]]*CKadeaTelcoClients_Churn[[#This Row],[Facture_Mensuelle]]</f>
        <v>2.6640000000000001</v>
      </c>
      <c r="K326">
        <v>325</v>
      </c>
    </row>
    <row r="327" spans="1:11" x14ac:dyDescent="0.35">
      <c r="A327" t="s">
        <v>1220</v>
      </c>
      <c r="B327" t="s">
        <v>722</v>
      </c>
      <c r="C327">
        <v>41</v>
      </c>
      <c r="D327" t="s">
        <v>894</v>
      </c>
      <c r="E327" t="str">
        <f>IF(CKadeaTelcoClients_Churn[[#This Row],[Type_Forfait]]="pro monde","B2B","B2C")</f>
        <v>B2B</v>
      </c>
      <c r="F327">
        <v>206</v>
      </c>
      <c r="G327">
        <v>83.16</v>
      </c>
      <c r="H327">
        <v>2</v>
      </c>
      <c r="I327" s="8">
        <f>IF(AND(F327&gt;720,C327&gt;60),70%,
IF(CKadeaTelcoClients_Churn[[#This Row],[Type_Client]]="B2B",10%,
IF(OR(AND(F327&gt;=240,F327&lt;=720),AND(C327&lt;60,D327="Premium 5G 150Go")),45%,0%)))</f>
        <v>0.1</v>
      </c>
      <c r="J327" s="9">
        <f>CKadeaTelcoClients_Churn[[#This Row],[Remise]]*CKadeaTelcoClients_Churn[[#This Row],[Facture_Mensuelle]]</f>
        <v>8.3160000000000007</v>
      </c>
      <c r="K327">
        <v>326</v>
      </c>
    </row>
    <row r="328" spans="1:11" x14ac:dyDescent="0.35">
      <c r="A328" t="s">
        <v>1221</v>
      </c>
      <c r="B328" t="s">
        <v>706</v>
      </c>
      <c r="C328">
        <v>19</v>
      </c>
      <c r="D328" t="s">
        <v>897</v>
      </c>
      <c r="E328" t="str">
        <f>IF(CKadeaTelcoClients_Churn[[#This Row],[Type_Forfait]]="pro monde","B2B","B2C")</f>
        <v>B2C</v>
      </c>
      <c r="F328">
        <v>125</v>
      </c>
      <c r="G328">
        <v>11.78</v>
      </c>
      <c r="H328">
        <v>4</v>
      </c>
      <c r="I328" s="8">
        <f>IF(AND(F328&gt;720,C328&gt;60),70%,
IF(CKadeaTelcoClients_Churn[[#This Row],[Type_Client]]="B2B",10%,
IF(OR(AND(F328&gt;=240,F328&lt;=720),AND(C328&lt;60,D328="Premium 5G 150Go")),45%,0%)))</f>
        <v>0</v>
      </c>
      <c r="J328" s="9">
        <f>CKadeaTelcoClients_Churn[[#This Row],[Remise]]*CKadeaTelcoClients_Churn[[#This Row],[Facture_Mensuelle]]</f>
        <v>0</v>
      </c>
      <c r="K328">
        <v>327</v>
      </c>
    </row>
    <row r="329" spans="1:11" x14ac:dyDescent="0.35">
      <c r="A329" t="s">
        <v>1222</v>
      </c>
      <c r="B329" t="s">
        <v>706</v>
      </c>
      <c r="C329">
        <v>105</v>
      </c>
      <c r="D329" t="s">
        <v>892</v>
      </c>
      <c r="E329" t="str">
        <f>IF(CKadeaTelcoClients_Churn[[#This Row],[Type_Forfait]]="pro monde","B2B","B2C")</f>
        <v>B2C</v>
      </c>
      <c r="F329">
        <v>17</v>
      </c>
      <c r="G329">
        <v>60.05</v>
      </c>
      <c r="H329">
        <v>4</v>
      </c>
      <c r="I329" s="8">
        <f>IF(AND(F329&gt;720,C329&gt;60),70%,
IF(CKadeaTelcoClients_Churn[[#This Row],[Type_Client]]="B2B",10%,
IF(OR(AND(F329&gt;=240,F329&lt;=720),AND(C329&lt;60,D329="Premium 5G 150Go")),45%,0%)))</f>
        <v>0</v>
      </c>
      <c r="J329" s="9">
        <f>CKadeaTelcoClients_Churn[[#This Row],[Remise]]*CKadeaTelcoClients_Churn[[#This Row],[Facture_Mensuelle]]</f>
        <v>0</v>
      </c>
      <c r="K329">
        <v>328</v>
      </c>
    </row>
    <row r="330" spans="1:11" x14ac:dyDescent="0.35">
      <c r="A330" t="s">
        <v>1223</v>
      </c>
      <c r="B330" t="s">
        <v>702</v>
      </c>
      <c r="C330">
        <v>38</v>
      </c>
      <c r="D330" t="s">
        <v>892</v>
      </c>
      <c r="E330" t="str">
        <f>IF(CKadeaTelcoClients_Churn[[#This Row],[Type_Forfait]]="pro monde","B2B","B2C")</f>
        <v>B2C</v>
      </c>
      <c r="F330">
        <v>60</v>
      </c>
      <c r="G330">
        <v>58.28</v>
      </c>
      <c r="H330">
        <v>4</v>
      </c>
      <c r="I330" s="8">
        <f>IF(AND(F330&gt;720,C330&gt;60),70%,
IF(CKadeaTelcoClients_Churn[[#This Row],[Type_Client]]="B2B",10%,
IF(OR(AND(F330&gt;=240,F330&lt;=720),AND(C330&lt;60,D330="Premium 5G 150Go")),45%,0%)))</f>
        <v>0.45</v>
      </c>
      <c r="J330" s="9">
        <f>CKadeaTelcoClients_Churn[[#This Row],[Remise]]*CKadeaTelcoClients_Churn[[#This Row],[Facture_Mensuelle]]</f>
        <v>26.226000000000003</v>
      </c>
      <c r="K330">
        <v>329</v>
      </c>
    </row>
    <row r="331" spans="1:11" x14ac:dyDescent="0.35">
      <c r="A331" t="s">
        <v>1224</v>
      </c>
      <c r="B331" t="s">
        <v>679</v>
      </c>
      <c r="C331">
        <v>108</v>
      </c>
      <c r="D331" t="s">
        <v>899</v>
      </c>
      <c r="E331" t="str">
        <f>IF(CKadeaTelcoClients_Churn[[#This Row],[Type_Forfait]]="pro monde","B2B","B2C")</f>
        <v>B2C</v>
      </c>
      <c r="F331">
        <v>123</v>
      </c>
      <c r="G331">
        <v>83.1</v>
      </c>
      <c r="H331">
        <v>1</v>
      </c>
      <c r="I331" s="8">
        <f>IF(AND(F331&gt;720,C331&gt;60),70%,
IF(CKadeaTelcoClients_Churn[[#This Row],[Type_Client]]="B2B",10%,
IF(OR(AND(F331&gt;=240,F331&lt;=720),AND(C331&lt;60,D331="Premium 5G 150Go")),45%,0%)))</f>
        <v>0</v>
      </c>
      <c r="J331" s="9">
        <f>CKadeaTelcoClients_Churn[[#This Row],[Remise]]*CKadeaTelcoClients_Churn[[#This Row],[Facture_Mensuelle]]</f>
        <v>0</v>
      </c>
      <c r="K331">
        <v>330</v>
      </c>
    </row>
    <row r="332" spans="1:11" x14ac:dyDescent="0.35">
      <c r="A332" t="s">
        <v>1225</v>
      </c>
      <c r="B332" t="s">
        <v>737</v>
      </c>
      <c r="C332">
        <v>29</v>
      </c>
      <c r="D332" t="s">
        <v>894</v>
      </c>
      <c r="E332" t="str">
        <f>IF(CKadeaTelcoClients_Churn[[#This Row],[Type_Forfait]]="pro monde","B2B","B2C")</f>
        <v>B2B</v>
      </c>
      <c r="F332">
        <v>203</v>
      </c>
      <c r="G332">
        <v>53.97</v>
      </c>
      <c r="H332">
        <v>5</v>
      </c>
      <c r="I332" s="8">
        <f>IF(AND(F332&gt;720,C332&gt;60),70%,
IF(CKadeaTelcoClients_Churn[[#This Row],[Type_Client]]="B2B",10%,
IF(OR(AND(F332&gt;=240,F332&lt;=720),AND(C332&lt;60,D332="Premium 5G 150Go")),45%,0%)))</f>
        <v>0.1</v>
      </c>
      <c r="J332" s="9">
        <f>CKadeaTelcoClients_Churn[[#This Row],[Remise]]*CKadeaTelcoClients_Churn[[#This Row],[Facture_Mensuelle]]</f>
        <v>5.3970000000000002</v>
      </c>
      <c r="K332">
        <v>331</v>
      </c>
    </row>
    <row r="333" spans="1:11" x14ac:dyDescent="0.35">
      <c r="A333" t="s">
        <v>1226</v>
      </c>
      <c r="B333" t="s">
        <v>726</v>
      </c>
      <c r="C333">
        <v>64</v>
      </c>
      <c r="D333" t="s">
        <v>897</v>
      </c>
      <c r="E333" t="str">
        <f>IF(CKadeaTelcoClients_Churn[[#This Row],[Type_Forfait]]="pro monde","B2B","B2C")</f>
        <v>B2C</v>
      </c>
      <c r="F333">
        <v>250</v>
      </c>
      <c r="G333">
        <v>56.7</v>
      </c>
      <c r="H333">
        <v>0</v>
      </c>
      <c r="I333" s="8">
        <f>IF(AND(F333&gt;720,C333&gt;60),70%,
IF(CKadeaTelcoClients_Churn[[#This Row],[Type_Client]]="B2B",10%,
IF(OR(AND(F333&gt;=240,F333&lt;=720),AND(C333&lt;60,D333="Premium 5G 150Go")),45%,0%)))</f>
        <v>0.45</v>
      </c>
      <c r="J333" s="9">
        <f>CKadeaTelcoClients_Churn[[#This Row],[Remise]]*CKadeaTelcoClients_Churn[[#This Row],[Facture_Mensuelle]]</f>
        <v>25.515000000000001</v>
      </c>
      <c r="K333">
        <v>332</v>
      </c>
    </row>
    <row r="334" spans="1:11" x14ac:dyDescent="0.35">
      <c r="A334" t="s">
        <v>1227</v>
      </c>
      <c r="B334" t="s">
        <v>679</v>
      </c>
      <c r="C334">
        <v>88</v>
      </c>
      <c r="D334" t="s">
        <v>899</v>
      </c>
      <c r="E334" t="str">
        <f>IF(CKadeaTelcoClients_Churn[[#This Row],[Type_Forfait]]="pro monde","B2B","B2C")</f>
        <v>B2C</v>
      </c>
      <c r="F334">
        <v>154</v>
      </c>
      <c r="G334">
        <v>62.62</v>
      </c>
      <c r="H334">
        <v>5</v>
      </c>
      <c r="I334" s="8">
        <f>IF(AND(F334&gt;720,C334&gt;60),70%,
IF(CKadeaTelcoClients_Churn[[#This Row],[Type_Client]]="B2B",10%,
IF(OR(AND(F334&gt;=240,F334&lt;=720),AND(C334&lt;60,D334="Premium 5G 150Go")),45%,0%)))</f>
        <v>0</v>
      </c>
      <c r="J334" s="9">
        <f>CKadeaTelcoClients_Churn[[#This Row],[Remise]]*CKadeaTelcoClients_Churn[[#This Row],[Facture_Mensuelle]]</f>
        <v>0</v>
      </c>
      <c r="K334">
        <v>333</v>
      </c>
    </row>
    <row r="335" spans="1:11" x14ac:dyDescent="0.35">
      <c r="A335" t="s">
        <v>1228</v>
      </c>
      <c r="B335" t="s">
        <v>726</v>
      </c>
      <c r="C335">
        <v>59</v>
      </c>
      <c r="D335" t="s">
        <v>892</v>
      </c>
      <c r="E335" t="str">
        <f>IF(CKadeaTelcoClients_Churn[[#This Row],[Type_Forfait]]="pro monde","B2B","B2C")</f>
        <v>B2C</v>
      </c>
      <c r="F335">
        <v>352</v>
      </c>
      <c r="G335">
        <v>74.239999999999995</v>
      </c>
      <c r="H335">
        <v>0</v>
      </c>
      <c r="I335" s="8">
        <f>IF(AND(F335&gt;720,C335&gt;60),70%,
IF(CKadeaTelcoClients_Churn[[#This Row],[Type_Client]]="B2B",10%,
IF(OR(AND(F335&gt;=240,F335&lt;=720),AND(C335&lt;60,D335="Premium 5G 150Go")),45%,0%)))</f>
        <v>0.45</v>
      </c>
      <c r="J335" s="9">
        <f>CKadeaTelcoClients_Churn[[#This Row],[Remise]]*CKadeaTelcoClients_Churn[[#This Row],[Facture_Mensuelle]]</f>
        <v>33.408000000000001</v>
      </c>
      <c r="K335">
        <v>334</v>
      </c>
    </row>
    <row r="336" spans="1:11" x14ac:dyDescent="0.35">
      <c r="A336" t="s">
        <v>1229</v>
      </c>
      <c r="B336" t="s">
        <v>688</v>
      </c>
      <c r="C336">
        <v>19</v>
      </c>
      <c r="D336" t="s">
        <v>897</v>
      </c>
      <c r="E336" t="str">
        <f>IF(CKadeaTelcoClients_Churn[[#This Row],[Type_Forfait]]="pro monde","B2B","B2C")</f>
        <v>B2C</v>
      </c>
      <c r="F336">
        <v>305</v>
      </c>
      <c r="G336">
        <v>81.11</v>
      </c>
      <c r="H336">
        <v>1</v>
      </c>
      <c r="I336" s="8">
        <f>IF(AND(F336&gt;720,C336&gt;60),70%,
IF(CKadeaTelcoClients_Churn[[#This Row],[Type_Client]]="B2B",10%,
IF(OR(AND(F336&gt;=240,F336&lt;=720),AND(C336&lt;60,D336="Premium 5G 150Go")),45%,0%)))</f>
        <v>0.45</v>
      </c>
      <c r="J336" s="9">
        <f>CKadeaTelcoClients_Churn[[#This Row],[Remise]]*CKadeaTelcoClients_Churn[[#This Row],[Facture_Mensuelle]]</f>
        <v>36.499499999999998</v>
      </c>
      <c r="K336">
        <v>335</v>
      </c>
    </row>
    <row r="337" spans="1:11" x14ac:dyDescent="0.35">
      <c r="A337" t="s">
        <v>1230</v>
      </c>
      <c r="B337" t="s">
        <v>719</v>
      </c>
      <c r="C337">
        <v>77</v>
      </c>
      <c r="D337" t="s">
        <v>892</v>
      </c>
      <c r="E337" t="str">
        <f>IF(CKadeaTelcoClients_Churn[[#This Row],[Type_Forfait]]="pro monde","B2B","B2C")</f>
        <v>B2C</v>
      </c>
      <c r="F337">
        <v>488</v>
      </c>
      <c r="G337">
        <v>21.17</v>
      </c>
      <c r="H337">
        <v>0</v>
      </c>
      <c r="I337" s="8">
        <f>IF(AND(F337&gt;720,C337&gt;60),70%,
IF(CKadeaTelcoClients_Churn[[#This Row],[Type_Client]]="B2B",10%,
IF(OR(AND(F337&gt;=240,F337&lt;=720),AND(C337&lt;60,D337="Premium 5G 150Go")),45%,0%)))</f>
        <v>0.45</v>
      </c>
      <c r="J337" s="9">
        <f>CKadeaTelcoClients_Churn[[#This Row],[Remise]]*CKadeaTelcoClients_Churn[[#This Row],[Facture_Mensuelle]]</f>
        <v>9.5265000000000004</v>
      </c>
      <c r="K337">
        <v>336</v>
      </c>
    </row>
    <row r="338" spans="1:11" x14ac:dyDescent="0.35">
      <c r="A338" t="s">
        <v>1231</v>
      </c>
      <c r="B338" t="s">
        <v>699</v>
      </c>
      <c r="C338">
        <v>37</v>
      </c>
      <c r="D338" t="s">
        <v>894</v>
      </c>
      <c r="E338" t="str">
        <f>IF(CKadeaTelcoClients_Churn[[#This Row],[Type_Forfait]]="pro monde","B2B","B2C")</f>
        <v>B2B</v>
      </c>
      <c r="F338">
        <v>88</v>
      </c>
      <c r="G338">
        <v>77.77</v>
      </c>
      <c r="H338">
        <v>1</v>
      </c>
      <c r="I338" s="8">
        <f>IF(AND(F338&gt;720,C338&gt;60),70%,
IF(CKadeaTelcoClients_Churn[[#This Row],[Type_Client]]="B2B",10%,
IF(OR(AND(F338&gt;=240,F338&lt;=720),AND(C338&lt;60,D338="Premium 5G 150Go")),45%,0%)))</f>
        <v>0.1</v>
      </c>
      <c r="J338" s="9">
        <f>CKadeaTelcoClients_Churn[[#This Row],[Remise]]*CKadeaTelcoClients_Churn[[#This Row],[Facture_Mensuelle]]</f>
        <v>7.7770000000000001</v>
      </c>
      <c r="K338">
        <v>337</v>
      </c>
    </row>
    <row r="339" spans="1:11" x14ac:dyDescent="0.35">
      <c r="A339" t="s">
        <v>1232</v>
      </c>
      <c r="B339" t="s">
        <v>694</v>
      </c>
      <c r="C339">
        <v>19</v>
      </c>
      <c r="D339" t="s">
        <v>899</v>
      </c>
      <c r="E339" t="str">
        <f>IF(CKadeaTelcoClients_Churn[[#This Row],[Type_Forfait]]="pro monde","B2B","B2C")</f>
        <v>B2C</v>
      </c>
      <c r="F339">
        <v>334</v>
      </c>
      <c r="G339">
        <v>96.91</v>
      </c>
      <c r="H339">
        <v>1</v>
      </c>
      <c r="I339" s="8">
        <f>IF(AND(F339&gt;720,C339&gt;60),70%,
IF(CKadeaTelcoClients_Churn[[#This Row],[Type_Client]]="B2B",10%,
IF(OR(AND(F339&gt;=240,F339&lt;=720),AND(C339&lt;60,D339="Premium 5G 150Go")),45%,0%)))</f>
        <v>0.45</v>
      </c>
      <c r="J339" s="9">
        <f>CKadeaTelcoClients_Churn[[#This Row],[Remise]]*CKadeaTelcoClients_Churn[[#This Row],[Facture_Mensuelle]]</f>
        <v>43.609499999999997</v>
      </c>
      <c r="K339">
        <v>338</v>
      </c>
    </row>
    <row r="340" spans="1:11" x14ac:dyDescent="0.35">
      <c r="A340" t="s">
        <v>1233</v>
      </c>
      <c r="B340" t="s">
        <v>719</v>
      </c>
      <c r="C340">
        <v>96</v>
      </c>
      <c r="D340" t="s">
        <v>899</v>
      </c>
      <c r="E340" t="str">
        <f>IF(CKadeaTelcoClients_Churn[[#This Row],[Type_Forfait]]="pro monde","B2B","B2C")</f>
        <v>B2C</v>
      </c>
      <c r="F340">
        <v>381</v>
      </c>
      <c r="G340">
        <v>90.78</v>
      </c>
      <c r="H340">
        <v>2</v>
      </c>
      <c r="I340" s="8">
        <f>IF(AND(F340&gt;720,C340&gt;60),70%,
IF(CKadeaTelcoClients_Churn[[#This Row],[Type_Client]]="B2B",10%,
IF(OR(AND(F340&gt;=240,F340&lt;=720),AND(C340&lt;60,D340="Premium 5G 150Go")),45%,0%)))</f>
        <v>0.45</v>
      </c>
      <c r="J340" s="9">
        <f>CKadeaTelcoClients_Churn[[#This Row],[Remise]]*CKadeaTelcoClients_Churn[[#This Row],[Facture_Mensuelle]]</f>
        <v>40.850999999999999</v>
      </c>
      <c r="K340">
        <v>339</v>
      </c>
    </row>
    <row r="341" spans="1:11" x14ac:dyDescent="0.35">
      <c r="A341" t="s">
        <v>1234</v>
      </c>
      <c r="B341" t="s">
        <v>679</v>
      </c>
      <c r="C341">
        <v>86</v>
      </c>
      <c r="D341" t="s">
        <v>894</v>
      </c>
      <c r="E341" t="str">
        <f>IF(CKadeaTelcoClients_Churn[[#This Row],[Type_Forfait]]="pro monde","B2B","B2C")</f>
        <v>B2B</v>
      </c>
      <c r="F341">
        <v>192</v>
      </c>
      <c r="G341">
        <v>26.26</v>
      </c>
      <c r="H341">
        <v>1</v>
      </c>
      <c r="I341" s="8">
        <f>IF(AND(F341&gt;720,C341&gt;60),70%,
IF(CKadeaTelcoClients_Churn[[#This Row],[Type_Client]]="B2B",10%,
IF(OR(AND(F341&gt;=240,F341&lt;=720),AND(C341&lt;60,D341="Premium 5G 150Go")),45%,0%)))</f>
        <v>0.1</v>
      </c>
      <c r="J341" s="9">
        <f>CKadeaTelcoClients_Churn[[#This Row],[Remise]]*CKadeaTelcoClients_Churn[[#This Row],[Facture_Mensuelle]]</f>
        <v>2.6260000000000003</v>
      </c>
      <c r="K341">
        <v>340</v>
      </c>
    </row>
    <row r="342" spans="1:11" x14ac:dyDescent="0.35">
      <c r="A342" t="s">
        <v>1235</v>
      </c>
      <c r="B342" t="s">
        <v>699</v>
      </c>
      <c r="C342">
        <v>109</v>
      </c>
      <c r="D342" t="s">
        <v>894</v>
      </c>
      <c r="E342" t="str">
        <f>IF(CKadeaTelcoClients_Churn[[#This Row],[Type_Forfait]]="pro monde","B2B","B2C")</f>
        <v>B2B</v>
      </c>
      <c r="F342">
        <v>397</v>
      </c>
      <c r="G342">
        <v>63.92</v>
      </c>
      <c r="H342">
        <v>1</v>
      </c>
      <c r="I342" s="8">
        <f>IF(AND(F342&gt;720,C342&gt;60),70%,
IF(CKadeaTelcoClients_Churn[[#This Row],[Type_Client]]="B2B",10%,
IF(OR(AND(F342&gt;=240,F342&lt;=720),AND(C342&lt;60,D342="Premium 5G 150Go")),45%,0%)))</f>
        <v>0.1</v>
      </c>
      <c r="J342" s="9">
        <f>CKadeaTelcoClients_Churn[[#This Row],[Remise]]*CKadeaTelcoClients_Churn[[#This Row],[Facture_Mensuelle]]</f>
        <v>6.3920000000000003</v>
      </c>
      <c r="K342">
        <v>341</v>
      </c>
    </row>
    <row r="343" spans="1:11" x14ac:dyDescent="0.35">
      <c r="A343" t="s">
        <v>1236</v>
      </c>
      <c r="B343" t="s">
        <v>700</v>
      </c>
      <c r="C343">
        <v>103</v>
      </c>
      <c r="D343" t="s">
        <v>892</v>
      </c>
      <c r="E343" t="str">
        <f>IF(CKadeaTelcoClients_Churn[[#This Row],[Type_Forfait]]="pro monde","B2B","B2C")</f>
        <v>B2C</v>
      </c>
      <c r="F343">
        <v>354</v>
      </c>
      <c r="G343">
        <v>26.19</v>
      </c>
      <c r="H343">
        <v>4</v>
      </c>
      <c r="I343" s="8">
        <f>IF(AND(F343&gt;720,C343&gt;60),70%,
IF(CKadeaTelcoClients_Churn[[#This Row],[Type_Client]]="B2B",10%,
IF(OR(AND(F343&gt;=240,F343&lt;=720),AND(C343&lt;60,D343="Premium 5G 150Go")),45%,0%)))</f>
        <v>0.45</v>
      </c>
      <c r="J343" s="9">
        <f>CKadeaTelcoClients_Churn[[#This Row],[Remise]]*CKadeaTelcoClients_Churn[[#This Row],[Facture_Mensuelle]]</f>
        <v>11.785500000000001</v>
      </c>
      <c r="K343">
        <v>342</v>
      </c>
    </row>
    <row r="344" spans="1:11" x14ac:dyDescent="0.35">
      <c r="A344" t="s">
        <v>1237</v>
      </c>
      <c r="B344" t="s">
        <v>716</v>
      </c>
      <c r="C344">
        <v>106</v>
      </c>
      <c r="D344" t="s">
        <v>899</v>
      </c>
      <c r="E344" t="str">
        <f>IF(CKadeaTelcoClients_Churn[[#This Row],[Type_Forfait]]="pro monde","B2B","B2C")</f>
        <v>B2C</v>
      </c>
      <c r="F344">
        <v>407</v>
      </c>
      <c r="G344">
        <v>59.92</v>
      </c>
      <c r="H344">
        <v>4</v>
      </c>
      <c r="I344" s="8">
        <f>IF(AND(F344&gt;720,C344&gt;60),70%,
IF(CKadeaTelcoClients_Churn[[#This Row],[Type_Client]]="B2B",10%,
IF(OR(AND(F344&gt;=240,F344&lt;=720),AND(C344&lt;60,D344="Premium 5G 150Go")),45%,0%)))</f>
        <v>0.45</v>
      </c>
      <c r="J344" s="9">
        <f>CKadeaTelcoClients_Churn[[#This Row],[Remise]]*CKadeaTelcoClients_Churn[[#This Row],[Facture_Mensuelle]]</f>
        <v>26.964000000000002</v>
      </c>
      <c r="K344">
        <v>343</v>
      </c>
    </row>
    <row r="345" spans="1:11" x14ac:dyDescent="0.35">
      <c r="A345" t="s">
        <v>1238</v>
      </c>
      <c r="B345" t="s">
        <v>688</v>
      </c>
      <c r="C345">
        <v>90</v>
      </c>
      <c r="D345" t="s">
        <v>899</v>
      </c>
      <c r="E345" t="str">
        <f>IF(CKadeaTelcoClients_Churn[[#This Row],[Type_Forfait]]="pro monde","B2B","B2C")</f>
        <v>B2C</v>
      </c>
      <c r="F345">
        <v>343</v>
      </c>
      <c r="G345">
        <v>82.05</v>
      </c>
      <c r="H345">
        <v>1</v>
      </c>
      <c r="I345" s="8">
        <f>IF(AND(F345&gt;720,C345&gt;60),70%,
IF(CKadeaTelcoClients_Churn[[#This Row],[Type_Client]]="B2B",10%,
IF(OR(AND(F345&gt;=240,F345&lt;=720),AND(C345&lt;60,D345="Premium 5G 150Go")),45%,0%)))</f>
        <v>0.45</v>
      </c>
      <c r="J345" s="9">
        <f>CKadeaTelcoClients_Churn[[#This Row],[Remise]]*CKadeaTelcoClients_Churn[[#This Row],[Facture_Mensuelle]]</f>
        <v>36.922499999999999</v>
      </c>
      <c r="K345">
        <v>344</v>
      </c>
    </row>
    <row r="346" spans="1:11" x14ac:dyDescent="0.35">
      <c r="A346" t="s">
        <v>1239</v>
      </c>
      <c r="B346" t="s">
        <v>696</v>
      </c>
      <c r="C346">
        <v>5</v>
      </c>
      <c r="D346" t="s">
        <v>899</v>
      </c>
      <c r="E346" t="str">
        <f>IF(CKadeaTelcoClients_Churn[[#This Row],[Type_Forfait]]="pro monde","B2B","B2C")</f>
        <v>B2C</v>
      </c>
      <c r="F346">
        <v>337</v>
      </c>
      <c r="G346">
        <v>21.07</v>
      </c>
      <c r="H346">
        <v>4</v>
      </c>
      <c r="I346" s="8">
        <f>IF(AND(F346&gt;720,C346&gt;60),70%,
IF(CKadeaTelcoClients_Churn[[#This Row],[Type_Client]]="B2B",10%,
IF(OR(AND(F346&gt;=240,F346&lt;=720),AND(C346&lt;60,D346="Premium 5G 150Go")),45%,0%)))</f>
        <v>0.45</v>
      </c>
      <c r="J346" s="9">
        <f>CKadeaTelcoClients_Churn[[#This Row],[Remise]]*CKadeaTelcoClients_Churn[[#This Row],[Facture_Mensuelle]]</f>
        <v>9.4815000000000005</v>
      </c>
      <c r="K346">
        <v>345</v>
      </c>
    </row>
    <row r="347" spans="1:11" x14ac:dyDescent="0.35">
      <c r="A347" t="s">
        <v>1240</v>
      </c>
      <c r="B347" t="s">
        <v>699</v>
      </c>
      <c r="C347">
        <v>77</v>
      </c>
      <c r="D347" t="s">
        <v>899</v>
      </c>
      <c r="E347" t="str">
        <f>IF(CKadeaTelcoClients_Churn[[#This Row],[Type_Forfait]]="pro monde","B2B","B2C")</f>
        <v>B2C</v>
      </c>
      <c r="F347">
        <v>45</v>
      </c>
      <c r="G347">
        <v>21.59</v>
      </c>
      <c r="H347">
        <v>2</v>
      </c>
      <c r="I347" s="8">
        <f>IF(AND(F347&gt;720,C347&gt;60),70%,
IF(CKadeaTelcoClients_Churn[[#This Row],[Type_Client]]="B2B",10%,
IF(OR(AND(F347&gt;=240,F347&lt;=720),AND(C347&lt;60,D347="Premium 5G 150Go")),45%,0%)))</f>
        <v>0</v>
      </c>
      <c r="J347" s="9">
        <f>CKadeaTelcoClients_Churn[[#This Row],[Remise]]*CKadeaTelcoClients_Churn[[#This Row],[Facture_Mensuelle]]</f>
        <v>0</v>
      </c>
      <c r="K347">
        <v>346</v>
      </c>
    </row>
    <row r="348" spans="1:11" x14ac:dyDescent="0.35">
      <c r="A348" t="s">
        <v>1241</v>
      </c>
      <c r="B348" t="s">
        <v>719</v>
      </c>
      <c r="C348">
        <v>41</v>
      </c>
      <c r="D348" t="s">
        <v>897</v>
      </c>
      <c r="E348" t="str">
        <f>IF(CKadeaTelcoClients_Churn[[#This Row],[Type_Forfait]]="pro monde","B2B","B2C")</f>
        <v>B2C</v>
      </c>
      <c r="F348">
        <v>398</v>
      </c>
      <c r="G348">
        <v>28.56</v>
      </c>
      <c r="H348">
        <v>2</v>
      </c>
      <c r="I348" s="8">
        <f>IF(AND(F348&gt;720,C348&gt;60),70%,
IF(CKadeaTelcoClients_Churn[[#This Row],[Type_Client]]="B2B",10%,
IF(OR(AND(F348&gt;=240,F348&lt;=720),AND(C348&lt;60,D348="Premium 5G 150Go")),45%,0%)))</f>
        <v>0.45</v>
      </c>
      <c r="J348" s="9">
        <f>CKadeaTelcoClients_Churn[[#This Row],[Remise]]*CKadeaTelcoClients_Churn[[#This Row],[Facture_Mensuelle]]</f>
        <v>12.852</v>
      </c>
      <c r="K348">
        <v>347</v>
      </c>
    </row>
    <row r="349" spans="1:11" x14ac:dyDescent="0.35">
      <c r="A349" t="s">
        <v>1242</v>
      </c>
      <c r="B349" t="s">
        <v>690</v>
      </c>
      <c r="C349">
        <v>40</v>
      </c>
      <c r="D349" t="s">
        <v>892</v>
      </c>
      <c r="E349" t="str">
        <f>IF(CKadeaTelcoClients_Churn[[#This Row],[Type_Forfait]]="pro monde","B2B","B2C")</f>
        <v>B2C</v>
      </c>
      <c r="F349">
        <v>237</v>
      </c>
      <c r="G349">
        <v>24.51</v>
      </c>
      <c r="H349">
        <v>1</v>
      </c>
      <c r="I349" s="8">
        <f>IF(AND(F349&gt;720,C349&gt;60),70%,
IF(CKadeaTelcoClients_Churn[[#This Row],[Type_Client]]="B2B",10%,
IF(OR(AND(F349&gt;=240,F349&lt;=720),AND(C349&lt;60,D349="Premium 5G 150Go")),45%,0%)))</f>
        <v>0.45</v>
      </c>
      <c r="J349" s="9">
        <f>CKadeaTelcoClients_Churn[[#This Row],[Remise]]*CKadeaTelcoClients_Churn[[#This Row],[Facture_Mensuelle]]</f>
        <v>11.029500000000001</v>
      </c>
      <c r="K349">
        <v>348</v>
      </c>
    </row>
    <row r="350" spans="1:11" x14ac:dyDescent="0.35">
      <c r="A350" t="s">
        <v>1243</v>
      </c>
      <c r="B350" t="s">
        <v>737</v>
      </c>
      <c r="C350">
        <v>65</v>
      </c>
      <c r="D350" t="s">
        <v>897</v>
      </c>
      <c r="E350" t="str">
        <f>IF(CKadeaTelcoClients_Churn[[#This Row],[Type_Forfait]]="pro monde","B2B","B2C")</f>
        <v>B2C</v>
      </c>
      <c r="F350">
        <v>442</v>
      </c>
      <c r="G350">
        <v>60.62</v>
      </c>
      <c r="H350">
        <v>5</v>
      </c>
      <c r="I350" s="8">
        <f>IF(AND(F350&gt;720,C350&gt;60),70%,
IF(CKadeaTelcoClients_Churn[[#This Row],[Type_Client]]="B2B",10%,
IF(OR(AND(F350&gt;=240,F350&lt;=720),AND(C350&lt;60,D350="Premium 5G 150Go")),45%,0%)))</f>
        <v>0.45</v>
      </c>
      <c r="J350" s="9">
        <f>CKadeaTelcoClients_Churn[[#This Row],[Remise]]*CKadeaTelcoClients_Churn[[#This Row],[Facture_Mensuelle]]</f>
        <v>27.279</v>
      </c>
      <c r="K350">
        <v>349</v>
      </c>
    </row>
    <row r="351" spans="1:11" x14ac:dyDescent="0.35">
      <c r="A351" t="s">
        <v>1244</v>
      </c>
      <c r="B351" t="s">
        <v>725</v>
      </c>
      <c r="C351">
        <v>89</v>
      </c>
      <c r="D351" t="s">
        <v>899</v>
      </c>
      <c r="E351" t="str">
        <f>IF(CKadeaTelcoClients_Churn[[#This Row],[Type_Forfait]]="pro monde","B2B","B2C")</f>
        <v>B2C</v>
      </c>
      <c r="F351">
        <v>418</v>
      </c>
      <c r="G351">
        <v>86.63</v>
      </c>
      <c r="H351">
        <v>4</v>
      </c>
      <c r="I351" s="8">
        <f>IF(AND(F351&gt;720,C351&gt;60),70%,
IF(CKadeaTelcoClients_Churn[[#This Row],[Type_Client]]="B2B",10%,
IF(OR(AND(F351&gt;=240,F351&lt;=720),AND(C351&lt;60,D351="Premium 5G 150Go")),45%,0%)))</f>
        <v>0.45</v>
      </c>
      <c r="J351" s="9">
        <f>CKadeaTelcoClients_Churn[[#This Row],[Remise]]*CKadeaTelcoClients_Churn[[#This Row],[Facture_Mensuelle]]</f>
        <v>38.983499999999999</v>
      </c>
      <c r="K351">
        <v>350</v>
      </c>
    </row>
    <row r="352" spans="1:11" x14ac:dyDescent="0.35">
      <c r="A352" t="s">
        <v>1245</v>
      </c>
      <c r="B352" t="s">
        <v>702</v>
      </c>
      <c r="C352">
        <v>12</v>
      </c>
      <c r="D352" t="s">
        <v>894</v>
      </c>
      <c r="E352" t="str">
        <f>IF(CKadeaTelcoClients_Churn[[#This Row],[Type_Forfait]]="pro monde","B2B","B2C")</f>
        <v>B2B</v>
      </c>
      <c r="F352">
        <v>125</v>
      </c>
      <c r="G352">
        <v>36.93</v>
      </c>
      <c r="H352">
        <v>0</v>
      </c>
      <c r="I352" s="8">
        <f>IF(AND(F352&gt;720,C352&gt;60),70%,
IF(CKadeaTelcoClients_Churn[[#This Row],[Type_Client]]="B2B",10%,
IF(OR(AND(F352&gt;=240,F352&lt;=720),AND(C352&lt;60,D352="Premium 5G 150Go")),45%,0%)))</f>
        <v>0.1</v>
      </c>
      <c r="J352" s="9">
        <f>CKadeaTelcoClients_Churn[[#This Row],[Remise]]*CKadeaTelcoClients_Churn[[#This Row],[Facture_Mensuelle]]</f>
        <v>3.6930000000000001</v>
      </c>
      <c r="K352">
        <v>351</v>
      </c>
    </row>
    <row r="353" spans="1:11" x14ac:dyDescent="0.35">
      <c r="A353" t="s">
        <v>1246</v>
      </c>
      <c r="B353" t="s">
        <v>696</v>
      </c>
      <c r="C353">
        <v>47</v>
      </c>
      <c r="D353" t="s">
        <v>894</v>
      </c>
      <c r="E353" t="str">
        <f>IF(CKadeaTelcoClients_Churn[[#This Row],[Type_Forfait]]="pro monde","B2B","B2C")</f>
        <v>B2B</v>
      </c>
      <c r="F353">
        <v>378</v>
      </c>
      <c r="G353">
        <v>36.42</v>
      </c>
      <c r="H353">
        <v>1</v>
      </c>
      <c r="I353" s="8">
        <f>IF(AND(F353&gt;720,C353&gt;60),70%,
IF(CKadeaTelcoClients_Churn[[#This Row],[Type_Client]]="B2B",10%,
IF(OR(AND(F353&gt;=240,F353&lt;=720),AND(C353&lt;60,D353="Premium 5G 150Go")),45%,0%)))</f>
        <v>0.1</v>
      </c>
      <c r="J353" s="9">
        <f>CKadeaTelcoClients_Churn[[#This Row],[Remise]]*CKadeaTelcoClients_Churn[[#This Row],[Facture_Mensuelle]]</f>
        <v>3.6420000000000003</v>
      </c>
      <c r="K353">
        <v>352</v>
      </c>
    </row>
    <row r="354" spans="1:11" x14ac:dyDescent="0.35">
      <c r="A354" t="s">
        <v>1247</v>
      </c>
      <c r="B354" t="s">
        <v>738</v>
      </c>
      <c r="C354">
        <v>117</v>
      </c>
      <c r="D354" t="s">
        <v>899</v>
      </c>
      <c r="E354" t="str">
        <f>IF(CKadeaTelcoClients_Churn[[#This Row],[Type_Forfait]]="pro monde","B2B","B2C")</f>
        <v>B2C</v>
      </c>
      <c r="F354">
        <v>338</v>
      </c>
      <c r="G354">
        <v>29.18</v>
      </c>
      <c r="H354">
        <v>5</v>
      </c>
      <c r="I354" s="8">
        <f>IF(AND(F354&gt;720,C354&gt;60),70%,
IF(CKadeaTelcoClients_Churn[[#This Row],[Type_Client]]="B2B",10%,
IF(OR(AND(F354&gt;=240,F354&lt;=720),AND(C354&lt;60,D354="Premium 5G 150Go")),45%,0%)))</f>
        <v>0.45</v>
      </c>
      <c r="J354" s="9">
        <f>CKadeaTelcoClients_Churn[[#This Row],[Remise]]*CKadeaTelcoClients_Churn[[#This Row],[Facture_Mensuelle]]</f>
        <v>13.131</v>
      </c>
      <c r="K354">
        <v>353</v>
      </c>
    </row>
    <row r="355" spans="1:11" x14ac:dyDescent="0.35">
      <c r="A355" t="s">
        <v>1248</v>
      </c>
      <c r="B355" t="s">
        <v>703</v>
      </c>
      <c r="C355">
        <v>43</v>
      </c>
      <c r="D355" t="s">
        <v>892</v>
      </c>
      <c r="E355" t="str">
        <f>IF(CKadeaTelcoClients_Churn[[#This Row],[Type_Forfait]]="pro monde","B2B","B2C")</f>
        <v>B2C</v>
      </c>
      <c r="F355">
        <v>486</v>
      </c>
      <c r="G355">
        <v>76.42</v>
      </c>
      <c r="H355">
        <v>1</v>
      </c>
      <c r="I355" s="8">
        <f>IF(AND(F355&gt;720,C355&gt;60),70%,
IF(CKadeaTelcoClients_Churn[[#This Row],[Type_Client]]="B2B",10%,
IF(OR(AND(F355&gt;=240,F355&lt;=720),AND(C355&lt;60,D355="Premium 5G 150Go")),45%,0%)))</f>
        <v>0.45</v>
      </c>
      <c r="J355" s="9">
        <f>CKadeaTelcoClients_Churn[[#This Row],[Remise]]*CKadeaTelcoClients_Churn[[#This Row],[Facture_Mensuelle]]</f>
        <v>34.389000000000003</v>
      </c>
      <c r="K355">
        <v>354</v>
      </c>
    </row>
    <row r="356" spans="1:11" x14ac:dyDescent="0.35">
      <c r="A356" t="s">
        <v>1249</v>
      </c>
      <c r="B356" t="s">
        <v>696</v>
      </c>
      <c r="C356">
        <v>100</v>
      </c>
      <c r="D356" t="s">
        <v>897</v>
      </c>
      <c r="E356" t="str">
        <f>IF(CKadeaTelcoClients_Churn[[#This Row],[Type_Forfait]]="pro monde","B2B","B2C")</f>
        <v>B2C</v>
      </c>
      <c r="F356">
        <v>471</v>
      </c>
      <c r="G356">
        <v>61.2</v>
      </c>
      <c r="H356">
        <v>3</v>
      </c>
      <c r="I356" s="8">
        <f>IF(AND(F356&gt;720,C356&gt;60),70%,
IF(CKadeaTelcoClients_Churn[[#This Row],[Type_Client]]="B2B",10%,
IF(OR(AND(F356&gt;=240,F356&lt;=720),AND(C356&lt;60,D356="Premium 5G 150Go")),45%,0%)))</f>
        <v>0.45</v>
      </c>
      <c r="J356" s="9">
        <f>CKadeaTelcoClients_Churn[[#This Row],[Remise]]*CKadeaTelcoClients_Churn[[#This Row],[Facture_Mensuelle]]</f>
        <v>27.540000000000003</v>
      </c>
      <c r="K356">
        <v>355</v>
      </c>
    </row>
    <row r="357" spans="1:11" x14ac:dyDescent="0.35">
      <c r="A357" t="s">
        <v>1250</v>
      </c>
      <c r="B357" t="s">
        <v>675</v>
      </c>
      <c r="C357">
        <v>35</v>
      </c>
      <c r="D357" t="s">
        <v>899</v>
      </c>
      <c r="E357" t="str">
        <f>IF(CKadeaTelcoClients_Churn[[#This Row],[Type_Forfait]]="pro monde","B2B","B2C")</f>
        <v>B2C</v>
      </c>
      <c r="F357">
        <v>421</v>
      </c>
      <c r="G357">
        <v>29.57</v>
      </c>
      <c r="H357">
        <v>5</v>
      </c>
      <c r="I357" s="8">
        <f>IF(AND(F357&gt;720,C357&gt;60),70%,
IF(CKadeaTelcoClients_Churn[[#This Row],[Type_Client]]="B2B",10%,
IF(OR(AND(F357&gt;=240,F357&lt;=720),AND(C357&lt;60,D357="Premium 5G 150Go")),45%,0%)))</f>
        <v>0.45</v>
      </c>
      <c r="J357" s="9">
        <f>CKadeaTelcoClients_Churn[[#This Row],[Remise]]*CKadeaTelcoClients_Churn[[#This Row],[Facture_Mensuelle]]</f>
        <v>13.3065</v>
      </c>
      <c r="K357">
        <v>356</v>
      </c>
    </row>
    <row r="358" spans="1:11" x14ac:dyDescent="0.35">
      <c r="A358" t="s">
        <v>1251</v>
      </c>
      <c r="B358" t="s">
        <v>726</v>
      </c>
      <c r="C358">
        <v>19</v>
      </c>
      <c r="D358" t="s">
        <v>899</v>
      </c>
      <c r="E358" t="str">
        <f>IF(CKadeaTelcoClients_Churn[[#This Row],[Type_Forfait]]="pro monde","B2B","B2C")</f>
        <v>B2C</v>
      </c>
      <c r="F358">
        <v>450</v>
      </c>
      <c r="G358">
        <v>37.43</v>
      </c>
      <c r="H358">
        <v>2</v>
      </c>
      <c r="I358" s="8">
        <f>IF(AND(F358&gt;720,C358&gt;60),70%,
IF(CKadeaTelcoClients_Churn[[#This Row],[Type_Client]]="B2B",10%,
IF(OR(AND(F358&gt;=240,F358&lt;=720),AND(C358&lt;60,D358="Premium 5G 150Go")),45%,0%)))</f>
        <v>0.45</v>
      </c>
      <c r="J358" s="9">
        <f>CKadeaTelcoClients_Churn[[#This Row],[Remise]]*CKadeaTelcoClients_Churn[[#This Row],[Facture_Mensuelle]]</f>
        <v>16.843499999999999</v>
      </c>
      <c r="K358">
        <v>357</v>
      </c>
    </row>
    <row r="359" spans="1:11" x14ac:dyDescent="0.35">
      <c r="A359" t="s">
        <v>1252</v>
      </c>
      <c r="B359" t="s">
        <v>702</v>
      </c>
      <c r="C359">
        <v>112</v>
      </c>
      <c r="D359" t="s">
        <v>899</v>
      </c>
      <c r="E359" t="str">
        <f>IF(CKadeaTelcoClients_Churn[[#This Row],[Type_Forfait]]="pro monde","B2B","B2C")</f>
        <v>B2C</v>
      </c>
      <c r="F359">
        <v>483</v>
      </c>
      <c r="G359">
        <v>93.98</v>
      </c>
      <c r="H359">
        <v>0</v>
      </c>
      <c r="I359" s="8">
        <f>IF(AND(F359&gt;720,C359&gt;60),70%,
IF(CKadeaTelcoClients_Churn[[#This Row],[Type_Client]]="B2B",10%,
IF(OR(AND(F359&gt;=240,F359&lt;=720),AND(C359&lt;60,D359="Premium 5G 150Go")),45%,0%)))</f>
        <v>0.45</v>
      </c>
      <c r="J359" s="9">
        <f>CKadeaTelcoClients_Churn[[#This Row],[Remise]]*CKadeaTelcoClients_Churn[[#This Row],[Facture_Mensuelle]]</f>
        <v>42.291000000000004</v>
      </c>
      <c r="K359">
        <v>358</v>
      </c>
    </row>
    <row r="360" spans="1:11" x14ac:dyDescent="0.35">
      <c r="A360" t="s">
        <v>1253</v>
      </c>
      <c r="B360" t="s">
        <v>693</v>
      </c>
      <c r="C360">
        <v>103</v>
      </c>
      <c r="D360" t="s">
        <v>894</v>
      </c>
      <c r="E360" t="str">
        <f>IF(CKadeaTelcoClients_Churn[[#This Row],[Type_Forfait]]="pro monde","B2B","B2C")</f>
        <v>B2B</v>
      </c>
      <c r="F360">
        <v>270</v>
      </c>
      <c r="G360">
        <v>67.87</v>
      </c>
      <c r="H360">
        <v>3</v>
      </c>
      <c r="I360" s="8">
        <f>IF(AND(F360&gt;720,C360&gt;60),70%,
IF(CKadeaTelcoClients_Churn[[#This Row],[Type_Client]]="B2B",10%,
IF(OR(AND(F360&gt;=240,F360&lt;=720),AND(C360&lt;60,D360="Premium 5G 150Go")),45%,0%)))</f>
        <v>0.1</v>
      </c>
      <c r="J360" s="9">
        <f>CKadeaTelcoClients_Churn[[#This Row],[Remise]]*CKadeaTelcoClients_Churn[[#This Row],[Facture_Mensuelle]]</f>
        <v>6.7870000000000008</v>
      </c>
      <c r="K360">
        <v>359</v>
      </c>
    </row>
    <row r="361" spans="1:11" x14ac:dyDescent="0.35">
      <c r="A361" t="s">
        <v>1254</v>
      </c>
      <c r="B361" t="s">
        <v>711</v>
      </c>
      <c r="C361">
        <v>29</v>
      </c>
      <c r="D361" t="s">
        <v>892</v>
      </c>
      <c r="E361" t="str">
        <f>IF(CKadeaTelcoClients_Churn[[#This Row],[Type_Forfait]]="pro monde","B2B","B2C")</f>
        <v>B2C</v>
      </c>
      <c r="F361">
        <v>350</v>
      </c>
      <c r="G361">
        <v>84.32</v>
      </c>
      <c r="H361">
        <v>3</v>
      </c>
      <c r="I361" s="8">
        <f>IF(AND(F361&gt;720,C361&gt;60),70%,
IF(CKadeaTelcoClients_Churn[[#This Row],[Type_Client]]="B2B",10%,
IF(OR(AND(F361&gt;=240,F361&lt;=720),AND(C361&lt;60,D361="Premium 5G 150Go")),45%,0%)))</f>
        <v>0.45</v>
      </c>
      <c r="J361" s="9">
        <f>CKadeaTelcoClients_Churn[[#This Row],[Remise]]*CKadeaTelcoClients_Churn[[#This Row],[Facture_Mensuelle]]</f>
        <v>37.943999999999996</v>
      </c>
      <c r="K361">
        <v>360</v>
      </c>
    </row>
    <row r="362" spans="1:11" x14ac:dyDescent="0.35">
      <c r="A362" t="s">
        <v>1255</v>
      </c>
      <c r="B362" t="s">
        <v>682</v>
      </c>
      <c r="C362">
        <v>36</v>
      </c>
      <c r="D362" t="s">
        <v>897</v>
      </c>
      <c r="E362" t="str">
        <f>IF(CKadeaTelcoClients_Churn[[#This Row],[Type_Forfait]]="pro monde","B2B","B2C")</f>
        <v>B2C</v>
      </c>
      <c r="F362">
        <v>311</v>
      </c>
      <c r="G362">
        <v>13.19</v>
      </c>
      <c r="H362">
        <v>4</v>
      </c>
      <c r="I362" s="8">
        <f>IF(AND(F362&gt;720,C362&gt;60),70%,
IF(CKadeaTelcoClients_Churn[[#This Row],[Type_Client]]="B2B",10%,
IF(OR(AND(F362&gt;=240,F362&lt;=720),AND(C362&lt;60,D362="Premium 5G 150Go")),45%,0%)))</f>
        <v>0.45</v>
      </c>
      <c r="J362" s="9">
        <f>CKadeaTelcoClients_Churn[[#This Row],[Remise]]*CKadeaTelcoClients_Churn[[#This Row],[Facture_Mensuelle]]</f>
        <v>5.9355000000000002</v>
      </c>
      <c r="K362">
        <v>361</v>
      </c>
    </row>
    <row r="363" spans="1:11" x14ac:dyDescent="0.35">
      <c r="A363" t="s">
        <v>1256</v>
      </c>
      <c r="B363" t="s">
        <v>716</v>
      </c>
      <c r="C363">
        <v>2</v>
      </c>
      <c r="D363" t="s">
        <v>892</v>
      </c>
      <c r="E363" t="str">
        <f>IF(CKadeaTelcoClients_Churn[[#This Row],[Type_Forfait]]="pro monde","B2B","B2C")</f>
        <v>B2C</v>
      </c>
      <c r="F363">
        <v>21</v>
      </c>
      <c r="G363">
        <v>51.68</v>
      </c>
      <c r="H363">
        <v>3</v>
      </c>
      <c r="I363" s="8">
        <f>IF(AND(F363&gt;720,C363&gt;60),70%,
IF(CKadeaTelcoClients_Churn[[#This Row],[Type_Client]]="B2B",10%,
IF(OR(AND(F363&gt;=240,F363&lt;=720),AND(C363&lt;60,D363="Premium 5G 150Go")),45%,0%)))</f>
        <v>0.45</v>
      </c>
      <c r="J363" s="9">
        <f>CKadeaTelcoClients_Churn[[#This Row],[Remise]]*CKadeaTelcoClients_Churn[[#This Row],[Facture_Mensuelle]]</f>
        <v>23.256</v>
      </c>
      <c r="K363">
        <v>362</v>
      </c>
    </row>
    <row r="364" spans="1:11" x14ac:dyDescent="0.35">
      <c r="A364" t="s">
        <v>1257</v>
      </c>
      <c r="B364" t="s">
        <v>704</v>
      </c>
      <c r="C364">
        <v>13</v>
      </c>
      <c r="D364" t="s">
        <v>899</v>
      </c>
      <c r="E364" t="str">
        <f>IF(CKadeaTelcoClients_Churn[[#This Row],[Type_Forfait]]="pro monde","B2B","B2C")</f>
        <v>B2C</v>
      </c>
      <c r="F364">
        <v>310</v>
      </c>
      <c r="G364">
        <v>65.599999999999994</v>
      </c>
      <c r="H364">
        <v>5</v>
      </c>
      <c r="I364" s="8">
        <f>IF(AND(F364&gt;720,C364&gt;60),70%,
IF(CKadeaTelcoClients_Churn[[#This Row],[Type_Client]]="B2B",10%,
IF(OR(AND(F364&gt;=240,F364&lt;=720),AND(C364&lt;60,D364="Premium 5G 150Go")),45%,0%)))</f>
        <v>0.45</v>
      </c>
      <c r="J364" s="9">
        <f>CKadeaTelcoClients_Churn[[#This Row],[Remise]]*CKadeaTelcoClients_Churn[[#This Row],[Facture_Mensuelle]]</f>
        <v>29.52</v>
      </c>
      <c r="K364">
        <v>363</v>
      </c>
    </row>
    <row r="365" spans="1:11" x14ac:dyDescent="0.35">
      <c r="A365" t="s">
        <v>1258</v>
      </c>
      <c r="B365" t="s">
        <v>694</v>
      </c>
      <c r="C365">
        <v>49</v>
      </c>
      <c r="D365" t="s">
        <v>894</v>
      </c>
      <c r="E365" t="str">
        <f>IF(CKadeaTelcoClients_Churn[[#This Row],[Type_Forfait]]="pro monde","B2B","B2C")</f>
        <v>B2B</v>
      </c>
      <c r="F365">
        <v>229</v>
      </c>
      <c r="G365">
        <v>53.94</v>
      </c>
      <c r="H365">
        <v>5</v>
      </c>
      <c r="I365" s="8">
        <f>IF(AND(F365&gt;720,C365&gt;60),70%,
IF(CKadeaTelcoClients_Churn[[#This Row],[Type_Client]]="B2B",10%,
IF(OR(AND(F365&gt;=240,F365&lt;=720),AND(C365&lt;60,D365="Premium 5G 150Go")),45%,0%)))</f>
        <v>0.1</v>
      </c>
      <c r="J365" s="9">
        <f>CKadeaTelcoClients_Churn[[#This Row],[Remise]]*CKadeaTelcoClients_Churn[[#This Row],[Facture_Mensuelle]]</f>
        <v>5.3940000000000001</v>
      </c>
      <c r="K365">
        <v>364</v>
      </c>
    </row>
    <row r="366" spans="1:11" x14ac:dyDescent="0.35">
      <c r="A366" t="s">
        <v>1259</v>
      </c>
      <c r="B366" t="s">
        <v>726</v>
      </c>
      <c r="C366">
        <v>29</v>
      </c>
      <c r="D366" t="s">
        <v>894</v>
      </c>
      <c r="E366" t="str">
        <f>IF(CKadeaTelcoClients_Churn[[#This Row],[Type_Forfait]]="pro monde","B2B","B2C")</f>
        <v>B2B</v>
      </c>
      <c r="F366">
        <v>493</v>
      </c>
      <c r="G366">
        <v>42.02</v>
      </c>
      <c r="H366">
        <v>1</v>
      </c>
      <c r="I366" s="8">
        <f>IF(AND(F366&gt;720,C366&gt;60),70%,
IF(CKadeaTelcoClients_Churn[[#This Row],[Type_Client]]="B2B",10%,
IF(OR(AND(F366&gt;=240,F366&lt;=720),AND(C366&lt;60,D366="Premium 5G 150Go")),45%,0%)))</f>
        <v>0.1</v>
      </c>
      <c r="J366" s="9">
        <f>CKadeaTelcoClients_Churn[[#This Row],[Remise]]*CKadeaTelcoClients_Churn[[#This Row],[Facture_Mensuelle]]</f>
        <v>4.2020000000000008</v>
      </c>
      <c r="K366">
        <v>365</v>
      </c>
    </row>
    <row r="367" spans="1:11" x14ac:dyDescent="0.35">
      <c r="A367" t="s">
        <v>1260</v>
      </c>
      <c r="B367" t="s">
        <v>738</v>
      </c>
      <c r="C367">
        <v>49</v>
      </c>
      <c r="D367" t="s">
        <v>899</v>
      </c>
      <c r="E367" t="str">
        <f>IF(CKadeaTelcoClients_Churn[[#This Row],[Type_Forfait]]="pro monde","B2B","B2C")</f>
        <v>B2C</v>
      </c>
      <c r="F367">
        <v>86</v>
      </c>
      <c r="G367">
        <v>65.400000000000006</v>
      </c>
      <c r="H367">
        <v>2</v>
      </c>
      <c r="I367" s="8">
        <f>IF(AND(F367&gt;720,C367&gt;60),70%,
IF(CKadeaTelcoClients_Churn[[#This Row],[Type_Client]]="B2B",10%,
IF(OR(AND(F367&gt;=240,F367&lt;=720),AND(C367&lt;60,D367="Premium 5G 150Go")),45%,0%)))</f>
        <v>0</v>
      </c>
      <c r="J367" s="9">
        <f>CKadeaTelcoClients_Churn[[#This Row],[Remise]]*CKadeaTelcoClients_Churn[[#This Row],[Facture_Mensuelle]]</f>
        <v>0</v>
      </c>
      <c r="K367">
        <v>366</v>
      </c>
    </row>
    <row r="368" spans="1:11" x14ac:dyDescent="0.35">
      <c r="A368" t="s">
        <v>1261</v>
      </c>
      <c r="B368" t="s">
        <v>719</v>
      </c>
      <c r="C368">
        <v>14</v>
      </c>
      <c r="D368" t="s">
        <v>894</v>
      </c>
      <c r="E368" t="str">
        <f>IF(CKadeaTelcoClients_Churn[[#This Row],[Type_Forfait]]="pro monde","B2B","B2C")</f>
        <v>B2B</v>
      </c>
      <c r="F368">
        <v>345</v>
      </c>
      <c r="G368">
        <v>39.57</v>
      </c>
      <c r="H368">
        <v>3</v>
      </c>
      <c r="I368" s="8">
        <f>IF(AND(F368&gt;720,C368&gt;60),70%,
IF(CKadeaTelcoClients_Churn[[#This Row],[Type_Client]]="B2B",10%,
IF(OR(AND(F368&gt;=240,F368&lt;=720),AND(C368&lt;60,D368="Premium 5G 150Go")),45%,0%)))</f>
        <v>0.1</v>
      </c>
      <c r="J368" s="9">
        <f>CKadeaTelcoClients_Churn[[#This Row],[Remise]]*CKadeaTelcoClients_Churn[[#This Row],[Facture_Mensuelle]]</f>
        <v>3.9570000000000003</v>
      </c>
      <c r="K368">
        <v>367</v>
      </c>
    </row>
    <row r="369" spans="1:11" x14ac:dyDescent="0.35">
      <c r="A369" t="s">
        <v>1262</v>
      </c>
      <c r="B369" t="s">
        <v>702</v>
      </c>
      <c r="C369">
        <v>101</v>
      </c>
      <c r="D369" t="s">
        <v>892</v>
      </c>
      <c r="E369" t="str">
        <f>IF(CKadeaTelcoClients_Churn[[#This Row],[Type_Forfait]]="pro monde","B2B","B2C")</f>
        <v>B2C</v>
      </c>
      <c r="F369">
        <v>476</v>
      </c>
      <c r="G369">
        <v>41.85</v>
      </c>
      <c r="H369">
        <v>4</v>
      </c>
      <c r="I369" s="8">
        <f>IF(AND(F369&gt;720,C369&gt;60),70%,
IF(CKadeaTelcoClients_Churn[[#This Row],[Type_Client]]="B2B",10%,
IF(OR(AND(F369&gt;=240,F369&lt;=720),AND(C369&lt;60,D369="Premium 5G 150Go")),45%,0%)))</f>
        <v>0.45</v>
      </c>
      <c r="J369" s="9">
        <f>CKadeaTelcoClients_Churn[[#This Row],[Remise]]*CKadeaTelcoClients_Churn[[#This Row],[Facture_Mensuelle]]</f>
        <v>18.8325</v>
      </c>
      <c r="K369">
        <v>368</v>
      </c>
    </row>
    <row r="370" spans="1:11" x14ac:dyDescent="0.35">
      <c r="A370" t="s">
        <v>1263</v>
      </c>
      <c r="B370" t="s">
        <v>738</v>
      </c>
      <c r="C370">
        <v>119</v>
      </c>
      <c r="D370" t="s">
        <v>894</v>
      </c>
      <c r="E370" t="str">
        <f>IF(CKadeaTelcoClients_Churn[[#This Row],[Type_Forfait]]="pro monde","B2B","B2C")</f>
        <v>B2B</v>
      </c>
      <c r="F370">
        <v>451</v>
      </c>
      <c r="G370">
        <v>10.46</v>
      </c>
      <c r="H370">
        <v>5</v>
      </c>
      <c r="I370" s="8">
        <f>IF(AND(F370&gt;720,C370&gt;60),70%,
IF(CKadeaTelcoClients_Churn[[#This Row],[Type_Client]]="B2B",10%,
IF(OR(AND(F370&gt;=240,F370&lt;=720),AND(C370&lt;60,D370="Premium 5G 150Go")),45%,0%)))</f>
        <v>0.1</v>
      </c>
      <c r="J370" s="9">
        <f>CKadeaTelcoClients_Churn[[#This Row],[Remise]]*CKadeaTelcoClients_Churn[[#This Row],[Facture_Mensuelle]]</f>
        <v>1.046</v>
      </c>
      <c r="K370">
        <v>369</v>
      </c>
    </row>
    <row r="371" spans="1:11" x14ac:dyDescent="0.35">
      <c r="A371" t="s">
        <v>1264</v>
      </c>
      <c r="B371" t="s">
        <v>682</v>
      </c>
      <c r="C371">
        <v>16</v>
      </c>
      <c r="D371" t="s">
        <v>892</v>
      </c>
      <c r="E371" t="str">
        <f>IF(CKadeaTelcoClients_Churn[[#This Row],[Type_Forfait]]="pro monde","B2B","B2C")</f>
        <v>B2C</v>
      </c>
      <c r="F371">
        <v>391</v>
      </c>
      <c r="G371">
        <v>90.12</v>
      </c>
      <c r="H371">
        <v>5</v>
      </c>
      <c r="I371" s="8">
        <f>IF(AND(F371&gt;720,C371&gt;60),70%,
IF(CKadeaTelcoClients_Churn[[#This Row],[Type_Client]]="B2B",10%,
IF(OR(AND(F371&gt;=240,F371&lt;=720),AND(C371&lt;60,D371="Premium 5G 150Go")),45%,0%)))</f>
        <v>0.45</v>
      </c>
      <c r="J371" s="9">
        <f>CKadeaTelcoClients_Churn[[#This Row],[Remise]]*CKadeaTelcoClients_Churn[[#This Row],[Facture_Mensuelle]]</f>
        <v>40.554000000000002</v>
      </c>
      <c r="K371">
        <v>370</v>
      </c>
    </row>
    <row r="372" spans="1:11" x14ac:dyDescent="0.35">
      <c r="A372" t="s">
        <v>1265</v>
      </c>
      <c r="B372" t="s">
        <v>738</v>
      </c>
      <c r="C372">
        <v>23</v>
      </c>
      <c r="D372" t="s">
        <v>892</v>
      </c>
      <c r="E372" t="str">
        <f>IF(CKadeaTelcoClients_Churn[[#This Row],[Type_Forfait]]="pro monde","B2B","B2C")</f>
        <v>B2C</v>
      </c>
      <c r="F372">
        <v>268</v>
      </c>
      <c r="G372">
        <v>26.75</v>
      </c>
      <c r="H372">
        <v>3</v>
      </c>
      <c r="I372" s="8">
        <f>IF(AND(F372&gt;720,C372&gt;60),70%,
IF(CKadeaTelcoClients_Churn[[#This Row],[Type_Client]]="B2B",10%,
IF(OR(AND(F372&gt;=240,F372&lt;=720),AND(C372&lt;60,D372="Premium 5G 150Go")),45%,0%)))</f>
        <v>0.45</v>
      </c>
      <c r="J372" s="9">
        <f>CKadeaTelcoClients_Churn[[#This Row],[Remise]]*CKadeaTelcoClients_Churn[[#This Row],[Facture_Mensuelle]]</f>
        <v>12.0375</v>
      </c>
      <c r="K372">
        <v>371</v>
      </c>
    </row>
    <row r="373" spans="1:11" x14ac:dyDescent="0.35">
      <c r="A373" t="s">
        <v>1266</v>
      </c>
      <c r="B373" t="s">
        <v>694</v>
      </c>
      <c r="C373">
        <v>68</v>
      </c>
      <c r="D373" t="s">
        <v>894</v>
      </c>
      <c r="E373" t="str">
        <f>IF(CKadeaTelcoClients_Churn[[#This Row],[Type_Forfait]]="pro monde","B2B","B2C")</f>
        <v>B2B</v>
      </c>
      <c r="F373">
        <v>462</v>
      </c>
      <c r="G373">
        <v>41.91</v>
      </c>
      <c r="H373">
        <v>1</v>
      </c>
      <c r="I373" s="8">
        <f>IF(AND(F373&gt;720,C373&gt;60),70%,
IF(CKadeaTelcoClients_Churn[[#This Row],[Type_Client]]="B2B",10%,
IF(OR(AND(F373&gt;=240,F373&lt;=720),AND(C373&lt;60,D373="Premium 5G 150Go")),45%,0%)))</f>
        <v>0.1</v>
      </c>
      <c r="J373" s="9">
        <f>CKadeaTelcoClients_Churn[[#This Row],[Remise]]*CKadeaTelcoClients_Churn[[#This Row],[Facture_Mensuelle]]</f>
        <v>4.1909999999999998</v>
      </c>
      <c r="K373">
        <v>372</v>
      </c>
    </row>
    <row r="374" spans="1:11" x14ac:dyDescent="0.35">
      <c r="A374" t="s">
        <v>1267</v>
      </c>
      <c r="B374" t="s">
        <v>682</v>
      </c>
      <c r="C374">
        <v>94</v>
      </c>
      <c r="D374" t="s">
        <v>899</v>
      </c>
      <c r="E374" t="str">
        <f>IF(CKadeaTelcoClients_Churn[[#This Row],[Type_Forfait]]="pro monde","B2B","B2C")</f>
        <v>B2C</v>
      </c>
      <c r="F374">
        <v>115</v>
      </c>
      <c r="G374">
        <v>19.12</v>
      </c>
      <c r="H374">
        <v>0</v>
      </c>
      <c r="I374" s="8">
        <f>IF(AND(F374&gt;720,C374&gt;60),70%,
IF(CKadeaTelcoClients_Churn[[#This Row],[Type_Client]]="B2B",10%,
IF(OR(AND(F374&gt;=240,F374&lt;=720),AND(C374&lt;60,D374="Premium 5G 150Go")),45%,0%)))</f>
        <v>0</v>
      </c>
      <c r="J374" s="9">
        <f>CKadeaTelcoClients_Churn[[#This Row],[Remise]]*CKadeaTelcoClients_Churn[[#This Row],[Facture_Mensuelle]]</f>
        <v>0</v>
      </c>
      <c r="K374">
        <v>373</v>
      </c>
    </row>
    <row r="375" spans="1:11" x14ac:dyDescent="0.35">
      <c r="A375" t="s">
        <v>1268</v>
      </c>
      <c r="B375" t="s">
        <v>700</v>
      </c>
      <c r="C375">
        <v>113</v>
      </c>
      <c r="D375" t="s">
        <v>892</v>
      </c>
      <c r="E375" t="str">
        <f>IF(CKadeaTelcoClients_Churn[[#This Row],[Type_Forfait]]="pro monde","B2B","B2C")</f>
        <v>B2C</v>
      </c>
      <c r="F375">
        <v>89</v>
      </c>
      <c r="G375">
        <v>54.28</v>
      </c>
      <c r="H375">
        <v>0</v>
      </c>
      <c r="I375" s="8">
        <f>IF(AND(F375&gt;720,C375&gt;60),70%,
IF(CKadeaTelcoClients_Churn[[#This Row],[Type_Client]]="B2B",10%,
IF(OR(AND(F375&gt;=240,F375&lt;=720),AND(C375&lt;60,D375="Premium 5G 150Go")),45%,0%)))</f>
        <v>0</v>
      </c>
      <c r="J375" s="9">
        <f>CKadeaTelcoClients_Churn[[#This Row],[Remise]]*CKadeaTelcoClients_Churn[[#This Row],[Facture_Mensuelle]]</f>
        <v>0</v>
      </c>
      <c r="K375">
        <v>374</v>
      </c>
    </row>
    <row r="376" spans="1:11" x14ac:dyDescent="0.35">
      <c r="A376" t="s">
        <v>1269</v>
      </c>
      <c r="B376" t="s">
        <v>699</v>
      </c>
      <c r="C376">
        <v>40</v>
      </c>
      <c r="D376" t="s">
        <v>897</v>
      </c>
      <c r="E376" t="str">
        <f>IF(CKadeaTelcoClients_Churn[[#This Row],[Type_Forfait]]="pro monde","B2B","B2C")</f>
        <v>B2C</v>
      </c>
      <c r="F376">
        <v>38</v>
      </c>
      <c r="G376">
        <v>17.63</v>
      </c>
      <c r="H376">
        <v>0</v>
      </c>
      <c r="I376" s="8">
        <f>IF(AND(F376&gt;720,C376&gt;60),70%,
IF(CKadeaTelcoClients_Churn[[#This Row],[Type_Client]]="B2B",10%,
IF(OR(AND(F376&gt;=240,F376&lt;=720),AND(C376&lt;60,D376="Premium 5G 150Go")),45%,0%)))</f>
        <v>0</v>
      </c>
      <c r="J376" s="9">
        <f>CKadeaTelcoClients_Churn[[#This Row],[Remise]]*CKadeaTelcoClients_Churn[[#This Row],[Facture_Mensuelle]]</f>
        <v>0</v>
      </c>
      <c r="K376">
        <v>375</v>
      </c>
    </row>
    <row r="377" spans="1:11" x14ac:dyDescent="0.35">
      <c r="A377" t="s">
        <v>1270</v>
      </c>
      <c r="B377" t="s">
        <v>693</v>
      </c>
      <c r="C377">
        <v>76</v>
      </c>
      <c r="D377" t="s">
        <v>892</v>
      </c>
      <c r="E377" t="str">
        <f>IF(CKadeaTelcoClients_Churn[[#This Row],[Type_Forfait]]="pro monde","B2B","B2C")</f>
        <v>B2C</v>
      </c>
      <c r="F377">
        <v>187</v>
      </c>
      <c r="G377">
        <v>56.29</v>
      </c>
      <c r="H377">
        <v>1</v>
      </c>
      <c r="I377" s="8">
        <f>IF(AND(F377&gt;720,C377&gt;60),70%,
IF(CKadeaTelcoClients_Churn[[#This Row],[Type_Client]]="B2B",10%,
IF(OR(AND(F377&gt;=240,F377&lt;=720),AND(C377&lt;60,D377="Premium 5G 150Go")),45%,0%)))</f>
        <v>0</v>
      </c>
      <c r="J377" s="9">
        <f>CKadeaTelcoClients_Churn[[#This Row],[Remise]]*CKadeaTelcoClients_Churn[[#This Row],[Facture_Mensuelle]]</f>
        <v>0</v>
      </c>
      <c r="K377">
        <v>376</v>
      </c>
    </row>
    <row r="378" spans="1:11" x14ac:dyDescent="0.35">
      <c r="A378" t="s">
        <v>1271</v>
      </c>
      <c r="B378" t="s">
        <v>738</v>
      </c>
      <c r="C378">
        <v>106</v>
      </c>
      <c r="D378" t="s">
        <v>894</v>
      </c>
      <c r="E378" t="str">
        <f>IF(CKadeaTelcoClients_Churn[[#This Row],[Type_Forfait]]="pro monde","B2B","B2C")</f>
        <v>B2B</v>
      </c>
      <c r="F378">
        <v>429</v>
      </c>
      <c r="G378">
        <v>23.83</v>
      </c>
      <c r="H378">
        <v>1</v>
      </c>
      <c r="I378" s="8">
        <f>IF(AND(F378&gt;720,C378&gt;60),70%,
IF(CKadeaTelcoClients_Churn[[#This Row],[Type_Client]]="B2B",10%,
IF(OR(AND(F378&gt;=240,F378&lt;=720),AND(C378&lt;60,D378="Premium 5G 150Go")),45%,0%)))</f>
        <v>0.1</v>
      </c>
      <c r="J378" s="9">
        <f>CKadeaTelcoClients_Churn[[#This Row],[Remise]]*CKadeaTelcoClients_Churn[[#This Row],[Facture_Mensuelle]]</f>
        <v>2.383</v>
      </c>
      <c r="K378">
        <v>377</v>
      </c>
    </row>
    <row r="379" spans="1:11" x14ac:dyDescent="0.35">
      <c r="A379" t="s">
        <v>1272</v>
      </c>
      <c r="B379" t="s">
        <v>685</v>
      </c>
      <c r="C379">
        <v>104</v>
      </c>
      <c r="D379" t="s">
        <v>892</v>
      </c>
      <c r="E379" t="str">
        <f>IF(CKadeaTelcoClients_Churn[[#This Row],[Type_Forfait]]="pro monde","B2B","B2C")</f>
        <v>B2C</v>
      </c>
      <c r="F379">
        <v>68</v>
      </c>
      <c r="G379">
        <v>21.15</v>
      </c>
      <c r="H379">
        <v>2</v>
      </c>
      <c r="I379" s="8">
        <f>IF(AND(F379&gt;720,C379&gt;60),70%,
IF(CKadeaTelcoClients_Churn[[#This Row],[Type_Client]]="B2B",10%,
IF(OR(AND(F379&gt;=240,F379&lt;=720),AND(C379&lt;60,D379="Premium 5G 150Go")),45%,0%)))</f>
        <v>0</v>
      </c>
      <c r="J379" s="9">
        <f>CKadeaTelcoClients_Churn[[#This Row],[Remise]]*CKadeaTelcoClients_Churn[[#This Row],[Facture_Mensuelle]]</f>
        <v>0</v>
      </c>
      <c r="K379">
        <v>378</v>
      </c>
    </row>
    <row r="380" spans="1:11" x14ac:dyDescent="0.35">
      <c r="A380" t="s">
        <v>1273</v>
      </c>
      <c r="B380" t="s">
        <v>701</v>
      </c>
      <c r="C380">
        <v>63</v>
      </c>
      <c r="D380" t="s">
        <v>897</v>
      </c>
      <c r="E380" t="str">
        <f>IF(CKadeaTelcoClients_Churn[[#This Row],[Type_Forfait]]="pro monde","B2B","B2C")</f>
        <v>B2C</v>
      </c>
      <c r="F380">
        <v>263</v>
      </c>
      <c r="G380">
        <v>53.87</v>
      </c>
      <c r="H380">
        <v>4</v>
      </c>
      <c r="I380" s="8">
        <f>IF(AND(F380&gt;720,C380&gt;60),70%,
IF(CKadeaTelcoClients_Churn[[#This Row],[Type_Client]]="B2B",10%,
IF(OR(AND(F380&gt;=240,F380&lt;=720),AND(C380&lt;60,D380="Premium 5G 150Go")),45%,0%)))</f>
        <v>0.45</v>
      </c>
      <c r="J380" s="9">
        <f>CKadeaTelcoClients_Churn[[#This Row],[Remise]]*CKadeaTelcoClients_Churn[[#This Row],[Facture_Mensuelle]]</f>
        <v>24.241499999999998</v>
      </c>
      <c r="K380">
        <v>379</v>
      </c>
    </row>
    <row r="381" spans="1:11" x14ac:dyDescent="0.35">
      <c r="A381" t="s">
        <v>1274</v>
      </c>
      <c r="B381" t="s">
        <v>703</v>
      </c>
      <c r="C381">
        <v>13</v>
      </c>
      <c r="D381" t="s">
        <v>897</v>
      </c>
      <c r="E381" t="str">
        <f>IF(CKadeaTelcoClients_Churn[[#This Row],[Type_Forfait]]="pro monde","B2B","B2C")</f>
        <v>B2C</v>
      </c>
      <c r="F381">
        <v>180</v>
      </c>
      <c r="G381">
        <v>24.01</v>
      </c>
      <c r="H381">
        <v>0</v>
      </c>
      <c r="I381" s="8">
        <f>IF(AND(F381&gt;720,C381&gt;60),70%,
IF(CKadeaTelcoClients_Churn[[#This Row],[Type_Client]]="B2B",10%,
IF(OR(AND(F381&gt;=240,F381&lt;=720),AND(C381&lt;60,D381="Premium 5G 150Go")),45%,0%)))</f>
        <v>0</v>
      </c>
      <c r="J381" s="9">
        <f>CKadeaTelcoClients_Churn[[#This Row],[Remise]]*CKadeaTelcoClients_Churn[[#This Row],[Facture_Mensuelle]]</f>
        <v>0</v>
      </c>
      <c r="K381">
        <v>380</v>
      </c>
    </row>
    <row r="382" spans="1:11" x14ac:dyDescent="0.35">
      <c r="A382" t="s">
        <v>1275</v>
      </c>
      <c r="B382" t="s">
        <v>711</v>
      </c>
      <c r="C382">
        <v>68</v>
      </c>
      <c r="D382" t="s">
        <v>897</v>
      </c>
      <c r="E382" t="str">
        <f>IF(CKadeaTelcoClients_Churn[[#This Row],[Type_Forfait]]="pro monde","B2B","B2C")</f>
        <v>B2C</v>
      </c>
      <c r="F382">
        <v>487</v>
      </c>
      <c r="G382">
        <v>69.099999999999994</v>
      </c>
      <c r="H382">
        <v>5</v>
      </c>
      <c r="I382" s="8">
        <f>IF(AND(F382&gt;720,C382&gt;60),70%,
IF(CKadeaTelcoClients_Churn[[#This Row],[Type_Client]]="B2B",10%,
IF(OR(AND(F382&gt;=240,F382&lt;=720),AND(C382&lt;60,D382="Premium 5G 150Go")),45%,0%)))</f>
        <v>0.45</v>
      </c>
      <c r="J382" s="9">
        <f>CKadeaTelcoClients_Churn[[#This Row],[Remise]]*CKadeaTelcoClients_Churn[[#This Row],[Facture_Mensuelle]]</f>
        <v>31.094999999999999</v>
      </c>
      <c r="K382">
        <v>381</v>
      </c>
    </row>
    <row r="383" spans="1:11" x14ac:dyDescent="0.35">
      <c r="A383" t="s">
        <v>1276</v>
      </c>
      <c r="B383" t="s">
        <v>716</v>
      </c>
      <c r="C383">
        <v>45</v>
      </c>
      <c r="D383" t="s">
        <v>899</v>
      </c>
      <c r="E383" t="str">
        <f>IF(CKadeaTelcoClients_Churn[[#This Row],[Type_Forfait]]="pro monde","B2B","B2C")</f>
        <v>B2C</v>
      </c>
      <c r="F383">
        <v>26</v>
      </c>
      <c r="G383">
        <v>30.35</v>
      </c>
      <c r="H383">
        <v>1</v>
      </c>
      <c r="I383" s="8">
        <f>IF(AND(F383&gt;720,C383&gt;60),70%,
IF(CKadeaTelcoClients_Churn[[#This Row],[Type_Client]]="B2B",10%,
IF(OR(AND(F383&gt;=240,F383&lt;=720),AND(C383&lt;60,D383="Premium 5G 150Go")),45%,0%)))</f>
        <v>0</v>
      </c>
      <c r="J383" s="9">
        <f>CKadeaTelcoClients_Churn[[#This Row],[Remise]]*CKadeaTelcoClients_Churn[[#This Row],[Facture_Mensuelle]]</f>
        <v>0</v>
      </c>
      <c r="K383">
        <v>382</v>
      </c>
    </row>
    <row r="384" spans="1:11" x14ac:dyDescent="0.35">
      <c r="A384" t="s">
        <v>1277</v>
      </c>
      <c r="B384" t="s">
        <v>688</v>
      </c>
      <c r="C384">
        <v>90</v>
      </c>
      <c r="D384" t="s">
        <v>897</v>
      </c>
      <c r="E384" t="str">
        <f>IF(CKadeaTelcoClients_Churn[[#This Row],[Type_Forfait]]="pro monde","B2B","B2C")</f>
        <v>B2C</v>
      </c>
      <c r="F384">
        <v>216</v>
      </c>
      <c r="G384">
        <v>45.58</v>
      </c>
      <c r="H384">
        <v>0</v>
      </c>
      <c r="I384" s="8">
        <f>IF(AND(F384&gt;720,C384&gt;60),70%,
IF(CKadeaTelcoClients_Churn[[#This Row],[Type_Client]]="B2B",10%,
IF(OR(AND(F384&gt;=240,F384&lt;=720),AND(C384&lt;60,D384="Premium 5G 150Go")),45%,0%)))</f>
        <v>0</v>
      </c>
      <c r="J384" s="9">
        <f>CKadeaTelcoClients_Churn[[#This Row],[Remise]]*CKadeaTelcoClients_Churn[[#This Row],[Facture_Mensuelle]]</f>
        <v>0</v>
      </c>
      <c r="K384">
        <v>383</v>
      </c>
    </row>
    <row r="385" spans="1:11" x14ac:dyDescent="0.35">
      <c r="A385" t="s">
        <v>1278</v>
      </c>
      <c r="B385" t="s">
        <v>722</v>
      </c>
      <c r="C385">
        <v>74</v>
      </c>
      <c r="D385" t="s">
        <v>899</v>
      </c>
      <c r="E385" t="str">
        <f>IF(CKadeaTelcoClients_Churn[[#This Row],[Type_Forfait]]="pro monde","B2B","B2C")</f>
        <v>B2C</v>
      </c>
      <c r="F385">
        <v>253</v>
      </c>
      <c r="G385">
        <v>36.94</v>
      </c>
      <c r="H385">
        <v>5</v>
      </c>
      <c r="I385" s="8">
        <f>IF(AND(F385&gt;720,C385&gt;60),70%,
IF(CKadeaTelcoClients_Churn[[#This Row],[Type_Client]]="B2B",10%,
IF(OR(AND(F385&gt;=240,F385&lt;=720),AND(C385&lt;60,D385="Premium 5G 150Go")),45%,0%)))</f>
        <v>0.45</v>
      </c>
      <c r="J385" s="9">
        <f>CKadeaTelcoClients_Churn[[#This Row],[Remise]]*CKadeaTelcoClients_Churn[[#This Row],[Facture_Mensuelle]]</f>
        <v>16.623000000000001</v>
      </c>
      <c r="K385">
        <v>384</v>
      </c>
    </row>
    <row r="386" spans="1:11" x14ac:dyDescent="0.35">
      <c r="A386" t="s">
        <v>1279</v>
      </c>
      <c r="B386" t="s">
        <v>711</v>
      </c>
      <c r="C386">
        <v>111</v>
      </c>
      <c r="D386" t="s">
        <v>897</v>
      </c>
      <c r="E386" t="str">
        <f>IF(CKadeaTelcoClients_Churn[[#This Row],[Type_Forfait]]="pro monde","B2B","B2C")</f>
        <v>B2C</v>
      </c>
      <c r="F386">
        <v>194</v>
      </c>
      <c r="G386">
        <v>48.55</v>
      </c>
      <c r="H386">
        <v>2</v>
      </c>
      <c r="I386" s="8">
        <f>IF(AND(F386&gt;720,C386&gt;60),70%,
IF(CKadeaTelcoClients_Churn[[#This Row],[Type_Client]]="B2B",10%,
IF(OR(AND(F386&gt;=240,F386&lt;=720),AND(C386&lt;60,D386="Premium 5G 150Go")),45%,0%)))</f>
        <v>0</v>
      </c>
      <c r="J386" s="9">
        <f>CKadeaTelcoClients_Churn[[#This Row],[Remise]]*CKadeaTelcoClients_Churn[[#This Row],[Facture_Mensuelle]]</f>
        <v>0</v>
      </c>
      <c r="K386">
        <v>385</v>
      </c>
    </row>
    <row r="387" spans="1:11" x14ac:dyDescent="0.35">
      <c r="A387" t="s">
        <v>1280</v>
      </c>
      <c r="B387" t="s">
        <v>696</v>
      </c>
      <c r="C387">
        <v>37</v>
      </c>
      <c r="D387" t="s">
        <v>897</v>
      </c>
      <c r="E387" t="str">
        <f>IF(CKadeaTelcoClients_Churn[[#This Row],[Type_Forfait]]="pro monde","B2B","B2C")</f>
        <v>B2C</v>
      </c>
      <c r="F387">
        <v>87</v>
      </c>
      <c r="G387">
        <v>26.4</v>
      </c>
      <c r="H387">
        <v>3</v>
      </c>
      <c r="I387" s="8">
        <f>IF(AND(F387&gt;720,C387&gt;60),70%,
IF(CKadeaTelcoClients_Churn[[#This Row],[Type_Client]]="B2B",10%,
IF(OR(AND(F387&gt;=240,F387&lt;=720),AND(C387&lt;60,D387="Premium 5G 150Go")),45%,0%)))</f>
        <v>0</v>
      </c>
      <c r="J387" s="9">
        <f>CKadeaTelcoClients_Churn[[#This Row],[Remise]]*CKadeaTelcoClients_Churn[[#This Row],[Facture_Mensuelle]]</f>
        <v>0</v>
      </c>
      <c r="K387">
        <v>386</v>
      </c>
    </row>
    <row r="388" spans="1:11" x14ac:dyDescent="0.35">
      <c r="A388" t="s">
        <v>1281</v>
      </c>
      <c r="B388" t="s">
        <v>690</v>
      </c>
      <c r="C388">
        <v>71</v>
      </c>
      <c r="D388" t="s">
        <v>892</v>
      </c>
      <c r="E388" t="str">
        <f>IF(CKadeaTelcoClients_Churn[[#This Row],[Type_Forfait]]="pro monde","B2B","B2C")</f>
        <v>B2C</v>
      </c>
      <c r="F388">
        <v>191</v>
      </c>
      <c r="G388">
        <v>83.04</v>
      </c>
      <c r="H388">
        <v>4</v>
      </c>
      <c r="I388" s="8">
        <f>IF(AND(F388&gt;720,C388&gt;60),70%,
IF(CKadeaTelcoClients_Churn[[#This Row],[Type_Client]]="B2B",10%,
IF(OR(AND(F388&gt;=240,F388&lt;=720),AND(C388&lt;60,D388="Premium 5G 150Go")),45%,0%)))</f>
        <v>0</v>
      </c>
      <c r="J388" s="9">
        <f>CKadeaTelcoClients_Churn[[#This Row],[Remise]]*CKadeaTelcoClients_Churn[[#This Row],[Facture_Mensuelle]]</f>
        <v>0</v>
      </c>
      <c r="K388">
        <v>387</v>
      </c>
    </row>
    <row r="389" spans="1:11" x14ac:dyDescent="0.35">
      <c r="A389" t="s">
        <v>1282</v>
      </c>
      <c r="B389" t="s">
        <v>701</v>
      </c>
      <c r="C389">
        <v>35</v>
      </c>
      <c r="D389" t="s">
        <v>894</v>
      </c>
      <c r="E389" t="str">
        <f>IF(CKadeaTelcoClients_Churn[[#This Row],[Type_Forfait]]="pro monde","B2B","B2C")</f>
        <v>B2B</v>
      </c>
      <c r="F389">
        <v>496</v>
      </c>
      <c r="G389">
        <v>19.78</v>
      </c>
      <c r="H389">
        <v>5</v>
      </c>
      <c r="I389" s="8">
        <f>IF(AND(F389&gt;720,C389&gt;60),70%,
IF(CKadeaTelcoClients_Churn[[#This Row],[Type_Client]]="B2B",10%,
IF(OR(AND(F389&gt;=240,F389&lt;=720),AND(C389&lt;60,D389="Premium 5G 150Go")),45%,0%)))</f>
        <v>0.1</v>
      </c>
      <c r="J389" s="9">
        <f>CKadeaTelcoClients_Churn[[#This Row],[Remise]]*CKadeaTelcoClients_Churn[[#This Row],[Facture_Mensuelle]]</f>
        <v>1.9780000000000002</v>
      </c>
      <c r="K389">
        <v>388</v>
      </c>
    </row>
    <row r="390" spans="1:11" x14ac:dyDescent="0.35">
      <c r="A390" t="s">
        <v>1283</v>
      </c>
      <c r="B390" t="s">
        <v>706</v>
      </c>
      <c r="C390">
        <v>78</v>
      </c>
      <c r="D390" t="s">
        <v>897</v>
      </c>
      <c r="E390" t="str">
        <f>IF(CKadeaTelcoClients_Churn[[#This Row],[Type_Forfait]]="pro monde","B2B","B2C")</f>
        <v>B2C</v>
      </c>
      <c r="F390">
        <v>57</v>
      </c>
      <c r="G390">
        <v>49.47</v>
      </c>
      <c r="H390">
        <v>0</v>
      </c>
      <c r="I390" s="8">
        <f>IF(AND(F390&gt;720,C390&gt;60),70%,
IF(CKadeaTelcoClients_Churn[[#This Row],[Type_Client]]="B2B",10%,
IF(OR(AND(F390&gt;=240,F390&lt;=720),AND(C390&lt;60,D390="Premium 5G 150Go")),45%,0%)))</f>
        <v>0</v>
      </c>
      <c r="J390" s="9">
        <f>CKadeaTelcoClients_Churn[[#This Row],[Remise]]*CKadeaTelcoClients_Churn[[#This Row],[Facture_Mensuelle]]</f>
        <v>0</v>
      </c>
      <c r="K390">
        <v>389</v>
      </c>
    </row>
    <row r="391" spans="1:11" x14ac:dyDescent="0.35">
      <c r="A391" t="s">
        <v>1284</v>
      </c>
      <c r="B391" t="s">
        <v>726</v>
      </c>
      <c r="C391">
        <v>13</v>
      </c>
      <c r="D391" t="s">
        <v>894</v>
      </c>
      <c r="E391" t="str">
        <f>IF(CKadeaTelcoClients_Churn[[#This Row],[Type_Forfait]]="pro monde","B2B","B2C")</f>
        <v>B2B</v>
      </c>
      <c r="F391">
        <v>173</v>
      </c>
      <c r="G391">
        <v>85.54</v>
      </c>
      <c r="H391">
        <v>3</v>
      </c>
      <c r="I391" s="8">
        <f>IF(AND(F391&gt;720,C391&gt;60),70%,
IF(CKadeaTelcoClients_Churn[[#This Row],[Type_Client]]="B2B",10%,
IF(OR(AND(F391&gt;=240,F391&lt;=720),AND(C391&lt;60,D391="Premium 5G 150Go")),45%,0%)))</f>
        <v>0.1</v>
      </c>
      <c r="J391" s="9">
        <f>CKadeaTelcoClients_Churn[[#This Row],[Remise]]*CKadeaTelcoClients_Churn[[#This Row],[Facture_Mensuelle]]</f>
        <v>8.5540000000000003</v>
      </c>
      <c r="K391">
        <v>390</v>
      </c>
    </row>
    <row r="392" spans="1:11" x14ac:dyDescent="0.35">
      <c r="A392" t="s">
        <v>1285</v>
      </c>
      <c r="B392" t="s">
        <v>702</v>
      </c>
      <c r="C392">
        <v>115</v>
      </c>
      <c r="D392" t="s">
        <v>899</v>
      </c>
      <c r="E392" t="str">
        <f>IF(CKadeaTelcoClients_Churn[[#This Row],[Type_Forfait]]="pro monde","B2B","B2C")</f>
        <v>B2C</v>
      </c>
      <c r="F392">
        <v>467</v>
      </c>
      <c r="G392">
        <v>24.57</v>
      </c>
      <c r="H392">
        <v>3</v>
      </c>
      <c r="I392" s="8">
        <f>IF(AND(F392&gt;720,C392&gt;60),70%,
IF(CKadeaTelcoClients_Churn[[#This Row],[Type_Client]]="B2B",10%,
IF(OR(AND(F392&gt;=240,F392&lt;=720),AND(C392&lt;60,D392="Premium 5G 150Go")),45%,0%)))</f>
        <v>0.45</v>
      </c>
      <c r="J392" s="9">
        <f>CKadeaTelcoClients_Churn[[#This Row],[Remise]]*CKadeaTelcoClients_Churn[[#This Row],[Facture_Mensuelle]]</f>
        <v>11.0565</v>
      </c>
      <c r="K392">
        <v>391</v>
      </c>
    </row>
    <row r="393" spans="1:11" x14ac:dyDescent="0.35">
      <c r="A393" t="s">
        <v>1286</v>
      </c>
      <c r="B393" t="s">
        <v>679</v>
      </c>
      <c r="C393">
        <v>7</v>
      </c>
      <c r="D393" t="s">
        <v>894</v>
      </c>
      <c r="E393" t="str">
        <f>IF(CKadeaTelcoClients_Churn[[#This Row],[Type_Forfait]]="pro monde","B2B","B2C")</f>
        <v>B2B</v>
      </c>
      <c r="F393">
        <v>347</v>
      </c>
      <c r="G393">
        <v>41.84</v>
      </c>
      <c r="H393">
        <v>2</v>
      </c>
      <c r="I393" s="8">
        <f>IF(AND(F393&gt;720,C393&gt;60),70%,
IF(CKadeaTelcoClients_Churn[[#This Row],[Type_Client]]="B2B",10%,
IF(OR(AND(F393&gt;=240,F393&lt;=720),AND(C393&lt;60,D393="Premium 5G 150Go")),45%,0%)))</f>
        <v>0.1</v>
      </c>
      <c r="J393" s="9">
        <f>CKadeaTelcoClients_Churn[[#This Row],[Remise]]*CKadeaTelcoClients_Churn[[#This Row],[Facture_Mensuelle]]</f>
        <v>4.1840000000000002</v>
      </c>
      <c r="K393">
        <v>392</v>
      </c>
    </row>
    <row r="394" spans="1:11" x14ac:dyDescent="0.35">
      <c r="A394" t="s">
        <v>1287</v>
      </c>
      <c r="B394" t="s">
        <v>704</v>
      </c>
      <c r="C394">
        <v>22</v>
      </c>
      <c r="D394" t="s">
        <v>894</v>
      </c>
      <c r="E394" t="str">
        <f>IF(CKadeaTelcoClients_Churn[[#This Row],[Type_Forfait]]="pro monde","B2B","B2C")</f>
        <v>B2B</v>
      </c>
      <c r="F394">
        <v>127</v>
      </c>
      <c r="G394">
        <v>49.06</v>
      </c>
      <c r="H394">
        <v>2</v>
      </c>
      <c r="I394" s="8">
        <f>IF(AND(F394&gt;720,C394&gt;60),70%,
IF(CKadeaTelcoClients_Churn[[#This Row],[Type_Client]]="B2B",10%,
IF(OR(AND(F394&gt;=240,F394&lt;=720),AND(C394&lt;60,D394="Premium 5G 150Go")),45%,0%)))</f>
        <v>0.1</v>
      </c>
      <c r="J394" s="9">
        <f>CKadeaTelcoClients_Churn[[#This Row],[Remise]]*CKadeaTelcoClients_Churn[[#This Row],[Facture_Mensuelle]]</f>
        <v>4.9060000000000006</v>
      </c>
      <c r="K394">
        <v>393</v>
      </c>
    </row>
    <row r="395" spans="1:11" x14ac:dyDescent="0.35">
      <c r="A395" t="s">
        <v>1288</v>
      </c>
      <c r="B395" t="s">
        <v>679</v>
      </c>
      <c r="C395">
        <v>41</v>
      </c>
      <c r="D395" t="s">
        <v>897</v>
      </c>
      <c r="E395" t="str">
        <f>IF(CKadeaTelcoClients_Churn[[#This Row],[Type_Forfait]]="pro monde","B2B","B2C")</f>
        <v>B2C</v>
      </c>
      <c r="F395">
        <v>425</v>
      </c>
      <c r="G395">
        <v>42.33</v>
      </c>
      <c r="H395">
        <v>3</v>
      </c>
      <c r="I395" s="8">
        <f>IF(AND(F395&gt;720,C395&gt;60),70%,
IF(CKadeaTelcoClients_Churn[[#This Row],[Type_Client]]="B2B",10%,
IF(OR(AND(F395&gt;=240,F395&lt;=720),AND(C395&lt;60,D395="Premium 5G 150Go")),45%,0%)))</f>
        <v>0.45</v>
      </c>
      <c r="J395" s="9">
        <f>CKadeaTelcoClients_Churn[[#This Row],[Remise]]*CKadeaTelcoClients_Churn[[#This Row],[Facture_Mensuelle]]</f>
        <v>19.048500000000001</v>
      </c>
      <c r="K395">
        <v>394</v>
      </c>
    </row>
    <row r="396" spans="1:11" x14ac:dyDescent="0.35">
      <c r="A396" t="s">
        <v>1289</v>
      </c>
      <c r="B396" t="s">
        <v>693</v>
      </c>
      <c r="C396">
        <v>97</v>
      </c>
      <c r="D396" t="s">
        <v>894</v>
      </c>
      <c r="E396" t="str">
        <f>IF(CKadeaTelcoClients_Churn[[#This Row],[Type_Forfait]]="pro monde","B2B","B2C")</f>
        <v>B2B</v>
      </c>
      <c r="F396">
        <v>276</v>
      </c>
      <c r="G396">
        <v>88.35</v>
      </c>
      <c r="H396">
        <v>0</v>
      </c>
      <c r="I396" s="8">
        <f>IF(AND(F396&gt;720,C396&gt;60),70%,
IF(CKadeaTelcoClients_Churn[[#This Row],[Type_Client]]="B2B",10%,
IF(OR(AND(F396&gt;=240,F396&lt;=720),AND(C396&lt;60,D396="Premium 5G 150Go")),45%,0%)))</f>
        <v>0.1</v>
      </c>
      <c r="J396" s="9">
        <f>CKadeaTelcoClients_Churn[[#This Row],[Remise]]*CKadeaTelcoClients_Churn[[#This Row],[Facture_Mensuelle]]</f>
        <v>8.8349999999999991</v>
      </c>
      <c r="K396">
        <v>395</v>
      </c>
    </row>
    <row r="397" spans="1:11" x14ac:dyDescent="0.35">
      <c r="A397" t="s">
        <v>1290</v>
      </c>
      <c r="B397" t="s">
        <v>704</v>
      </c>
      <c r="C397">
        <v>50</v>
      </c>
      <c r="D397" t="s">
        <v>897</v>
      </c>
      <c r="E397" t="str">
        <f>IF(CKadeaTelcoClients_Churn[[#This Row],[Type_Forfait]]="pro monde","B2B","B2C")</f>
        <v>B2C</v>
      </c>
      <c r="F397">
        <v>435</v>
      </c>
      <c r="G397">
        <v>27.86</v>
      </c>
      <c r="H397">
        <v>3</v>
      </c>
      <c r="I397" s="8">
        <f>IF(AND(F397&gt;720,C397&gt;60),70%,
IF(CKadeaTelcoClients_Churn[[#This Row],[Type_Client]]="B2B",10%,
IF(OR(AND(F397&gt;=240,F397&lt;=720),AND(C397&lt;60,D397="Premium 5G 150Go")),45%,0%)))</f>
        <v>0.45</v>
      </c>
      <c r="J397" s="9">
        <f>CKadeaTelcoClients_Churn[[#This Row],[Remise]]*CKadeaTelcoClients_Churn[[#This Row],[Facture_Mensuelle]]</f>
        <v>12.537000000000001</v>
      </c>
      <c r="K397">
        <v>396</v>
      </c>
    </row>
    <row r="398" spans="1:11" x14ac:dyDescent="0.35">
      <c r="A398" t="s">
        <v>1291</v>
      </c>
      <c r="B398" t="s">
        <v>711</v>
      </c>
      <c r="C398">
        <v>24</v>
      </c>
      <c r="D398" t="s">
        <v>899</v>
      </c>
      <c r="E398" t="str">
        <f>IF(CKadeaTelcoClients_Churn[[#This Row],[Type_Forfait]]="pro monde","B2B","B2C")</f>
        <v>B2C</v>
      </c>
      <c r="F398">
        <v>392</v>
      </c>
      <c r="G398">
        <v>27.06</v>
      </c>
      <c r="H398">
        <v>1</v>
      </c>
      <c r="I398" s="8">
        <f>IF(AND(F398&gt;720,C398&gt;60),70%,
IF(CKadeaTelcoClients_Churn[[#This Row],[Type_Client]]="B2B",10%,
IF(OR(AND(F398&gt;=240,F398&lt;=720),AND(C398&lt;60,D398="Premium 5G 150Go")),45%,0%)))</f>
        <v>0.45</v>
      </c>
      <c r="J398" s="9">
        <f>CKadeaTelcoClients_Churn[[#This Row],[Remise]]*CKadeaTelcoClients_Churn[[#This Row],[Facture_Mensuelle]]</f>
        <v>12.177</v>
      </c>
      <c r="K398">
        <v>397</v>
      </c>
    </row>
    <row r="399" spans="1:11" x14ac:dyDescent="0.35">
      <c r="A399" t="s">
        <v>1292</v>
      </c>
      <c r="B399" t="s">
        <v>726</v>
      </c>
      <c r="C399">
        <v>45</v>
      </c>
      <c r="D399" t="s">
        <v>897</v>
      </c>
      <c r="E399" t="str">
        <f>IF(CKadeaTelcoClients_Churn[[#This Row],[Type_Forfait]]="pro monde","B2B","B2C")</f>
        <v>B2C</v>
      </c>
      <c r="F399">
        <v>439</v>
      </c>
      <c r="G399">
        <v>13.62</v>
      </c>
      <c r="H399">
        <v>4</v>
      </c>
      <c r="I399" s="8">
        <f>IF(AND(F399&gt;720,C399&gt;60),70%,
IF(CKadeaTelcoClients_Churn[[#This Row],[Type_Client]]="B2B",10%,
IF(OR(AND(F399&gt;=240,F399&lt;=720),AND(C399&lt;60,D399="Premium 5G 150Go")),45%,0%)))</f>
        <v>0.45</v>
      </c>
      <c r="J399" s="9">
        <f>CKadeaTelcoClients_Churn[[#This Row],[Remise]]*CKadeaTelcoClients_Churn[[#This Row],[Facture_Mensuelle]]</f>
        <v>6.1289999999999996</v>
      </c>
      <c r="K399">
        <v>398</v>
      </c>
    </row>
    <row r="400" spans="1:11" x14ac:dyDescent="0.35">
      <c r="A400" t="s">
        <v>1293</v>
      </c>
      <c r="B400" t="s">
        <v>688</v>
      </c>
      <c r="C400">
        <v>104</v>
      </c>
      <c r="D400" t="s">
        <v>894</v>
      </c>
      <c r="E400" t="str">
        <f>IF(CKadeaTelcoClients_Churn[[#This Row],[Type_Forfait]]="pro monde","B2B","B2C")</f>
        <v>B2B</v>
      </c>
      <c r="F400">
        <v>60</v>
      </c>
      <c r="G400">
        <v>45.51</v>
      </c>
      <c r="H400">
        <v>1</v>
      </c>
      <c r="I400" s="8">
        <f>IF(AND(F400&gt;720,C400&gt;60),70%,
IF(CKadeaTelcoClients_Churn[[#This Row],[Type_Client]]="B2B",10%,
IF(OR(AND(F400&gt;=240,F400&lt;=720),AND(C400&lt;60,D400="Premium 5G 150Go")),45%,0%)))</f>
        <v>0.1</v>
      </c>
      <c r="J400" s="9">
        <f>CKadeaTelcoClients_Churn[[#This Row],[Remise]]*CKadeaTelcoClients_Churn[[#This Row],[Facture_Mensuelle]]</f>
        <v>4.5510000000000002</v>
      </c>
      <c r="K400">
        <v>399</v>
      </c>
    </row>
    <row r="401" spans="1:11" x14ac:dyDescent="0.35">
      <c r="A401" t="s">
        <v>1294</v>
      </c>
      <c r="B401" t="s">
        <v>738</v>
      </c>
      <c r="C401">
        <v>95</v>
      </c>
      <c r="D401" t="s">
        <v>892</v>
      </c>
      <c r="E401" t="str">
        <f>IF(CKadeaTelcoClients_Churn[[#This Row],[Type_Forfait]]="pro monde","B2B","B2C")</f>
        <v>B2C</v>
      </c>
      <c r="F401">
        <v>148</v>
      </c>
      <c r="G401">
        <v>76.95</v>
      </c>
      <c r="H401">
        <v>5</v>
      </c>
      <c r="I401" s="8">
        <f>IF(AND(F401&gt;720,C401&gt;60),70%,
IF(CKadeaTelcoClients_Churn[[#This Row],[Type_Client]]="B2B",10%,
IF(OR(AND(F401&gt;=240,F401&lt;=720),AND(C401&lt;60,D401="Premium 5G 150Go")),45%,0%)))</f>
        <v>0</v>
      </c>
      <c r="J401" s="9">
        <f>CKadeaTelcoClients_Churn[[#This Row],[Remise]]*CKadeaTelcoClients_Churn[[#This Row],[Facture_Mensuelle]]</f>
        <v>0</v>
      </c>
      <c r="K401">
        <v>400</v>
      </c>
    </row>
    <row r="402" spans="1:11" x14ac:dyDescent="0.35">
      <c r="A402" t="s">
        <v>1295</v>
      </c>
      <c r="B402" t="s">
        <v>679</v>
      </c>
      <c r="C402">
        <v>83</v>
      </c>
      <c r="D402" t="s">
        <v>892</v>
      </c>
      <c r="E402" t="str">
        <f>IF(CKadeaTelcoClients_Churn[[#This Row],[Type_Forfait]]="pro monde","B2B","B2C")</f>
        <v>B2C</v>
      </c>
      <c r="F402">
        <v>105</v>
      </c>
      <c r="G402">
        <v>20.46</v>
      </c>
      <c r="H402">
        <v>1</v>
      </c>
      <c r="I402" s="8">
        <f>IF(AND(F402&gt;720,C402&gt;60),70%,
IF(CKadeaTelcoClients_Churn[[#This Row],[Type_Client]]="B2B",10%,
IF(OR(AND(F402&gt;=240,F402&lt;=720),AND(C402&lt;60,D402="Premium 5G 150Go")),45%,0%)))</f>
        <v>0</v>
      </c>
      <c r="J402" s="9">
        <f>CKadeaTelcoClients_Churn[[#This Row],[Remise]]*CKadeaTelcoClients_Churn[[#This Row],[Facture_Mensuelle]]</f>
        <v>0</v>
      </c>
      <c r="K402">
        <v>401</v>
      </c>
    </row>
    <row r="403" spans="1:11" x14ac:dyDescent="0.35">
      <c r="A403" t="s">
        <v>1296</v>
      </c>
      <c r="B403" t="s">
        <v>702</v>
      </c>
      <c r="C403">
        <v>7</v>
      </c>
      <c r="D403" t="s">
        <v>899</v>
      </c>
      <c r="E403" t="str">
        <f>IF(CKadeaTelcoClients_Churn[[#This Row],[Type_Forfait]]="pro monde","B2B","B2C")</f>
        <v>B2C</v>
      </c>
      <c r="F403">
        <v>94</v>
      </c>
      <c r="G403">
        <v>68.38</v>
      </c>
      <c r="H403">
        <v>3</v>
      </c>
      <c r="I403" s="8">
        <f>IF(AND(F403&gt;720,C403&gt;60),70%,
IF(CKadeaTelcoClients_Churn[[#This Row],[Type_Client]]="B2B",10%,
IF(OR(AND(F403&gt;=240,F403&lt;=720),AND(C403&lt;60,D403="Premium 5G 150Go")),45%,0%)))</f>
        <v>0</v>
      </c>
      <c r="J403" s="9">
        <f>CKadeaTelcoClients_Churn[[#This Row],[Remise]]*CKadeaTelcoClients_Churn[[#This Row],[Facture_Mensuelle]]</f>
        <v>0</v>
      </c>
      <c r="K403">
        <v>402</v>
      </c>
    </row>
    <row r="404" spans="1:11" x14ac:dyDescent="0.35">
      <c r="A404" t="s">
        <v>1297</v>
      </c>
      <c r="B404" t="s">
        <v>682</v>
      </c>
      <c r="C404">
        <v>39</v>
      </c>
      <c r="D404" t="s">
        <v>892</v>
      </c>
      <c r="E404" t="str">
        <f>IF(CKadeaTelcoClients_Churn[[#This Row],[Type_Forfait]]="pro monde","B2B","B2C")</f>
        <v>B2C</v>
      </c>
      <c r="F404">
        <v>1</v>
      </c>
      <c r="G404">
        <v>66.94</v>
      </c>
      <c r="H404">
        <v>5</v>
      </c>
      <c r="I404" s="8">
        <f>IF(AND(F404&gt;720,C404&gt;60),70%,
IF(CKadeaTelcoClients_Churn[[#This Row],[Type_Client]]="B2B",10%,
IF(OR(AND(F404&gt;=240,F404&lt;=720),AND(C404&lt;60,D404="Premium 5G 150Go")),45%,0%)))</f>
        <v>0.45</v>
      </c>
      <c r="J404" s="9">
        <f>CKadeaTelcoClients_Churn[[#This Row],[Remise]]*CKadeaTelcoClients_Churn[[#This Row],[Facture_Mensuelle]]</f>
        <v>30.123000000000001</v>
      </c>
      <c r="K404">
        <v>403</v>
      </c>
    </row>
    <row r="405" spans="1:11" x14ac:dyDescent="0.35">
      <c r="A405" t="s">
        <v>1298</v>
      </c>
      <c r="B405" t="s">
        <v>706</v>
      </c>
      <c r="C405">
        <v>15</v>
      </c>
      <c r="D405" t="s">
        <v>899</v>
      </c>
      <c r="E405" t="str">
        <f>IF(CKadeaTelcoClients_Churn[[#This Row],[Type_Forfait]]="pro monde","B2B","B2C")</f>
        <v>B2C</v>
      </c>
      <c r="F405">
        <v>81</v>
      </c>
      <c r="G405">
        <v>97.5</v>
      </c>
      <c r="H405">
        <v>4</v>
      </c>
      <c r="I405" s="8">
        <f>IF(AND(F405&gt;720,C405&gt;60),70%,
IF(CKadeaTelcoClients_Churn[[#This Row],[Type_Client]]="B2B",10%,
IF(OR(AND(F405&gt;=240,F405&lt;=720),AND(C405&lt;60,D405="Premium 5G 150Go")),45%,0%)))</f>
        <v>0</v>
      </c>
      <c r="J405" s="9">
        <f>CKadeaTelcoClients_Churn[[#This Row],[Remise]]*CKadeaTelcoClients_Churn[[#This Row],[Facture_Mensuelle]]</f>
        <v>0</v>
      </c>
      <c r="K405">
        <v>404</v>
      </c>
    </row>
    <row r="406" spans="1:11" x14ac:dyDescent="0.35">
      <c r="A406" t="s">
        <v>1299</v>
      </c>
      <c r="B406" t="s">
        <v>693</v>
      </c>
      <c r="C406">
        <v>35</v>
      </c>
      <c r="D406" t="s">
        <v>894</v>
      </c>
      <c r="E406" t="str">
        <f>IF(CKadeaTelcoClients_Churn[[#This Row],[Type_Forfait]]="pro monde","B2B","B2C")</f>
        <v>B2B</v>
      </c>
      <c r="F406">
        <v>292</v>
      </c>
      <c r="G406">
        <v>39.21</v>
      </c>
      <c r="H406">
        <v>1</v>
      </c>
      <c r="I406" s="8">
        <f>IF(AND(F406&gt;720,C406&gt;60),70%,
IF(CKadeaTelcoClients_Churn[[#This Row],[Type_Client]]="B2B",10%,
IF(OR(AND(F406&gt;=240,F406&lt;=720),AND(C406&lt;60,D406="Premium 5G 150Go")),45%,0%)))</f>
        <v>0.1</v>
      </c>
      <c r="J406" s="9">
        <f>CKadeaTelcoClients_Churn[[#This Row],[Remise]]*CKadeaTelcoClients_Churn[[#This Row],[Facture_Mensuelle]]</f>
        <v>3.9210000000000003</v>
      </c>
      <c r="K406">
        <v>405</v>
      </c>
    </row>
    <row r="407" spans="1:11" x14ac:dyDescent="0.35">
      <c r="A407" t="s">
        <v>1300</v>
      </c>
      <c r="B407" t="s">
        <v>711</v>
      </c>
      <c r="C407">
        <v>47</v>
      </c>
      <c r="D407" t="s">
        <v>897</v>
      </c>
      <c r="E407" t="str">
        <f>IF(CKadeaTelcoClients_Churn[[#This Row],[Type_Forfait]]="pro monde","B2B","B2C")</f>
        <v>B2C</v>
      </c>
      <c r="F407">
        <v>111</v>
      </c>
      <c r="G407">
        <v>95.18</v>
      </c>
      <c r="H407">
        <v>0</v>
      </c>
      <c r="I407" s="8">
        <f>IF(AND(F407&gt;720,C407&gt;60),70%,
IF(CKadeaTelcoClients_Churn[[#This Row],[Type_Client]]="B2B",10%,
IF(OR(AND(F407&gt;=240,F407&lt;=720),AND(C407&lt;60,D407="Premium 5G 150Go")),45%,0%)))</f>
        <v>0</v>
      </c>
      <c r="J407" s="9">
        <f>CKadeaTelcoClients_Churn[[#This Row],[Remise]]*CKadeaTelcoClients_Churn[[#This Row],[Facture_Mensuelle]]</f>
        <v>0</v>
      </c>
      <c r="K407">
        <v>406</v>
      </c>
    </row>
    <row r="408" spans="1:11" x14ac:dyDescent="0.35">
      <c r="A408" t="s">
        <v>1301</v>
      </c>
      <c r="B408" t="s">
        <v>694</v>
      </c>
      <c r="C408">
        <v>36</v>
      </c>
      <c r="D408" t="s">
        <v>897</v>
      </c>
      <c r="E408" t="str">
        <f>IF(CKadeaTelcoClients_Churn[[#This Row],[Type_Forfait]]="pro monde","B2B","B2C")</f>
        <v>B2C</v>
      </c>
      <c r="F408">
        <v>303</v>
      </c>
      <c r="G408">
        <v>89.56</v>
      </c>
      <c r="H408">
        <v>1</v>
      </c>
      <c r="I408" s="8">
        <f>IF(AND(F408&gt;720,C408&gt;60),70%,
IF(CKadeaTelcoClients_Churn[[#This Row],[Type_Client]]="B2B",10%,
IF(OR(AND(F408&gt;=240,F408&lt;=720),AND(C408&lt;60,D408="Premium 5G 150Go")),45%,0%)))</f>
        <v>0.45</v>
      </c>
      <c r="J408" s="9">
        <f>CKadeaTelcoClients_Churn[[#This Row],[Remise]]*CKadeaTelcoClients_Churn[[#This Row],[Facture_Mensuelle]]</f>
        <v>40.302</v>
      </c>
      <c r="K408">
        <v>407</v>
      </c>
    </row>
    <row r="409" spans="1:11" x14ac:dyDescent="0.35">
      <c r="A409" t="s">
        <v>1302</v>
      </c>
      <c r="B409" t="s">
        <v>707</v>
      </c>
      <c r="C409">
        <v>45</v>
      </c>
      <c r="D409" t="s">
        <v>899</v>
      </c>
      <c r="E409" t="str">
        <f>IF(CKadeaTelcoClients_Churn[[#This Row],[Type_Forfait]]="pro monde","B2B","B2C")</f>
        <v>B2C</v>
      </c>
      <c r="F409">
        <v>356</v>
      </c>
      <c r="G409">
        <v>33.76</v>
      </c>
      <c r="H409">
        <v>0</v>
      </c>
      <c r="I409" s="8">
        <f>IF(AND(F409&gt;720,C409&gt;60),70%,
IF(CKadeaTelcoClients_Churn[[#This Row],[Type_Client]]="B2B",10%,
IF(OR(AND(F409&gt;=240,F409&lt;=720),AND(C409&lt;60,D409="Premium 5G 150Go")),45%,0%)))</f>
        <v>0.45</v>
      </c>
      <c r="J409" s="9">
        <f>CKadeaTelcoClients_Churn[[#This Row],[Remise]]*CKadeaTelcoClients_Churn[[#This Row],[Facture_Mensuelle]]</f>
        <v>15.192</v>
      </c>
      <c r="K409">
        <v>408</v>
      </c>
    </row>
    <row r="410" spans="1:11" x14ac:dyDescent="0.35">
      <c r="A410" t="s">
        <v>1303</v>
      </c>
      <c r="B410" t="s">
        <v>682</v>
      </c>
      <c r="C410">
        <v>92</v>
      </c>
      <c r="D410" t="s">
        <v>897</v>
      </c>
      <c r="E410" t="str">
        <f>IF(CKadeaTelcoClients_Churn[[#This Row],[Type_Forfait]]="pro monde","B2B","B2C")</f>
        <v>B2C</v>
      </c>
      <c r="F410">
        <v>4</v>
      </c>
      <c r="G410">
        <v>22.03</v>
      </c>
      <c r="H410">
        <v>3</v>
      </c>
      <c r="I410" s="8">
        <f>IF(AND(F410&gt;720,C410&gt;60),70%,
IF(CKadeaTelcoClients_Churn[[#This Row],[Type_Client]]="B2B",10%,
IF(OR(AND(F410&gt;=240,F410&lt;=720),AND(C410&lt;60,D410="Premium 5G 150Go")),45%,0%)))</f>
        <v>0</v>
      </c>
      <c r="J410" s="9">
        <f>CKadeaTelcoClients_Churn[[#This Row],[Remise]]*CKadeaTelcoClients_Churn[[#This Row],[Facture_Mensuelle]]</f>
        <v>0</v>
      </c>
      <c r="K410">
        <v>409</v>
      </c>
    </row>
    <row r="411" spans="1:11" x14ac:dyDescent="0.35">
      <c r="A411" t="s">
        <v>1304</v>
      </c>
      <c r="B411" t="s">
        <v>722</v>
      </c>
      <c r="C411">
        <v>54</v>
      </c>
      <c r="D411" t="s">
        <v>897</v>
      </c>
      <c r="E411" t="str">
        <f>IF(CKadeaTelcoClients_Churn[[#This Row],[Type_Forfait]]="pro monde","B2B","B2C")</f>
        <v>B2C</v>
      </c>
      <c r="F411">
        <v>450</v>
      </c>
      <c r="G411">
        <v>90.85</v>
      </c>
      <c r="H411">
        <v>1</v>
      </c>
      <c r="I411" s="8">
        <f>IF(AND(F411&gt;720,C411&gt;60),70%,
IF(CKadeaTelcoClients_Churn[[#This Row],[Type_Client]]="B2B",10%,
IF(OR(AND(F411&gt;=240,F411&lt;=720),AND(C411&lt;60,D411="Premium 5G 150Go")),45%,0%)))</f>
        <v>0.45</v>
      </c>
      <c r="J411" s="9">
        <f>CKadeaTelcoClients_Churn[[#This Row],[Remise]]*CKadeaTelcoClients_Churn[[#This Row],[Facture_Mensuelle]]</f>
        <v>40.8825</v>
      </c>
      <c r="K411">
        <v>410</v>
      </c>
    </row>
    <row r="412" spans="1:11" x14ac:dyDescent="0.35">
      <c r="A412" t="s">
        <v>1305</v>
      </c>
      <c r="B412" t="s">
        <v>722</v>
      </c>
      <c r="C412">
        <v>32</v>
      </c>
      <c r="D412" t="s">
        <v>899</v>
      </c>
      <c r="E412" t="str">
        <f>IF(CKadeaTelcoClients_Churn[[#This Row],[Type_Forfait]]="pro monde","B2B","B2C")</f>
        <v>B2C</v>
      </c>
      <c r="F412">
        <v>475</v>
      </c>
      <c r="G412">
        <v>36.54</v>
      </c>
      <c r="H412">
        <v>3</v>
      </c>
      <c r="I412" s="8">
        <f>IF(AND(F412&gt;720,C412&gt;60),70%,
IF(CKadeaTelcoClients_Churn[[#This Row],[Type_Client]]="B2B",10%,
IF(OR(AND(F412&gt;=240,F412&lt;=720),AND(C412&lt;60,D412="Premium 5G 150Go")),45%,0%)))</f>
        <v>0.45</v>
      </c>
      <c r="J412" s="9">
        <f>CKadeaTelcoClients_Churn[[#This Row],[Remise]]*CKadeaTelcoClients_Churn[[#This Row],[Facture_Mensuelle]]</f>
        <v>16.443000000000001</v>
      </c>
      <c r="K412">
        <v>411</v>
      </c>
    </row>
    <row r="413" spans="1:11" x14ac:dyDescent="0.35">
      <c r="A413" t="s">
        <v>1306</v>
      </c>
      <c r="B413" t="s">
        <v>679</v>
      </c>
      <c r="C413">
        <v>41</v>
      </c>
      <c r="D413" t="s">
        <v>899</v>
      </c>
      <c r="E413" t="str">
        <f>IF(CKadeaTelcoClients_Churn[[#This Row],[Type_Forfait]]="pro monde","B2B","B2C")</f>
        <v>B2C</v>
      </c>
      <c r="F413">
        <v>404</v>
      </c>
      <c r="G413">
        <v>98.67</v>
      </c>
      <c r="H413">
        <v>5</v>
      </c>
      <c r="I413" s="8">
        <f>IF(AND(F413&gt;720,C413&gt;60),70%,
IF(CKadeaTelcoClients_Churn[[#This Row],[Type_Client]]="B2B",10%,
IF(OR(AND(F413&gt;=240,F413&lt;=720),AND(C413&lt;60,D413="Premium 5G 150Go")),45%,0%)))</f>
        <v>0.45</v>
      </c>
      <c r="J413" s="9">
        <f>CKadeaTelcoClients_Churn[[#This Row],[Remise]]*CKadeaTelcoClients_Churn[[#This Row],[Facture_Mensuelle]]</f>
        <v>44.401499999999999</v>
      </c>
      <c r="K413">
        <v>412</v>
      </c>
    </row>
    <row r="414" spans="1:11" x14ac:dyDescent="0.35">
      <c r="A414" t="s">
        <v>1307</v>
      </c>
      <c r="B414" t="s">
        <v>682</v>
      </c>
      <c r="C414">
        <v>115</v>
      </c>
      <c r="D414" t="s">
        <v>894</v>
      </c>
      <c r="E414" t="str">
        <f>IF(CKadeaTelcoClients_Churn[[#This Row],[Type_Forfait]]="pro monde","B2B","B2C")</f>
        <v>B2B</v>
      </c>
      <c r="F414">
        <v>262</v>
      </c>
      <c r="G414">
        <v>66.34</v>
      </c>
      <c r="H414">
        <v>3</v>
      </c>
      <c r="I414" s="8">
        <f>IF(AND(F414&gt;720,C414&gt;60),70%,
IF(CKadeaTelcoClients_Churn[[#This Row],[Type_Client]]="B2B",10%,
IF(OR(AND(F414&gt;=240,F414&lt;=720),AND(C414&lt;60,D414="Premium 5G 150Go")),45%,0%)))</f>
        <v>0.1</v>
      </c>
      <c r="J414" s="9">
        <f>CKadeaTelcoClients_Churn[[#This Row],[Remise]]*CKadeaTelcoClients_Churn[[#This Row],[Facture_Mensuelle]]</f>
        <v>6.6340000000000003</v>
      </c>
      <c r="K414">
        <v>413</v>
      </c>
    </row>
    <row r="415" spans="1:11" x14ac:dyDescent="0.35">
      <c r="A415" t="s">
        <v>1308</v>
      </c>
      <c r="B415" t="s">
        <v>719</v>
      </c>
      <c r="C415">
        <v>7</v>
      </c>
      <c r="D415" t="s">
        <v>897</v>
      </c>
      <c r="E415" t="str">
        <f>IF(CKadeaTelcoClients_Churn[[#This Row],[Type_Forfait]]="pro monde","B2B","B2C")</f>
        <v>B2C</v>
      </c>
      <c r="F415">
        <v>233</v>
      </c>
      <c r="G415">
        <v>10.94</v>
      </c>
      <c r="H415">
        <v>0</v>
      </c>
      <c r="I415" s="8">
        <f>IF(AND(F415&gt;720,C415&gt;60),70%,
IF(CKadeaTelcoClients_Churn[[#This Row],[Type_Client]]="B2B",10%,
IF(OR(AND(F415&gt;=240,F415&lt;=720),AND(C415&lt;60,D415="Premium 5G 150Go")),45%,0%)))</f>
        <v>0</v>
      </c>
      <c r="J415" s="9">
        <f>CKadeaTelcoClients_Churn[[#This Row],[Remise]]*CKadeaTelcoClients_Churn[[#This Row],[Facture_Mensuelle]]</f>
        <v>0</v>
      </c>
      <c r="K415">
        <v>414</v>
      </c>
    </row>
    <row r="416" spans="1:11" x14ac:dyDescent="0.35">
      <c r="A416" t="s">
        <v>1309</v>
      </c>
      <c r="B416" t="s">
        <v>685</v>
      </c>
      <c r="C416">
        <v>24</v>
      </c>
      <c r="D416" t="s">
        <v>897</v>
      </c>
      <c r="E416" t="str">
        <f>IF(CKadeaTelcoClients_Churn[[#This Row],[Type_Forfait]]="pro monde","B2B","B2C")</f>
        <v>B2C</v>
      </c>
      <c r="F416">
        <v>257</v>
      </c>
      <c r="G416">
        <v>41.99</v>
      </c>
      <c r="H416">
        <v>5</v>
      </c>
      <c r="I416" s="8">
        <f>IF(AND(F416&gt;720,C416&gt;60),70%,
IF(CKadeaTelcoClients_Churn[[#This Row],[Type_Client]]="B2B",10%,
IF(OR(AND(F416&gt;=240,F416&lt;=720),AND(C416&lt;60,D416="Premium 5G 150Go")),45%,0%)))</f>
        <v>0.45</v>
      </c>
      <c r="J416" s="9">
        <f>CKadeaTelcoClients_Churn[[#This Row],[Remise]]*CKadeaTelcoClients_Churn[[#This Row],[Facture_Mensuelle]]</f>
        <v>18.895500000000002</v>
      </c>
      <c r="K416">
        <v>415</v>
      </c>
    </row>
    <row r="417" spans="1:11" x14ac:dyDescent="0.35">
      <c r="A417" t="s">
        <v>1310</v>
      </c>
      <c r="B417" t="s">
        <v>701</v>
      </c>
      <c r="C417">
        <v>6</v>
      </c>
      <c r="D417" t="s">
        <v>892</v>
      </c>
      <c r="E417" t="str">
        <f>IF(CKadeaTelcoClients_Churn[[#This Row],[Type_Forfait]]="pro monde","B2B","B2C")</f>
        <v>B2C</v>
      </c>
      <c r="F417">
        <v>362</v>
      </c>
      <c r="G417">
        <v>75.739999999999995</v>
      </c>
      <c r="H417">
        <v>4</v>
      </c>
      <c r="I417" s="8">
        <f>IF(AND(F417&gt;720,C417&gt;60),70%,
IF(CKadeaTelcoClients_Churn[[#This Row],[Type_Client]]="B2B",10%,
IF(OR(AND(F417&gt;=240,F417&lt;=720),AND(C417&lt;60,D417="Premium 5G 150Go")),45%,0%)))</f>
        <v>0.45</v>
      </c>
      <c r="J417" s="9">
        <f>CKadeaTelcoClients_Churn[[#This Row],[Remise]]*CKadeaTelcoClients_Churn[[#This Row],[Facture_Mensuelle]]</f>
        <v>34.082999999999998</v>
      </c>
      <c r="K417">
        <v>416</v>
      </c>
    </row>
    <row r="418" spans="1:11" x14ac:dyDescent="0.35">
      <c r="A418" t="s">
        <v>1311</v>
      </c>
      <c r="B418" t="s">
        <v>703</v>
      </c>
      <c r="C418">
        <v>1</v>
      </c>
      <c r="D418" t="s">
        <v>892</v>
      </c>
      <c r="E418" t="str">
        <f>IF(CKadeaTelcoClients_Churn[[#This Row],[Type_Forfait]]="pro monde","B2B","B2C")</f>
        <v>B2C</v>
      </c>
      <c r="F418">
        <v>368</v>
      </c>
      <c r="G418">
        <v>35.17</v>
      </c>
      <c r="H418">
        <v>1</v>
      </c>
      <c r="I418" s="8">
        <f>IF(AND(F418&gt;720,C418&gt;60),70%,
IF(CKadeaTelcoClients_Churn[[#This Row],[Type_Client]]="B2B",10%,
IF(OR(AND(F418&gt;=240,F418&lt;=720),AND(C418&lt;60,D418="Premium 5G 150Go")),45%,0%)))</f>
        <v>0.45</v>
      </c>
      <c r="J418" s="9">
        <f>CKadeaTelcoClients_Churn[[#This Row],[Remise]]*CKadeaTelcoClients_Churn[[#This Row],[Facture_Mensuelle]]</f>
        <v>15.826500000000001</v>
      </c>
      <c r="K418">
        <v>417</v>
      </c>
    </row>
    <row r="419" spans="1:11" x14ac:dyDescent="0.35">
      <c r="A419" t="s">
        <v>1312</v>
      </c>
      <c r="B419" t="s">
        <v>694</v>
      </c>
      <c r="C419">
        <v>7</v>
      </c>
      <c r="D419" t="s">
        <v>894</v>
      </c>
      <c r="E419" t="str">
        <f>IF(CKadeaTelcoClients_Churn[[#This Row],[Type_Forfait]]="pro monde","B2B","B2C")</f>
        <v>B2B</v>
      </c>
      <c r="F419">
        <v>268</v>
      </c>
      <c r="G419">
        <v>33.04</v>
      </c>
      <c r="H419">
        <v>5</v>
      </c>
      <c r="I419" s="8">
        <f>IF(AND(F419&gt;720,C419&gt;60),70%,
IF(CKadeaTelcoClients_Churn[[#This Row],[Type_Client]]="B2B",10%,
IF(OR(AND(F419&gt;=240,F419&lt;=720),AND(C419&lt;60,D419="Premium 5G 150Go")),45%,0%)))</f>
        <v>0.1</v>
      </c>
      <c r="J419" s="9">
        <f>CKadeaTelcoClients_Churn[[#This Row],[Remise]]*CKadeaTelcoClients_Churn[[#This Row],[Facture_Mensuelle]]</f>
        <v>3.3040000000000003</v>
      </c>
      <c r="K419">
        <v>418</v>
      </c>
    </row>
    <row r="420" spans="1:11" x14ac:dyDescent="0.35">
      <c r="A420" t="s">
        <v>1313</v>
      </c>
      <c r="B420" t="s">
        <v>699</v>
      </c>
      <c r="C420">
        <v>85</v>
      </c>
      <c r="D420" t="s">
        <v>899</v>
      </c>
      <c r="E420" t="str">
        <f>IF(CKadeaTelcoClients_Churn[[#This Row],[Type_Forfait]]="pro monde","B2B","B2C")</f>
        <v>B2C</v>
      </c>
      <c r="F420">
        <v>132</v>
      </c>
      <c r="G420">
        <v>11.41</v>
      </c>
      <c r="H420">
        <v>0</v>
      </c>
      <c r="I420" s="8">
        <f>IF(AND(F420&gt;720,C420&gt;60),70%,
IF(CKadeaTelcoClients_Churn[[#This Row],[Type_Client]]="B2B",10%,
IF(OR(AND(F420&gt;=240,F420&lt;=720),AND(C420&lt;60,D420="Premium 5G 150Go")),45%,0%)))</f>
        <v>0</v>
      </c>
      <c r="J420" s="9">
        <f>CKadeaTelcoClients_Churn[[#This Row],[Remise]]*CKadeaTelcoClients_Churn[[#This Row],[Facture_Mensuelle]]</f>
        <v>0</v>
      </c>
      <c r="K420">
        <v>419</v>
      </c>
    </row>
    <row r="421" spans="1:11" x14ac:dyDescent="0.35">
      <c r="A421" t="s">
        <v>1314</v>
      </c>
      <c r="B421" t="s">
        <v>738</v>
      </c>
      <c r="C421">
        <v>96</v>
      </c>
      <c r="D421" t="s">
        <v>899</v>
      </c>
      <c r="E421" t="str">
        <f>IF(CKadeaTelcoClients_Churn[[#This Row],[Type_Forfait]]="pro monde","B2B","B2C")</f>
        <v>B2C</v>
      </c>
      <c r="F421">
        <v>155</v>
      </c>
      <c r="G421">
        <v>69.16</v>
      </c>
      <c r="H421">
        <v>4</v>
      </c>
      <c r="I421" s="8">
        <f>IF(AND(F421&gt;720,C421&gt;60),70%,
IF(CKadeaTelcoClients_Churn[[#This Row],[Type_Client]]="B2B",10%,
IF(OR(AND(F421&gt;=240,F421&lt;=720),AND(C421&lt;60,D421="Premium 5G 150Go")),45%,0%)))</f>
        <v>0</v>
      </c>
      <c r="J421" s="9">
        <f>CKadeaTelcoClients_Churn[[#This Row],[Remise]]*CKadeaTelcoClients_Churn[[#This Row],[Facture_Mensuelle]]</f>
        <v>0</v>
      </c>
      <c r="K421">
        <v>420</v>
      </c>
    </row>
    <row r="422" spans="1:11" x14ac:dyDescent="0.35">
      <c r="A422" t="s">
        <v>1315</v>
      </c>
      <c r="B422" t="s">
        <v>738</v>
      </c>
      <c r="C422">
        <v>42</v>
      </c>
      <c r="D422" t="s">
        <v>897</v>
      </c>
      <c r="E422" t="str">
        <f>IF(CKadeaTelcoClients_Churn[[#This Row],[Type_Forfait]]="pro monde","B2B","B2C")</f>
        <v>B2C</v>
      </c>
      <c r="F422">
        <v>436</v>
      </c>
      <c r="G422">
        <v>88.12</v>
      </c>
      <c r="H422">
        <v>0</v>
      </c>
      <c r="I422" s="8">
        <f>IF(AND(F422&gt;720,C422&gt;60),70%,
IF(CKadeaTelcoClients_Churn[[#This Row],[Type_Client]]="B2B",10%,
IF(OR(AND(F422&gt;=240,F422&lt;=720),AND(C422&lt;60,D422="Premium 5G 150Go")),45%,0%)))</f>
        <v>0.45</v>
      </c>
      <c r="J422" s="9">
        <f>CKadeaTelcoClients_Churn[[#This Row],[Remise]]*CKadeaTelcoClients_Churn[[#This Row],[Facture_Mensuelle]]</f>
        <v>39.654000000000003</v>
      </c>
      <c r="K422">
        <v>421</v>
      </c>
    </row>
    <row r="423" spans="1:11" x14ac:dyDescent="0.35">
      <c r="A423" t="s">
        <v>1316</v>
      </c>
      <c r="B423" t="s">
        <v>716</v>
      </c>
      <c r="C423">
        <v>28</v>
      </c>
      <c r="D423" t="s">
        <v>899</v>
      </c>
      <c r="E423" t="str">
        <f>IF(CKadeaTelcoClients_Churn[[#This Row],[Type_Forfait]]="pro monde","B2B","B2C")</f>
        <v>B2C</v>
      </c>
      <c r="F423">
        <v>112</v>
      </c>
      <c r="G423">
        <v>94.51</v>
      </c>
      <c r="H423">
        <v>3</v>
      </c>
      <c r="I423" s="8">
        <f>IF(AND(F423&gt;720,C423&gt;60),70%,
IF(CKadeaTelcoClients_Churn[[#This Row],[Type_Client]]="B2B",10%,
IF(OR(AND(F423&gt;=240,F423&lt;=720),AND(C423&lt;60,D423="Premium 5G 150Go")),45%,0%)))</f>
        <v>0</v>
      </c>
      <c r="J423" s="9">
        <f>CKadeaTelcoClients_Churn[[#This Row],[Remise]]*CKadeaTelcoClients_Churn[[#This Row],[Facture_Mensuelle]]</f>
        <v>0</v>
      </c>
      <c r="K423">
        <v>422</v>
      </c>
    </row>
    <row r="424" spans="1:11" x14ac:dyDescent="0.35">
      <c r="A424" t="s">
        <v>1317</v>
      </c>
      <c r="B424" t="s">
        <v>706</v>
      </c>
      <c r="C424">
        <v>37</v>
      </c>
      <c r="D424" t="s">
        <v>899</v>
      </c>
      <c r="E424" t="str">
        <f>IF(CKadeaTelcoClients_Churn[[#This Row],[Type_Forfait]]="pro monde","B2B","B2C")</f>
        <v>B2C</v>
      </c>
      <c r="F424">
        <v>151</v>
      </c>
      <c r="G424">
        <v>62.49</v>
      </c>
      <c r="H424">
        <v>3</v>
      </c>
      <c r="I424" s="8">
        <f>IF(AND(F424&gt;720,C424&gt;60),70%,
IF(CKadeaTelcoClients_Churn[[#This Row],[Type_Client]]="B2B",10%,
IF(OR(AND(F424&gt;=240,F424&lt;=720),AND(C424&lt;60,D424="Premium 5G 150Go")),45%,0%)))</f>
        <v>0</v>
      </c>
      <c r="J424" s="9">
        <f>CKadeaTelcoClients_Churn[[#This Row],[Remise]]*CKadeaTelcoClients_Churn[[#This Row],[Facture_Mensuelle]]</f>
        <v>0</v>
      </c>
      <c r="K424">
        <v>423</v>
      </c>
    </row>
    <row r="425" spans="1:11" x14ac:dyDescent="0.35">
      <c r="A425" t="s">
        <v>1318</v>
      </c>
      <c r="B425" t="s">
        <v>679</v>
      </c>
      <c r="C425">
        <v>61</v>
      </c>
      <c r="D425" t="s">
        <v>894</v>
      </c>
      <c r="E425" t="str">
        <f>IF(CKadeaTelcoClients_Churn[[#This Row],[Type_Forfait]]="pro monde","B2B","B2C")</f>
        <v>B2B</v>
      </c>
      <c r="F425">
        <v>362</v>
      </c>
      <c r="G425">
        <v>75.03</v>
      </c>
      <c r="H425">
        <v>0</v>
      </c>
      <c r="I425" s="8">
        <f>IF(AND(F425&gt;720,C425&gt;60),70%,
IF(CKadeaTelcoClients_Churn[[#This Row],[Type_Client]]="B2B",10%,
IF(OR(AND(F425&gt;=240,F425&lt;=720),AND(C425&lt;60,D425="Premium 5G 150Go")),45%,0%)))</f>
        <v>0.1</v>
      </c>
      <c r="J425" s="9">
        <f>CKadeaTelcoClients_Churn[[#This Row],[Remise]]*CKadeaTelcoClients_Churn[[#This Row],[Facture_Mensuelle]]</f>
        <v>7.5030000000000001</v>
      </c>
      <c r="K425">
        <v>424</v>
      </c>
    </row>
    <row r="426" spans="1:11" x14ac:dyDescent="0.35">
      <c r="A426" t="s">
        <v>1319</v>
      </c>
      <c r="B426" t="s">
        <v>716</v>
      </c>
      <c r="C426">
        <v>36</v>
      </c>
      <c r="D426" t="s">
        <v>892</v>
      </c>
      <c r="E426" t="str">
        <f>IF(CKadeaTelcoClients_Churn[[#This Row],[Type_Forfait]]="pro monde","B2B","B2C")</f>
        <v>B2C</v>
      </c>
      <c r="F426">
        <v>137</v>
      </c>
      <c r="G426">
        <v>71.930000000000007</v>
      </c>
      <c r="H426">
        <v>0</v>
      </c>
      <c r="I426" s="8">
        <f>IF(AND(F426&gt;720,C426&gt;60),70%,
IF(CKadeaTelcoClients_Churn[[#This Row],[Type_Client]]="B2B",10%,
IF(OR(AND(F426&gt;=240,F426&lt;=720),AND(C426&lt;60,D426="Premium 5G 150Go")),45%,0%)))</f>
        <v>0.45</v>
      </c>
      <c r="J426" s="9">
        <f>CKadeaTelcoClients_Churn[[#This Row],[Remise]]*CKadeaTelcoClients_Churn[[#This Row],[Facture_Mensuelle]]</f>
        <v>32.368500000000004</v>
      </c>
      <c r="K426">
        <v>425</v>
      </c>
    </row>
    <row r="427" spans="1:11" x14ac:dyDescent="0.35">
      <c r="A427" t="s">
        <v>1320</v>
      </c>
      <c r="B427" t="s">
        <v>696</v>
      </c>
      <c r="C427">
        <v>117</v>
      </c>
      <c r="D427" t="s">
        <v>892</v>
      </c>
      <c r="E427" t="str">
        <f>IF(CKadeaTelcoClients_Churn[[#This Row],[Type_Forfait]]="pro monde","B2B","B2C")</f>
        <v>B2C</v>
      </c>
      <c r="F427">
        <v>282</v>
      </c>
      <c r="G427">
        <v>95.11</v>
      </c>
      <c r="H427">
        <v>0</v>
      </c>
      <c r="I427" s="8">
        <f>IF(AND(F427&gt;720,C427&gt;60),70%,
IF(CKadeaTelcoClients_Churn[[#This Row],[Type_Client]]="B2B",10%,
IF(OR(AND(F427&gt;=240,F427&lt;=720),AND(C427&lt;60,D427="Premium 5G 150Go")),45%,0%)))</f>
        <v>0.45</v>
      </c>
      <c r="J427" s="9">
        <f>CKadeaTelcoClients_Churn[[#This Row],[Remise]]*CKadeaTelcoClients_Churn[[#This Row],[Facture_Mensuelle]]</f>
        <v>42.799500000000002</v>
      </c>
      <c r="K427">
        <v>426</v>
      </c>
    </row>
    <row r="428" spans="1:11" x14ac:dyDescent="0.35">
      <c r="A428" t="s">
        <v>1321</v>
      </c>
      <c r="B428" t="s">
        <v>725</v>
      </c>
      <c r="C428">
        <v>78</v>
      </c>
      <c r="D428" t="s">
        <v>892</v>
      </c>
      <c r="E428" t="str">
        <f>IF(CKadeaTelcoClients_Churn[[#This Row],[Type_Forfait]]="pro monde","B2B","B2C")</f>
        <v>B2C</v>
      </c>
      <c r="F428">
        <v>60</v>
      </c>
      <c r="G428">
        <v>33.159999999999997</v>
      </c>
      <c r="H428">
        <v>5</v>
      </c>
      <c r="I428" s="8">
        <f>IF(AND(F428&gt;720,C428&gt;60),70%,
IF(CKadeaTelcoClients_Churn[[#This Row],[Type_Client]]="B2B",10%,
IF(OR(AND(F428&gt;=240,F428&lt;=720),AND(C428&lt;60,D428="Premium 5G 150Go")),45%,0%)))</f>
        <v>0</v>
      </c>
      <c r="J428" s="9">
        <f>CKadeaTelcoClients_Churn[[#This Row],[Remise]]*CKadeaTelcoClients_Churn[[#This Row],[Facture_Mensuelle]]</f>
        <v>0</v>
      </c>
      <c r="K428">
        <v>427</v>
      </c>
    </row>
    <row r="429" spans="1:11" x14ac:dyDescent="0.35">
      <c r="A429" t="s">
        <v>1322</v>
      </c>
      <c r="B429" t="s">
        <v>702</v>
      </c>
      <c r="C429">
        <v>13</v>
      </c>
      <c r="D429" t="s">
        <v>894</v>
      </c>
      <c r="E429" t="str">
        <f>IF(CKadeaTelcoClients_Churn[[#This Row],[Type_Forfait]]="pro monde","B2B","B2C")</f>
        <v>B2B</v>
      </c>
      <c r="F429">
        <v>87</v>
      </c>
      <c r="G429">
        <v>66.36</v>
      </c>
      <c r="H429">
        <v>0</v>
      </c>
      <c r="I429" s="8">
        <f>IF(AND(F429&gt;720,C429&gt;60),70%,
IF(CKadeaTelcoClients_Churn[[#This Row],[Type_Client]]="B2B",10%,
IF(OR(AND(F429&gt;=240,F429&lt;=720),AND(C429&lt;60,D429="Premium 5G 150Go")),45%,0%)))</f>
        <v>0.1</v>
      </c>
      <c r="J429" s="9">
        <f>CKadeaTelcoClients_Churn[[#This Row],[Remise]]*CKadeaTelcoClients_Churn[[#This Row],[Facture_Mensuelle]]</f>
        <v>6.6360000000000001</v>
      </c>
      <c r="K429">
        <v>428</v>
      </c>
    </row>
    <row r="430" spans="1:11" x14ac:dyDescent="0.35">
      <c r="A430" t="s">
        <v>1323</v>
      </c>
      <c r="B430" t="s">
        <v>694</v>
      </c>
      <c r="C430">
        <v>56</v>
      </c>
      <c r="D430" t="s">
        <v>897</v>
      </c>
      <c r="E430" t="str">
        <f>IF(CKadeaTelcoClients_Churn[[#This Row],[Type_Forfait]]="pro monde","B2B","B2C")</f>
        <v>B2C</v>
      </c>
      <c r="F430">
        <v>114</v>
      </c>
      <c r="G430">
        <v>64.39</v>
      </c>
      <c r="H430">
        <v>1</v>
      </c>
      <c r="I430" s="8">
        <f>IF(AND(F430&gt;720,C430&gt;60),70%,
IF(CKadeaTelcoClients_Churn[[#This Row],[Type_Client]]="B2B",10%,
IF(OR(AND(F430&gt;=240,F430&lt;=720),AND(C430&lt;60,D430="Premium 5G 150Go")),45%,0%)))</f>
        <v>0</v>
      </c>
      <c r="J430" s="9">
        <f>CKadeaTelcoClients_Churn[[#This Row],[Remise]]*CKadeaTelcoClients_Churn[[#This Row],[Facture_Mensuelle]]</f>
        <v>0</v>
      </c>
      <c r="K430">
        <v>429</v>
      </c>
    </row>
    <row r="431" spans="1:11" x14ac:dyDescent="0.35">
      <c r="A431" t="s">
        <v>1324</v>
      </c>
      <c r="B431" t="s">
        <v>716</v>
      </c>
      <c r="C431">
        <v>24</v>
      </c>
      <c r="D431" t="s">
        <v>894</v>
      </c>
      <c r="E431" t="str">
        <f>IF(CKadeaTelcoClients_Churn[[#This Row],[Type_Forfait]]="pro monde","B2B","B2C")</f>
        <v>B2B</v>
      </c>
      <c r="F431">
        <v>23</v>
      </c>
      <c r="G431">
        <v>28.55</v>
      </c>
      <c r="H431">
        <v>1</v>
      </c>
      <c r="I431" s="8">
        <f>IF(AND(F431&gt;720,C431&gt;60),70%,
IF(CKadeaTelcoClients_Churn[[#This Row],[Type_Client]]="B2B",10%,
IF(OR(AND(F431&gt;=240,F431&lt;=720),AND(C431&lt;60,D431="Premium 5G 150Go")),45%,0%)))</f>
        <v>0.1</v>
      </c>
      <c r="J431" s="9">
        <f>CKadeaTelcoClients_Churn[[#This Row],[Remise]]*CKadeaTelcoClients_Churn[[#This Row],[Facture_Mensuelle]]</f>
        <v>2.8550000000000004</v>
      </c>
      <c r="K431">
        <v>430</v>
      </c>
    </row>
    <row r="432" spans="1:11" x14ac:dyDescent="0.35">
      <c r="A432" t="s">
        <v>1325</v>
      </c>
      <c r="B432" t="s">
        <v>711</v>
      </c>
      <c r="C432">
        <v>33</v>
      </c>
      <c r="D432" t="s">
        <v>897</v>
      </c>
      <c r="E432" t="str">
        <f>IF(CKadeaTelcoClients_Churn[[#This Row],[Type_Forfait]]="pro monde","B2B","B2C")</f>
        <v>B2C</v>
      </c>
      <c r="F432">
        <v>273</v>
      </c>
      <c r="G432">
        <v>49.8</v>
      </c>
      <c r="H432">
        <v>0</v>
      </c>
      <c r="I432" s="8">
        <f>IF(AND(F432&gt;720,C432&gt;60),70%,
IF(CKadeaTelcoClients_Churn[[#This Row],[Type_Client]]="B2B",10%,
IF(OR(AND(F432&gt;=240,F432&lt;=720),AND(C432&lt;60,D432="Premium 5G 150Go")),45%,0%)))</f>
        <v>0.45</v>
      </c>
      <c r="J432" s="9">
        <f>CKadeaTelcoClients_Churn[[#This Row],[Remise]]*CKadeaTelcoClients_Churn[[#This Row],[Facture_Mensuelle]]</f>
        <v>22.41</v>
      </c>
      <c r="K432">
        <v>431</v>
      </c>
    </row>
    <row r="433" spans="1:11" x14ac:dyDescent="0.35">
      <c r="A433" t="s">
        <v>1326</v>
      </c>
      <c r="B433" t="s">
        <v>690</v>
      </c>
      <c r="C433">
        <v>63</v>
      </c>
      <c r="D433" t="s">
        <v>894</v>
      </c>
      <c r="E433" t="str">
        <f>IF(CKadeaTelcoClients_Churn[[#This Row],[Type_Forfait]]="pro monde","B2B","B2C")</f>
        <v>B2B</v>
      </c>
      <c r="F433">
        <v>121</v>
      </c>
      <c r="G433">
        <v>39.18</v>
      </c>
      <c r="H433">
        <v>2</v>
      </c>
      <c r="I433" s="8">
        <f>IF(AND(F433&gt;720,C433&gt;60),70%,
IF(CKadeaTelcoClients_Churn[[#This Row],[Type_Client]]="B2B",10%,
IF(OR(AND(F433&gt;=240,F433&lt;=720),AND(C433&lt;60,D433="Premium 5G 150Go")),45%,0%)))</f>
        <v>0.1</v>
      </c>
      <c r="J433" s="9">
        <f>CKadeaTelcoClients_Churn[[#This Row],[Remise]]*CKadeaTelcoClients_Churn[[#This Row],[Facture_Mensuelle]]</f>
        <v>3.9180000000000001</v>
      </c>
      <c r="K433">
        <v>432</v>
      </c>
    </row>
    <row r="434" spans="1:11" x14ac:dyDescent="0.35">
      <c r="A434" t="s">
        <v>1327</v>
      </c>
      <c r="B434" t="s">
        <v>701</v>
      </c>
      <c r="C434">
        <v>47</v>
      </c>
      <c r="D434" t="s">
        <v>894</v>
      </c>
      <c r="E434" t="str">
        <f>IF(CKadeaTelcoClients_Churn[[#This Row],[Type_Forfait]]="pro monde","B2B","B2C")</f>
        <v>B2B</v>
      </c>
      <c r="F434">
        <v>149</v>
      </c>
      <c r="G434">
        <v>28.35</v>
      </c>
      <c r="H434">
        <v>1</v>
      </c>
      <c r="I434" s="8">
        <f>IF(AND(F434&gt;720,C434&gt;60),70%,
IF(CKadeaTelcoClients_Churn[[#This Row],[Type_Client]]="B2B",10%,
IF(OR(AND(F434&gt;=240,F434&lt;=720),AND(C434&lt;60,D434="Premium 5G 150Go")),45%,0%)))</f>
        <v>0.1</v>
      </c>
      <c r="J434" s="9">
        <f>CKadeaTelcoClients_Churn[[#This Row],[Remise]]*CKadeaTelcoClients_Churn[[#This Row],[Facture_Mensuelle]]</f>
        <v>2.8350000000000004</v>
      </c>
      <c r="K434">
        <v>433</v>
      </c>
    </row>
    <row r="435" spans="1:11" x14ac:dyDescent="0.35">
      <c r="A435" t="s">
        <v>1328</v>
      </c>
      <c r="B435" t="s">
        <v>694</v>
      </c>
      <c r="C435">
        <v>43</v>
      </c>
      <c r="D435" t="s">
        <v>897</v>
      </c>
      <c r="E435" t="str">
        <f>IF(CKadeaTelcoClients_Churn[[#This Row],[Type_Forfait]]="pro monde","B2B","B2C")</f>
        <v>B2C</v>
      </c>
      <c r="F435">
        <v>20</v>
      </c>
      <c r="G435">
        <v>66.680000000000007</v>
      </c>
      <c r="H435">
        <v>5</v>
      </c>
      <c r="I435" s="8">
        <f>IF(AND(F435&gt;720,C435&gt;60),70%,
IF(CKadeaTelcoClients_Churn[[#This Row],[Type_Client]]="B2B",10%,
IF(OR(AND(F435&gt;=240,F435&lt;=720),AND(C435&lt;60,D435="Premium 5G 150Go")),45%,0%)))</f>
        <v>0</v>
      </c>
      <c r="J435" s="9">
        <f>CKadeaTelcoClients_Churn[[#This Row],[Remise]]*CKadeaTelcoClients_Churn[[#This Row],[Facture_Mensuelle]]</f>
        <v>0</v>
      </c>
      <c r="K435">
        <v>434</v>
      </c>
    </row>
    <row r="436" spans="1:11" x14ac:dyDescent="0.35">
      <c r="A436" t="s">
        <v>1329</v>
      </c>
      <c r="B436" t="s">
        <v>726</v>
      </c>
      <c r="C436">
        <v>39</v>
      </c>
      <c r="D436" t="s">
        <v>899</v>
      </c>
      <c r="E436" t="str">
        <f>IF(CKadeaTelcoClients_Churn[[#This Row],[Type_Forfait]]="pro monde","B2B","B2C")</f>
        <v>B2C</v>
      </c>
      <c r="F436">
        <v>327</v>
      </c>
      <c r="G436">
        <v>87.24</v>
      </c>
      <c r="H436">
        <v>4</v>
      </c>
      <c r="I436" s="8">
        <f>IF(AND(F436&gt;720,C436&gt;60),70%,
IF(CKadeaTelcoClients_Churn[[#This Row],[Type_Client]]="B2B",10%,
IF(OR(AND(F436&gt;=240,F436&lt;=720),AND(C436&lt;60,D436="Premium 5G 150Go")),45%,0%)))</f>
        <v>0.45</v>
      </c>
      <c r="J436" s="9">
        <f>CKadeaTelcoClients_Churn[[#This Row],[Remise]]*CKadeaTelcoClients_Churn[[#This Row],[Facture_Mensuelle]]</f>
        <v>39.257999999999996</v>
      </c>
      <c r="K436">
        <v>435</v>
      </c>
    </row>
    <row r="437" spans="1:11" x14ac:dyDescent="0.35">
      <c r="A437" t="s">
        <v>1330</v>
      </c>
      <c r="B437" t="s">
        <v>725</v>
      </c>
      <c r="C437">
        <v>15</v>
      </c>
      <c r="D437" t="s">
        <v>892</v>
      </c>
      <c r="E437" t="str">
        <f>IF(CKadeaTelcoClients_Churn[[#This Row],[Type_Forfait]]="pro monde","B2B","B2C")</f>
        <v>B2C</v>
      </c>
      <c r="F437">
        <v>75</v>
      </c>
      <c r="G437">
        <v>45.59</v>
      </c>
      <c r="H437">
        <v>0</v>
      </c>
      <c r="I437" s="8">
        <f>IF(AND(F437&gt;720,C437&gt;60),70%,
IF(CKadeaTelcoClients_Churn[[#This Row],[Type_Client]]="B2B",10%,
IF(OR(AND(F437&gt;=240,F437&lt;=720),AND(C437&lt;60,D437="Premium 5G 150Go")),45%,0%)))</f>
        <v>0.45</v>
      </c>
      <c r="J437" s="9">
        <f>CKadeaTelcoClients_Churn[[#This Row],[Remise]]*CKadeaTelcoClients_Churn[[#This Row],[Facture_Mensuelle]]</f>
        <v>20.515500000000003</v>
      </c>
      <c r="K437">
        <v>436</v>
      </c>
    </row>
    <row r="438" spans="1:11" x14ac:dyDescent="0.35">
      <c r="A438" t="s">
        <v>1331</v>
      </c>
      <c r="B438" t="s">
        <v>696</v>
      </c>
      <c r="C438">
        <v>13</v>
      </c>
      <c r="D438" t="s">
        <v>899</v>
      </c>
      <c r="E438" t="str">
        <f>IF(CKadeaTelcoClients_Churn[[#This Row],[Type_Forfait]]="pro monde","B2B","B2C")</f>
        <v>B2C</v>
      </c>
      <c r="F438">
        <v>482</v>
      </c>
      <c r="G438">
        <v>50.15</v>
      </c>
      <c r="H438">
        <v>0</v>
      </c>
      <c r="I438" s="8">
        <f>IF(AND(F438&gt;720,C438&gt;60),70%,
IF(CKadeaTelcoClients_Churn[[#This Row],[Type_Client]]="B2B",10%,
IF(OR(AND(F438&gt;=240,F438&lt;=720),AND(C438&lt;60,D438="Premium 5G 150Go")),45%,0%)))</f>
        <v>0.45</v>
      </c>
      <c r="J438" s="9">
        <f>CKadeaTelcoClients_Churn[[#This Row],[Remise]]*CKadeaTelcoClients_Churn[[#This Row],[Facture_Mensuelle]]</f>
        <v>22.567499999999999</v>
      </c>
      <c r="K438">
        <v>437</v>
      </c>
    </row>
    <row r="439" spans="1:11" x14ac:dyDescent="0.35">
      <c r="A439" t="s">
        <v>1332</v>
      </c>
      <c r="B439" t="s">
        <v>711</v>
      </c>
      <c r="C439">
        <v>86</v>
      </c>
      <c r="D439" t="s">
        <v>892</v>
      </c>
      <c r="E439" t="str">
        <f>IF(CKadeaTelcoClients_Churn[[#This Row],[Type_Forfait]]="pro monde","B2B","B2C")</f>
        <v>B2C</v>
      </c>
      <c r="F439">
        <v>452</v>
      </c>
      <c r="G439">
        <v>75.680000000000007</v>
      </c>
      <c r="H439">
        <v>0</v>
      </c>
      <c r="I439" s="8">
        <f>IF(AND(F439&gt;720,C439&gt;60),70%,
IF(CKadeaTelcoClients_Churn[[#This Row],[Type_Client]]="B2B",10%,
IF(OR(AND(F439&gt;=240,F439&lt;=720),AND(C439&lt;60,D439="Premium 5G 150Go")),45%,0%)))</f>
        <v>0.45</v>
      </c>
      <c r="J439" s="9">
        <f>CKadeaTelcoClients_Churn[[#This Row],[Remise]]*CKadeaTelcoClients_Churn[[#This Row],[Facture_Mensuelle]]</f>
        <v>34.056000000000004</v>
      </c>
      <c r="K439">
        <v>438</v>
      </c>
    </row>
    <row r="440" spans="1:11" x14ac:dyDescent="0.35">
      <c r="A440" t="s">
        <v>1333</v>
      </c>
      <c r="B440" t="s">
        <v>685</v>
      </c>
      <c r="C440">
        <v>2</v>
      </c>
      <c r="D440" t="s">
        <v>897</v>
      </c>
      <c r="E440" t="str">
        <f>IF(CKadeaTelcoClients_Churn[[#This Row],[Type_Forfait]]="pro monde","B2B","B2C")</f>
        <v>B2C</v>
      </c>
      <c r="F440">
        <v>142</v>
      </c>
      <c r="G440">
        <v>49.05</v>
      </c>
      <c r="H440">
        <v>4</v>
      </c>
      <c r="I440" s="8">
        <f>IF(AND(F440&gt;720,C440&gt;60),70%,
IF(CKadeaTelcoClients_Churn[[#This Row],[Type_Client]]="B2B",10%,
IF(OR(AND(F440&gt;=240,F440&lt;=720),AND(C440&lt;60,D440="Premium 5G 150Go")),45%,0%)))</f>
        <v>0</v>
      </c>
      <c r="J440" s="9">
        <f>CKadeaTelcoClients_Churn[[#This Row],[Remise]]*CKadeaTelcoClients_Churn[[#This Row],[Facture_Mensuelle]]</f>
        <v>0</v>
      </c>
      <c r="K440">
        <v>439</v>
      </c>
    </row>
    <row r="441" spans="1:11" x14ac:dyDescent="0.35">
      <c r="A441" t="s">
        <v>1334</v>
      </c>
      <c r="B441" t="s">
        <v>737</v>
      </c>
      <c r="C441">
        <v>88</v>
      </c>
      <c r="D441" t="s">
        <v>897</v>
      </c>
      <c r="E441" t="str">
        <f>IF(CKadeaTelcoClients_Churn[[#This Row],[Type_Forfait]]="pro monde","B2B","B2C")</f>
        <v>B2C</v>
      </c>
      <c r="F441">
        <v>474</v>
      </c>
      <c r="G441">
        <v>23.35</v>
      </c>
      <c r="H441">
        <v>5</v>
      </c>
      <c r="I441" s="8">
        <f>IF(AND(F441&gt;720,C441&gt;60),70%,
IF(CKadeaTelcoClients_Churn[[#This Row],[Type_Client]]="B2B",10%,
IF(OR(AND(F441&gt;=240,F441&lt;=720),AND(C441&lt;60,D441="Premium 5G 150Go")),45%,0%)))</f>
        <v>0.45</v>
      </c>
      <c r="J441" s="9">
        <f>CKadeaTelcoClients_Churn[[#This Row],[Remise]]*CKadeaTelcoClients_Churn[[#This Row],[Facture_Mensuelle]]</f>
        <v>10.5075</v>
      </c>
      <c r="K441">
        <v>440</v>
      </c>
    </row>
    <row r="442" spans="1:11" x14ac:dyDescent="0.35">
      <c r="A442" t="s">
        <v>1335</v>
      </c>
      <c r="B442" t="s">
        <v>682</v>
      </c>
      <c r="C442">
        <v>71</v>
      </c>
      <c r="D442" t="s">
        <v>899</v>
      </c>
      <c r="E442" t="str">
        <f>IF(CKadeaTelcoClients_Churn[[#This Row],[Type_Forfait]]="pro monde","B2B","B2C")</f>
        <v>B2C</v>
      </c>
      <c r="F442">
        <v>68</v>
      </c>
      <c r="G442">
        <v>53.11</v>
      </c>
      <c r="H442">
        <v>2</v>
      </c>
      <c r="I442" s="8">
        <f>IF(AND(F442&gt;720,C442&gt;60),70%,
IF(CKadeaTelcoClients_Churn[[#This Row],[Type_Client]]="B2B",10%,
IF(OR(AND(F442&gt;=240,F442&lt;=720),AND(C442&lt;60,D442="Premium 5G 150Go")),45%,0%)))</f>
        <v>0</v>
      </c>
      <c r="J442" s="9">
        <f>CKadeaTelcoClients_Churn[[#This Row],[Remise]]*CKadeaTelcoClients_Churn[[#This Row],[Facture_Mensuelle]]</f>
        <v>0</v>
      </c>
      <c r="K442">
        <v>441</v>
      </c>
    </row>
    <row r="443" spans="1:11" x14ac:dyDescent="0.35">
      <c r="A443" t="s">
        <v>1336</v>
      </c>
      <c r="B443" t="s">
        <v>738</v>
      </c>
      <c r="C443">
        <v>99</v>
      </c>
      <c r="D443" t="s">
        <v>894</v>
      </c>
      <c r="E443" t="str">
        <f>IF(CKadeaTelcoClients_Churn[[#This Row],[Type_Forfait]]="pro monde","B2B","B2C")</f>
        <v>B2B</v>
      </c>
      <c r="F443">
        <v>138</v>
      </c>
      <c r="G443">
        <v>54.64</v>
      </c>
      <c r="H443">
        <v>5</v>
      </c>
      <c r="I443" s="8">
        <f>IF(AND(F443&gt;720,C443&gt;60),70%,
IF(CKadeaTelcoClients_Churn[[#This Row],[Type_Client]]="B2B",10%,
IF(OR(AND(F443&gt;=240,F443&lt;=720),AND(C443&lt;60,D443="Premium 5G 150Go")),45%,0%)))</f>
        <v>0.1</v>
      </c>
      <c r="J443" s="9">
        <f>CKadeaTelcoClients_Churn[[#This Row],[Remise]]*CKadeaTelcoClients_Churn[[#This Row],[Facture_Mensuelle]]</f>
        <v>5.4640000000000004</v>
      </c>
      <c r="K443">
        <v>442</v>
      </c>
    </row>
    <row r="444" spans="1:11" x14ac:dyDescent="0.35">
      <c r="A444" t="s">
        <v>1337</v>
      </c>
      <c r="B444" t="s">
        <v>706</v>
      </c>
      <c r="C444">
        <v>111</v>
      </c>
      <c r="D444" t="s">
        <v>894</v>
      </c>
      <c r="E444" t="str">
        <f>IF(CKadeaTelcoClients_Churn[[#This Row],[Type_Forfait]]="pro monde","B2B","B2C")</f>
        <v>B2B</v>
      </c>
      <c r="F444">
        <v>447</v>
      </c>
      <c r="G444">
        <v>51.35</v>
      </c>
      <c r="H444">
        <v>0</v>
      </c>
      <c r="I444" s="8">
        <f>IF(AND(F444&gt;720,C444&gt;60),70%,
IF(CKadeaTelcoClients_Churn[[#This Row],[Type_Client]]="B2B",10%,
IF(OR(AND(F444&gt;=240,F444&lt;=720),AND(C444&lt;60,D444="Premium 5G 150Go")),45%,0%)))</f>
        <v>0.1</v>
      </c>
      <c r="J444" s="9">
        <f>CKadeaTelcoClients_Churn[[#This Row],[Remise]]*CKadeaTelcoClients_Churn[[#This Row],[Facture_Mensuelle]]</f>
        <v>5.1350000000000007</v>
      </c>
      <c r="K444">
        <v>443</v>
      </c>
    </row>
    <row r="445" spans="1:11" x14ac:dyDescent="0.35">
      <c r="A445" t="s">
        <v>1338</v>
      </c>
      <c r="B445" t="s">
        <v>706</v>
      </c>
      <c r="C445">
        <v>17</v>
      </c>
      <c r="D445" t="s">
        <v>897</v>
      </c>
      <c r="E445" t="str">
        <f>IF(CKadeaTelcoClients_Churn[[#This Row],[Type_Forfait]]="pro monde","B2B","B2C")</f>
        <v>B2C</v>
      </c>
      <c r="F445">
        <v>404</v>
      </c>
      <c r="G445">
        <v>83.4</v>
      </c>
      <c r="H445">
        <v>1</v>
      </c>
      <c r="I445" s="8">
        <f>IF(AND(F445&gt;720,C445&gt;60),70%,
IF(CKadeaTelcoClients_Churn[[#This Row],[Type_Client]]="B2B",10%,
IF(OR(AND(F445&gt;=240,F445&lt;=720),AND(C445&lt;60,D445="Premium 5G 150Go")),45%,0%)))</f>
        <v>0.45</v>
      </c>
      <c r="J445" s="9">
        <f>CKadeaTelcoClients_Churn[[#This Row],[Remise]]*CKadeaTelcoClients_Churn[[#This Row],[Facture_Mensuelle]]</f>
        <v>37.53</v>
      </c>
      <c r="K445">
        <v>444</v>
      </c>
    </row>
    <row r="446" spans="1:11" x14ac:dyDescent="0.35">
      <c r="A446" t="s">
        <v>1339</v>
      </c>
      <c r="B446" t="s">
        <v>688</v>
      </c>
      <c r="C446">
        <v>43</v>
      </c>
      <c r="D446" t="s">
        <v>899</v>
      </c>
      <c r="E446" t="str">
        <f>IF(CKadeaTelcoClients_Churn[[#This Row],[Type_Forfait]]="pro monde","B2B","B2C")</f>
        <v>B2C</v>
      </c>
      <c r="F446">
        <v>26</v>
      </c>
      <c r="G446">
        <v>25.85</v>
      </c>
      <c r="H446">
        <v>1</v>
      </c>
      <c r="I446" s="8">
        <f>IF(AND(F446&gt;720,C446&gt;60),70%,
IF(CKadeaTelcoClients_Churn[[#This Row],[Type_Client]]="B2B",10%,
IF(OR(AND(F446&gt;=240,F446&lt;=720),AND(C446&lt;60,D446="Premium 5G 150Go")),45%,0%)))</f>
        <v>0</v>
      </c>
      <c r="J446" s="9">
        <f>CKadeaTelcoClients_Churn[[#This Row],[Remise]]*CKadeaTelcoClients_Churn[[#This Row],[Facture_Mensuelle]]</f>
        <v>0</v>
      </c>
      <c r="K446">
        <v>445</v>
      </c>
    </row>
    <row r="447" spans="1:11" x14ac:dyDescent="0.35">
      <c r="A447" t="s">
        <v>1340</v>
      </c>
      <c r="B447" t="s">
        <v>711</v>
      </c>
      <c r="C447">
        <v>47</v>
      </c>
      <c r="D447" t="s">
        <v>894</v>
      </c>
      <c r="E447" t="str">
        <f>IF(CKadeaTelcoClients_Churn[[#This Row],[Type_Forfait]]="pro monde","B2B","B2C")</f>
        <v>B2B</v>
      </c>
      <c r="F447">
        <v>328</v>
      </c>
      <c r="G447">
        <v>61.27</v>
      </c>
      <c r="H447">
        <v>3</v>
      </c>
      <c r="I447" s="8">
        <f>IF(AND(F447&gt;720,C447&gt;60),70%,
IF(CKadeaTelcoClients_Churn[[#This Row],[Type_Client]]="B2B",10%,
IF(OR(AND(F447&gt;=240,F447&lt;=720),AND(C447&lt;60,D447="Premium 5G 150Go")),45%,0%)))</f>
        <v>0.1</v>
      </c>
      <c r="J447" s="9">
        <f>CKadeaTelcoClients_Churn[[#This Row],[Remise]]*CKadeaTelcoClients_Churn[[#This Row],[Facture_Mensuelle]]</f>
        <v>6.1270000000000007</v>
      </c>
      <c r="K447">
        <v>446</v>
      </c>
    </row>
    <row r="448" spans="1:11" x14ac:dyDescent="0.35">
      <c r="A448" t="s">
        <v>1341</v>
      </c>
      <c r="B448" t="s">
        <v>707</v>
      </c>
      <c r="C448">
        <v>95</v>
      </c>
      <c r="D448" t="s">
        <v>894</v>
      </c>
      <c r="E448" t="str">
        <f>IF(CKadeaTelcoClients_Churn[[#This Row],[Type_Forfait]]="pro monde","B2B","B2C")</f>
        <v>B2B</v>
      </c>
      <c r="F448">
        <v>127</v>
      </c>
      <c r="G448">
        <v>94.9</v>
      </c>
      <c r="H448">
        <v>4</v>
      </c>
      <c r="I448" s="8">
        <f>IF(AND(F448&gt;720,C448&gt;60),70%,
IF(CKadeaTelcoClients_Churn[[#This Row],[Type_Client]]="B2B",10%,
IF(OR(AND(F448&gt;=240,F448&lt;=720),AND(C448&lt;60,D448="Premium 5G 150Go")),45%,0%)))</f>
        <v>0.1</v>
      </c>
      <c r="J448" s="9">
        <f>CKadeaTelcoClients_Churn[[#This Row],[Remise]]*CKadeaTelcoClients_Churn[[#This Row],[Facture_Mensuelle]]</f>
        <v>9.49</v>
      </c>
      <c r="K448">
        <v>447</v>
      </c>
    </row>
    <row r="449" spans="1:11" x14ac:dyDescent="0.35">
      <c r="A449" t="s">
        <v>1342</v>
      </c>
      <c r="B449" t="s">
        <v>725</v>
      </c>
      <c r="C449">
        <v>104</v>
      </c>
      <c r="D449" t="s">
        <v>894</v>
      </c>
      <c r="E449" t="str">
        <f>IF(CKadeaTelcoClients_Churn[[#This Row],[Type_Forfait]]="pro monde","B2B","B2C")</f>
        <v>B2B</v>
      </c>
      <c r="F449">
        <v>421</v>
      </c>
      <c r="G449">
        <v>26.24</v>
      </c>
      <c r="H449">
        <v>3</v>
      </c>
      <c r="I449" s="8">
        <f>IF(AND(F449&gt;720,C449&gt;60),70%,
IF(CKadeaTelcoClients_Churn[[#This Row],[Type_Client]]="B2B",10%,
IF(OR(AND(F449&gt;=240,F449&lt;=720),AND(C449&lt;60,D449="Premium 5G 150Go")),45%,0%)))</f>
        <v>0.1</v>
      </c>
      <c r="J449" s="9">
        <f>CKadeaTelcoClients_Churn[[#This Row],[Remise]]*CKadeaTelcoClients_Churn[[#This Row],[Facture_Mensuelle]]</f>
        <v>2.6240000000000001</v>
      </c>
      <c r="K449">
        <v>448</v>
      </c>
    </row>
    <row r="450" spans="1:11" x14ac:dyDescent="0.35">
      <c r="A450" t="s">
        <v>1343</v>
      </c>
      <c r="B450" t="s">
        <v>685</v>
      </c>
      <c r="C450">
        <v>47</v>
      </c>
      <c r="D450" t="s">
        <v>894</v>
      </c>
      <c r="E450" t="str">
        <f>IF(CKadeaTelcoClients_Churn[[#This Row],[Type_Forfait]]="pro monde","B2B","B2C")</f>
        <v>B2B</v>
      </c>
      <c r="F450">
        <v>107</v>
      </c>
      <c r="G450">
        <v>35.380000000000003</v>
      </c>
      <c r="H450">
        <v>1</v>
      </c>
      <c r="I450" s="8">
        <f>IF(AND(F450&gt;720,C450&gt;60),70%,
IF(CKadeaTelcoClients_Churn[[#This Row],[Type_Client]]="B2B",10%,
IF(OR(AND(F450&gt;=240,F450&lt;=720),AND(C450&lt;60,D450="Premium 5G 150Go")),45%,0%)))</f>
        <v>0.1</v>
      </c>
      <c r="J450" s="9">
        <f>CKadeaTelcoClients_Churn[[#This Row],[Remise]]*CKadeaTelcoClients_Churn[[#This Row],[Facture_Mensuelle]]</f>
        <v>3.5380000000000003</v>
      </c>
      <c r="K450">
        <v>449</v>
      </c>
    </row>
    <row r="451" spans="1:11" x14ac:dyDescent="0.35">
      <c r="A451" t="s">
        <v>1344</v>
      </c>
      <c r="B451" t="s">
        <v>711</v>
      </c>
      <c r="C451">
        <v>96</v>
      </c>
      <c r="D451" t="s">
        <v>892</v>
      </c>
      <c r="E451" t="str">
        <f>IF(CKadeaTelcoClients_Churn[[#This Row],[Type_Forfait]]="pro monde","B2B","B2C")</f>
        <v>B2C</v>
      </c>
      <c r="F451">
        <v>273</v>
      </c>
      <c r="G451">
        <v>37.909999999999997</v>
      </c>
      <c r="H451">
        <v>2</v>
      </c>
      <c r="I451" s="8">
        <f>IF(AND(F451&gt;720,C451&gt;60),70%,
IF(CKadeaTelcoClients_Churn[[#This Row],[Type_Client]]="B2B",10%,
IF(OR(AND(F451&gt;=240,F451&lt;=720),AND(C451&lt;60,D451="Premium 5G 150Go")),45%,0%)))</f>
        <v>0.45</v>
      </c>
      <c r="J451" s="9">
        <f>CKadeaTelcoClients_Churn[[#This Row],[Remise]]*CKadeaTelcoClients_Churn[[#This Row],[Facture_Mensuelle]]</f>
        <v>17.0595</v>
      </c>
      <c r="K451">
        <v>450</v>
      </c>
    </row>
    <row r="452" spans="1:11" x14ac:dyDescent="0.35">
      <c r="A452" t="s">
        <v>1345</v>
      </c>
      <c r="B452" t="s">
        <v>704</v>
      </c>
      <c r="C452">
        <v>43</v>
      </c>
      <c r="D452" t="s">
        <v>892</v>
      </c>
      <c r="E452" t="str">
        <f>IF(CKadeaTelcoClients_Churn[[#This Row],[Type_Forfait]]="pro monde","B2B","B2C")</f>
        <v>B2C</v>
      </c>
      <c r="F452">
        <v>193</v>
      </c>
      <c r="G452">
        <v>35.81</v>
      </c>
      <c r="H452">
        <v>0</v>
      </c>
      <c r="I452" s="8">
        <f>IF(AND(F452&gt;720,C452&gt;60),70%,
IF(CKadeaTelcoClients_Churn[[#This Row],[Type_Client]]="B2B",10%,
IF(OR(AND(F452&gt;=240,F452&lt;=720),AND(C452&lt;60,D452="Premium 5G 150Go")),45%,0%)))</f>
        <v>0.45</v>
      </c>
      <c r="J452" s="9">
        <f>CKadeaTelcoClients_Churn[[#This Row],[Remise]]*CKadeaTelcoClients_Churn[[#This Row],[Facture_Mensuelle]]</f>
        <v>16.114500000000003</v>
      </c>
      <c r="K452">
        <v>451</v>
      </c>
    </row>
    <row r="453" spans="1:11" x14ac:dyDescent="0.35">
      <c r="A453" t="s">
        <v>1346</v>
      </c>
      <c r="B453" t="s">
        <v>682</v>
      </c>
      <c r="C453">
        <v>77</v>
      </c>
      <c r="D453" t="s">
        <v>899</v>
      </c>
      <c r="E453" t="str">
        <f>IF(CKadeaTelcoClients_Churn[[#This Row],[Type_Forfait]]="pro monde","B2B","B2C")</f>
        <v>B2C</v>
      </c>
      <c r="F453">
        <v>375</v>
      </c>
      <c r="G453">
        <v>24.03</v>
      </c>
      <c r="H453">
        <v>1</v>
      </c>
      <c r="I453" s="8">
        <f>IF(AND(F453&gt;720,C453&gt;60),70%,
IF(CKadeaTelcoClients_Churn[[#This Row],[Type_Client]]="B2B",10%,
IF(OR(AND(F453&gt;=240,F453&lt;=720),AND(C453&lt;60,D453="Premium 5G 150Go")),45%,0%)))</f>
        <v>0.45</v>
      </c>
      <c r="J453" s="9">
        <f>CKadeaTelcoClients_Churn[[#This Row],[Remise]]*CKadeaTelcoClients_Churn[[#This Row],[Facture_Mensuelle]]</f>
        <v>10.813500000000001</v>
      </c>
      <c r="K453">
        <v>452</v>
      </c>
    </row>
    <row r="454" spans="1:11" x14ac:dyDescent="0.35">
      <c r="A454" t="s">
        <v>1347</v>
      </c>
      <c r="B454" t="s">
        <v>702</v>
      </c>
      <c r="C454">
        <v>24</v>
      </c>
      <c r="D454" t="s">
        <v>897</v>
      </c>
      <c r="E454" t="str">
        <f>IF(CKadeaTelcoClients_Churn[[#This Row],[Type_Forfait]]="pro monde","B2B","B2C")</f>
        <v>B2C</v>
      </c>
      <c r="F454">
        <v>13</v>
      </c>
      <c r="G454">
        <v>89.3</v>
      </c>
      <c r="H454">
        <v>2</v>
      </c>
      <c r="I454" s="8">
        <f>IF(AND(F454&gt;720,C454&gt;60),70%,
IF(CKadeaTelcoClients_Churn[[#This Row],[Type_Client]]="B2B",10%,
IF(OR(AND(F454&gt;=240,F454&lt;=720),AND(C454&lt;60,D454="Premium 5G 150Go")),45%,0%)))</f>
        <v>0</v>
      </c>
      <c r="J454" s="9">
        <f>CKadeaTelcoClients_Churn[[#This Row],[Remise]]*CKadeaTelcoClients_Churn[[#This Row],[Facture_Mensuelle]]</f>
        <v>0</v>
      </c>
      <c r="K454">
        <v>453</v>
      </c>
    </row>
    <row r="455" spans="1:11" x14ac:dyDescent="0.35">
      <c r="A455" t="s">
        <v>1348</v>
      </c>
      <c r="B455" t="s">
        <v>738</v>
      </c>
      <c r="C455">
        <v>87</v>
      </c>
      <c r="D455" t="s">
        <v>892</v>
      </c>
      <c r="E455" t="str">
        <f>IF(CKadeaTelcoClients_Churn[[#This Row],[Type_Forfait]]="pro monde","B2B","B2C")</f>
        <v>B2C</v>
      </c>
      <c r="F455">
        <v>356</v>
      </c>
      <c r="G455">
        <v>12.89</v>
      </c>
      <c r="H455">
        <v>0</v>
      </c>
      <c r="I455" s="8">
        <f>IF(AND(F455&gt;720,C455&gt;60),70%,
IF(CKadeaTelcoClients_Churn[[#This Row],[Type_Client]]="B2B",10%,
IF(OR(AND(F455&gt;=240,F455&lt;=720),AND(C455&lt;60,D455="Premium 5G 150Go")),45%,0%)))</f>
        <v>0.45</v>
      </c>
      <c r="J455" s="9">
        <f>CKadeaTelcoClients_Churn[[#This Row],[Remise]]*CKadeaTelcoClients_Churn[[#This Row],[Facture_Mensuelle]]</f>
        <v>5.8005000000000004</v>
      </c>
      <c r="K455">
        <v>454</v>
      </c>
    </row>
    <row r="456" spans="1:11" x14ac:dyDescent="0.35">
      <c r="A456" t="s">
        <v>1349</v>
      </c>
      <c r="B456" t="s">
        <v>704</v>
      </c>
      <c r="C456">
        <v>55</v>
      </c>
      <c r="D456" t="s">
        <v>899</v>
      </c>
      <c r="E456" t="str">
        <f>IF(CKadeaTelcoClients_Churn[[#This Row],[Type_Forfait]]="pro monde","B2B","B2C")</f>
        <v>B2C</v>
      </c>
      <c r="F456">
        <v>494</v>
      </c>
      <c r="G456">
        <v>77.599999999999994</v>
      </c>
      <c r="H456">
        <v>4</v>
      </c>
      <c r="I456" s="8">
        <f>IF(AND(F456&gt;720,C456&gt;60),70%,
IF(CKadeaTelcoClients_Churn[[#This Row],[Type_Client]]="B2B",10%,
IF(OR(AND(F456&gt;=240,F456&lt;=720),AND(C456&lt;60,D456="Premium 5G 150Go")),45%,0%)))</f>
        <v>0.45</v>
      </c>
      <c r="J456" s="9">
        <f>CKadeaTelcoClients_Churn[[#This Row],[Remise]]*CKadeaTelcoClients_Churn[[#This Row],[Facture_Mensuelle]]</f>
        <v>34.92</v>
      </c>
      <c r="K456">
        <v>455</v>
      </c>
    </row>
    <row r="457" spans="1:11" x14ac:dyDescent="0.35">
      <c r="A457" t="s">
        <v>1350</v>
      </c>
      <c r="B457" t="s">
        <v>679</v>
      </c>
      <c r="C457">
        <v>20</v>
      </c>
      <c r="D457" t="s">
        <v>899</v>
      </c>
      <c r="E457" t="str">
        <f>IF(CKadeaTelcoClients_Churn[[#This Row],[Type_Forfait]]="pro monde","B2B","B2C")</f>
        <v>B2C</v>
      </c>
      <c r="F457">
        <v>217</v>
      </c>
      <c r="G457">
        <v>55.3</v>
      </c>
      <c r="H457">
        <v>4</v>
      </c>
      <c r="I457" s="8">
        <f>IF(AND(F457&gt;720,C457&gt;60),70%,
IF(CKadeaTelcoClients_Churn[[#This Row],[Type_Client]]="B2B",10%,
IF(OR(AND(F457&gt;=240,F457&lt;=720),AND(C457&lt;60,D457="Premium 5G 150Go")),45%,0%)))</f>
        <v>0</v>
      </c>
      <c r="J457" s="9">
        <f>CKadeaTelcoClients_Churn[[#This Row],[Remise]]*CKadeaTelcoClients_Churn[[#This Row],[Facture_Mensuelle]]</f>
        <v>0</v>
      </c>
      <c r="K457">
        <v>456</v>
      </c>
    </row>
    <row r="458" spans="1:11" x14ac:dyDescent="0.35">
      <c r="A458" t="s">
        <v>1351</v>
      </c>
      <c r="B458" t="s">
        <v>690</v>
      </c>
      <c r="C458">
        <v>115</v>
      </c>
      <c r="D458" t="s">
        <v>894</v>
      </c>
      <c r="E458" t="str">
        <f>IF(CKadeaTelcoClients_Churn[[#This Row],[Type_Forfait]]="pro monde","B2B","B2C")</f>
        <v>B2B</v>
      </c>
      <c r="F458">
        <v>190</v>
      </c>
      <c r="G458">
        <v>10.98</v>
      </c>
      <c r="H458">
        <v>0</v>
      </c>
      <c r="I458" s="8">
        <f>IF(AND(F458&gt;720,C458&gt;60),70%,
IF(CKadeaTelcoClients_Churn[[#This Row],[Type_Client]]="B2B",10%,
IF(OR(AND(F458&gt;=240,F458&lt;=720),AND(C458&lt;60,D458="Premium 5G 150Go")),45%,0%)))</f>
        <v>0.1</v>
      </c>
      <c r="J458" s="9">
        <f>CKadeaTelcoClients_Churn[[#This Row],[Remise]]*CKadeaTelcoClients_Churn[[#This Row],[Facture_Mensuelle]]</f>
        <v>1.0980000000000001</v>
      </c>
      <c r="K458">
        <v>457</v>
      </c>
    </row>
    <row r="459" spans="1:11" x14ac:dyDescent="0.35">
      <c r="A459" t="s">
        <v>1352</v>
      </c>
      <c r="B459" t="s">
        <v>725</v>
      </c>
      <c r="C459">
        <v>86</v>
      </c>
      <c r="D459" t="s">
        <v>892</v>
      </c>
      <c r="E459" t="str">
        <f>IF(CKadeaTelcoClients_Churn[[#This Row],[Type_Forfait]]="pro monde","B2B","B2C")</f>
        <v>B2C</v>
      </c>
      <c r="F459">
        <v>27</v>
      </c>
      <c r="G459">
        <v>84.94</v>
      </c>
      <c r="H459">
        <v>4</v>
      </c>
      <c r="I459" s="8">
        <f>IF(AND(F459&gt;720,C459&gt;60),70%,
IF(CKadeaTelcoClients_Churn[[#This Row],[Type_Client]]="B2B",10%,
IF(OR(AND(F459&gt;=240,F459&lt;=720),AND(C459&lt;60,D459="Premium 5G 150Go")),45%,0%)))</f>
        <v>0</v>
      </c>
      <c r="J459" s="9">
        <f>CKadeaTelcoClients_Churn[[#This Row],[Remise]]*CKadeaTelcoClients_Churn[[#This Row],[Facture_Mensuelle]]</f>
        <v>0</v>
      </c>
      <c r="K459">
        <v>458</v>
      </c>
    </row>
    <row r="460" spans="1:11" x14ac:dyDescent="0.35">
      <c r="A460" t="s">
        <v>1353</v>
      </c>
      <c r="B460" t="s">
        <v>679</v>
      </c>
      <c r="C460">
        <v>88</v>
      </c>
      <c r="D460" t="s">
        <v>892</v>
      </c>
      <c r="E460" t="str">
        <f>IF(CKadeaTelcoClients_Churn[[#This Row],[Type_Forfait]]="pro monde","B2B","B2C")</f>
        <v>B2C</v>
      </c>
      <c r="F460">
        <v>359</v>
      </c>
      <c r="G460">
        <v>71.19</v>
      </c>
      <c r="H460">
        <v>3</v>
      </c>
      <c r="I460" s="8">
        <f>IF(AND(F460&gt;720,C460&gt;60),70%,
IF(CKadeaTelcoClients_Churn[[#This Row],[Type_Client]]="B2B",10%,
IF(OR(AND(F460&gt;=240,F460&lt;=720),AND(C460&lt;60,D460="Premium 5G 150Go")),45%,0%)))</f>
        <v>0.45</v>
      </c>
      <c r="J460" s="9">
        <f>CKadeaTelcoClients_Churn[[#This Row],[Remise]]*CKadeaTelcoClients_Churn[[#This Row],[Facture_Mensuelle]]</f>
        <v>32.035499999999999</v>
      </c>
      <c r="K460">
        <v>459</v>
      </c>
    </row>
    <row r="461" spans="1:11" x14ac:dyDescent="0.35">
      <c r="A461" t="s">
        <v>1354</v>
      </c>
      <c r="B461" t="s">
        <v>704</v>
      </c>
      <c r="C461">
        <v>39</v>
      </c>
      <c r="D461" t="s">
        <v>894</v>
      </c>
      <c r="E461" t="str">
        <f>IF(CKadeaTelcoClients_Churn[[#This Row],[Type_Forfait]]="pro monde","B2B","B2C")</f>
        <v>B2B</v>
      </c>
      <c r="F461">
        <v>54</v>
      </c>
      <c r="G461">
        <v>88.84</v>
      </c>
      <c r="H461">
        <v>0</v>
      </c>
      <c r="I461" s="8">
        <f>IF(AND(F461&gt;720,C461&gt;60),70%,
IF(CKadeaTelcoClients_Churn[[#This Row],[Type_Client]]="B2B",10%,
IF(OR(AND(F461&gt;=240,F461&lt;=720),AND(C461&lt;60,D461="Premium 5G 150Go")),45%,0%)))</f>
        <v>0.1</v>
      </c>
      <c r="J461" s="9">
        <f>CKadeaTelcoClients_Churn[[#This Row],[Remise]]*CKadeaTelcoClients_Churn[[#This Row],[Facture_Mensuelle]]</f>
        <v>8.8840000000000003</v>
      </c>
      <c r="K461">
        <v>460</v>
      </c>
    </row>
    <row r="462" spans="1:11" x14ac:dyDescent="0.35">
      <c r="A462" t="s">
        <v>1355</v>
      </c>
      <c r="B462" t="s">
        <v>737</v>
      </c>
      <c r="C462">
        <v>80</v>
      </c>
      <c r="D462" t="s">
        <v>894</v>
      </c>
      <c r="E462" t="str">
        <f>IF(CKadeaTelcoClients_Churn[[#This Row],[Type_Forfait]]="pro monde","B2B","B2C")</f>
        <v>B2B</v>
      </c>
      <c r="F462">
        <v>339</v>
      </c>
      <c r="G462">
        <v>59.87</v>
      </c>
      <c r="H462">
        <v>0</v>
      </c>
      <c r="I462" s="8">
        <f>IF(AND(F462&gt;720,C462&gt;60),70%,
IF(CKadeaTelcoClients_Churn[[#This Row],[Type_Client]]="B2B",10%,
IF(OR(AND(F462&gt;=240,F462&lt;=720),AND(C462&lt;60,D462="Premium 5G 150Go")),45%,0%)))</f>
        <v>0.1</v>
      </c>
      <c r="J462" s="9">
        <f>CKadeaTelcoClients_Churn[[#This Row],[Remise]]*CKadeaTelcoClients_Churn[[#This Row],[Facture_Mensuelle]]</f>
        <v>5.9870000000000001</v>
      </c>
      <c r="K462">
        <v>461</v>
      </c>
    </row>
    <row r="463" spans="1:11" x14ac:dyDescent="0.35">
      <c r="A463" t="s">
        <v>1356</v>
      </c>
      <c r="B463" t="s">
        <v>679</v>
      </c>
      <c r="C463">
        <v>105</v>
      </c>
      <c r="D463" t="s">
        <v>894</v>
      </c>
      <c r="E463" t="str">
        <f>IF(CKadeaTelcoClients_Churn[[#This Row],[Type_Forfait]]="pro monde","B2B","B2C")</f>
        <v>B2B</v>
      </c>
      <c r="F463">
        <v>297</v>
      </c>
      <c r="G463">
        <v>84.66</v>
      </c>
      <c r="H463">
        <v>2</v>
      </c>
      <c r="I463" s="8">
        <f>IF(AND(F463&gt;720,C463&gt;60),70%,
IF(CKadeaTelcoClients_Churn[[#This Row],[Type_Client]]="B2B",10%,
IF(OR(AND(F463&gt;=240,F463&lt;=720),AND(C463&lt;60,D463="Premium 5G 150Go")),45%,0%)))</f>
        <v>0.1</v>
      </c>
      <c r="J463" s="9">
        <f>CKadeaTelcoClients_Churn[[#This Row],[Remise]]*CKadeaTelcoClients_Churn[[#This Row],[Facture_Mensuelle]]</f>
        <v>8.4659999999999993</v>
      </c>
      <c r="K463">
        <v>462</v>
      </c>
    </row>
    <row r="464" spans="1:11" x14ac:dyDescent="0.35">
      <c r="A464" t="s">
        <v>1357</v>
      </c>
      <c r="B464" t="s">
        <v>685</v>
      </c>
      <c r="C464">
        <v>37</v>
      </c>
      <c r="D464" t="s">
        <v>894</v>
      </c>
      <c r="E464" t="str">
        <f>IF(CKadeaTelcoClients_Churn[[#This Row],[Type_Forfait]]="pro monde","B2B","B2C")</f>
        <v>B2B</v>
      </c>
      <c r="F464">
        <v>37</v>
      </c>
      <c r="G464">
        <v>92.72</v>
      </c>
      <c r="H464">
        <v>0</v>
      </c>
      <c r="I464" s="8">
        <f>IF(AND(F464&gt;720,C464&gt;60),70%,
IF(CKadeaTelcoClients_Churn[[#This Row],[Type_Client]]="B2B",10%,
IF(OR(AND(F464&gt;=240,F464&lt;=720),AND(C464&lt;60,D464="Premium 5G 150Go")),45%,0%)))</f>
        <v>0.1</v>
      </c>
      <c r="J464" s="9">
        <f>CKadeaTelcoClients_Churn[[#This Row],[Remise]]*CKadeaTelcoClients_Churn[[#This Row],[Facture_Mensuelle]]</f>
        <v>9.2720000000000002</v>
      </c>
      <c r="K464">
        <v>463</v>
      </c>
    </row>
    <row r="465" spans="1:11" x14ac:dyDescent="0.35">
      <c r="A465" t="s">
        <v>1358</v>
      </c>
      <c r="B465" t="s">
        <v>711</v>
      </c>
      <c r="C465">
        <v>45</v>
      </c>
      <c r="D465" t="s">
        <v>892</v>
      </c>
      <c r="E465" t="str">
        <f>IF(CKadeaTelcoClients_Churn[[#This Row],[Type_Forfait]]="pro monde","B2B","B2C")</f>
        <v>B2C</v>
      </c>
      <c r="F465">
        <v>244</v>
      </c>
      <c r="G465">
        <v>55.17</v>
      </c>
      <c r="H465">
        <v>2</v>
      </c>
      <c r="I465" s="8">
        <f>IF(AND(F465&gt;720,C465&gt;60),70%,
IF(CKadeaTelcoClients_Churn[[#This Row],[Type_Client]]="B2B",10%,
IF(OR(AND(F465&gt;=240,F465&lt;=720),AND(C465&lt;60,D465="Premium 5G 150Go")),45%,0%)))</f>
        <v>0.45</v>
      </c>
      <c r="J465" s="9">
        <f>CKadeaTelcoClients_Churn[[#This Row],[Remise]]*CKadeaTelcoClients_Churn[[#This Row],[Facture_Mensuelle]]</f>
        <v>24.826500000000003</v>
      </c>
      <c r="K465">
        <v>464</v>
      </c>
    </row>
    <row r="466" spans="1:11" x14ac:dyDescent="0.35">
      <c r="A466" t="s">
        <v>1359</v>
      </c>
      <c r="B466" t="s">
        <v>716</v>
      </c>
      <c r="C466">
        <v>113</v>
      </c>
      <c r="D466" t="s">
        <v>899</v>
      </c>
      <c r="E466" t="str">
        <f>IF(CKadeaTelcoClients_Churn[[#This Row],[Type_Forfait]]="pro monde","B2B","B2C")</f>
        <v>B2C</v>
      </c>
      <c r="F466">
        <v>428</v>
      </c>
      <c r="G466">
        <v>73.84</v>
      </c>
      <c r="H466">
        <v>0</v>
      </c>
      <c r="I466" s="8">
        <f>IF(AND(F466&gt;720,C466&gt;60),70%,
IF(CKadeaTelcoClients_Churn[[#This Row],[Type_Client]]="B2B",10%,
IF(OR(AND(F466&gt;=240,F466&lt;=720),AND(C466&lt;60,D466="Premium 5G 150Go")),45%,0%)))</f>
        <v>0.45</v>
      </c>
      <c r="J466" s="9">
        <f>CKadeaTelcoClients_Churn[[#This Row],[Remise]]*CKadeaTelcoClients_Churn[[#This Row],[Facture_Mensuelle]]</f>
        <v>33.228000000000002</v>
      </c>
      <c r="K466">
        <v>465</v>
      </c>
    </row>
    <row r="467" spans="1:11" x14ac:dyDescent="0.35">
      <c r="A467" t="s">
        <v>1360</v>
      </c>
      <c r="B467" t="s">
        <v>690</v>
      </c>
      <c r="C467">
        <v>14</v>
      </c>
      <c r="D467" t="s">
        <v>899</v>
      </c>
      <c r="E467" t="str">
        <f>IF(CKadeaTelcoClients_Churn[[#This Row],[Type_Forfait]]="pro monde","B2B","B2C")</f>
        <v>B2C</v>
      </c>
      <c r="F467">
        <v>304</v>
      </c>
      <c r="G467">
        <v>48.13</v>
      </c>
      <c r="H467">
        <v>2</v>
      </c>
      <c r="I467" s="8">
        <f>IF(AND(F467&gt;720,C467&gt;60),70%,
IF(CKadeaTelcoClients_Churn[[#This Row],[Type_Client]]="B2B",10%,
IF(OR(AND(F467&gt;=240,F467&lt;=720),AND(C467&lt;60,D467="Premium 5G 150Go")),45%,0%)))</f>
        <v>0.45</v>
      </c>
      <c r="J467" s="9">
        <f>CKadeaTelcoClients_Churn[[#This Row],[Remise]]*CKadeaTelcoClients_Churn[[#This Row],[Facture_Mensuelle]]</f>
        <v>21.6585</v>
      </c>
      <c r="K467">
        <v>466</v>
      </c>
    </row>
    <row r="468" spans="1:11" x14ac:dyDescent="0.35">
      <c r="A468" t="s">
        <v>1361</v>
      </c>
      <c r="B468" t="s">
        <v>706</v>
      </c>
      <c r="C468">
        <v>35</v>
      </c>
      <c r="D468" t="s">
        <v>894</v>
      </c>
      <c r="E468" t="str">
        <f>IF(CKadeaTelcoClients_Churn[[#This Row],[Type_Forfait]]="pro monde","B2B","B2C")</f>
        <v>B2B</v>
      </c>
      <c r="F468">
        <v>445</v>
      </c>
      <c r="G468">
        <v>24.11</v>
      </c>
      <c r="H468">
        <v>2</v>
      </c>
      <c r="I468" s="8">
        <f>IF(AND(F468&gt;720,C468&gt;60),70%,
IF(CKadeaTelcoClients_Churn[[#This Row],[Type_Client]]="B2B",10%,
IF(OR(AND(F468&gt;=240,F468&lt;=720),AND(C468&lt;60,D468="Premium 5G 150Go")),45%,0%)))</f>
        <v>0.1</v>
      </c>
      <c r="J468" s="9">
        <f>CKadeaTelcoClients_Churn[[#This Row],[Remise]]*CKadeaTelcoClients_Churn[[#This Row],[Facture_Mensuelle]]</f>
        <v>2.411</v>
      </c>
      <c r="K468">
        <v>467</v>
      </c>
    </row>
    <row r="469" spans="1:11" x14ac:dyDescent="0.35">
      <c r="A469" t="s">
        <v>1362</v>
      </c>
      <c r="B469" t="s">
        <v>690</v>
      </c>
      <c r="C469">
        <v>118</v>
      </c>
      <c r="D469" t="s">
        <v>894</v>
      </c>
      <c r="E469" t="str">
        <f>IF(CKadeaTelcoClients_Churn[[#This Row],[Type_Forfait]]="pro monde","B2B","B2C")</f>
        <v>B2B</v>
      </c>
      <c r="F469">
        <v>80</v>
      </c>
      <c r="G469">
        <v>97.58</v>
      </c>
      <c r="H469">
        <v>3</v>
      </c>
      <c r="I469" s="8">
        <f>IF(AND(F469&gt;720,C469&gt;60),70%,
IF(CKadeaTelcoClients_Churn[[#This Row],[Type_Client]]="B2B",10%,
IF(OR(AND(F469&gt;=240,F469&lt;=720),AND(C469&lt;60,D469="Premium 5G 150Go")),45%,0%)))</f>
        <v>0.1</v>
      </c>
      <c r="J469" s="9">
        <f>CKadeaTelcoClients_Churn[[#This Row],[Remise]]*CKadeaTelcoClients_Churn[[#This Row],[Facture_Mensuelle]]</f>
        <v>9.7580000000000009</v>
      </c>
      <c r="K469">
        <v>468</v>
      </c>
    </row>
    <row r="470" spans="1:11" x14ac:dyDescent="0.35">
      <c r="A470" t="s">
        <v>1363</v>
      </c>
      <c r="B470" t="s">
        <v>706</v>
      </c>
      <c r="C470">
        <v>64</v>
      </c>
      <c r="D470" t="s">
        <v>894</v>
      </c>
      <c r="E470" t="str">
        <f>IF(CKadeaTelcoClients_Churn[[#This Row],[Type_Forfait]]="pro monde","B2B","B2C")</f>
        <v>B2B</v>
      </c>
      <c r="F470">
        <v>15</v>
      </c>
      <c r="G470">
        <v>56.94</v>
      </c>
      <c r="H470">
        <v>4</v>
      </c>
      <c r="I470" s="8">
        <f>IF(AND(F470&gt;720,C470&gt;60),70%,
IF(CKadeaTelcoClients_Churn[[#This Row],[Type_Client]]="B2B",10%,
IF(OR(AND(F470&gt;=240,F470&lt;=720),AND(C470&lt;60,D470="Premium 5G 150Go")),45%,0%)))</f>
        <v>0.1</v>
      </c>
      <c r="J470" s="9">
        <f>CKadeaTelcoClients_Churn[[#This Row],[Remise]]*CKadeaTelcoClients_Churn[[#This Row],[Facture_Mensuelle]]</f>
        <v>5.694</v>
      </c>
      <c r="K470">
        <v>469</v>
      </c>
    </row>
    <row r="471" spans="1:11" x14ac:dyDescent="0.35">
      <c r="A471" t="s">
        <v>1364</v>
      </c>
      <c r="B471" t="s">
        <v>711</v>
      </c>
      <c r="C471">
        <v>85</v>
      </c>
      <c r="D471" t="s">
        <v>894</v>
      </c>
      <c r="E471" t="str">
        <f>IF(CKadeaTelcoClients_Churn[[#This Row],[Type_Forfait]]="pro monde","B2B","B2C")</f>
        <v>B2B</v>
      </c>
      <c r="F471">
        <v>75</v>
      </c>
      <c r="G471">
        <v>98.01</v>
      </c>
      <c r="H471">
        <v>1</v>
      </c>
      <c r="I471" s="8">
        <f>IF(AND(F471&gt;720,C471&gt;60),70%,
IF(CKadeaTelcoClients_Churn[[#This Row],[Type_Client]]="B2B",10%,
IF(OR(AND(F471&gt;=240,F471&lt;=720),AND(C471&lt;60,D471="Premium 5G 150Go")),45%,0%)))</f>
        <v>0.1</v>
      </c>
      <c r="J471" s="9">
        <f>CKadeaTelcoClients_Churn[[#This Row],[Remise]]*CKadeaTelcoClients_Churn[[#This Row],[Facture_Mensuelle]]</f>
        <v>9.8010000000000019</v>
      </c>
      <c r="K471">
        <v>470</v>
      </c>
    </row>
    <row r="472" spans="1:11" x14ac:dyDescent="0.35">
      <c r="A472" t="s">
        <v>1365</v>
      </c>
      <c r="B472" t="s">
        <v>696</v>
      </c>
      <c r="C472">
        <v>48</v>
      </c>
      <c r="D472" t="s">
        <v>899</v>
      </c>
      <c r="E472" t="str">
        <f>IF(CKadeaTelcoClients_Churn[[#This Row],[Type_Forfait]]="pro monde","B2B","B2C")</f>
        <v>B2C</v>
      </c>
      <c r="F472">
        <v>187</v>
      </c>
      <c r="G472">
        <v>21.26</v>
      </c>
      <c r="H472">
        <v>2</v>
      </c>
      <c r="I472" s="8">
        <f>IF(AND(F472&gt;720,C472&gt;60),70%,
IF(CKadeaTelcoClients_Churn[[#This Row],[Type_Client]]="B2B",10%,
IF(OR(AND(F472&gt;=240,F472&lt;=720),AND(C472&lt;60,D472="Premium 5G 150Go")),45%,0%)))</f>
        <v>0</v>
      </c>
      <c r="J472" s="9">
        <f>CKadeaTelcoClients_Churn[[#This Row],[Remise]]*CKadeaTelcoClients_Churn[[#This Row],[Facture_Mensuelle]]</f>
        <v>0</v>
      </c>
      <c r="K472">
        <v>471</v>
      </c>
    </row>
    <row r="473" spans="1:11" x14ac:dyDescent="0.35">
      <c r="A473" t="s">
        <v>1366</v>
      </c>
      <c r="B473" t="s">
        <v>716</v>
      </c>
      <c r="C473">
        <v>120</v>
      </c>
      <c r="D473" t="s">
        <v>894</v>
      </c>
      <c r="E473" t="str">
        <f>IF(CKadeaTelcoClients_Churn[[#This Row],[Type_Forfait]]="pro monde","B2B","B2C")</f>
        <v>B2B</v>
      </c>
      <c r="F473">
        <v>72</v>
      </c>
      <c r="G473">
        <v>29.07</v>
      </c>
      <c r="H473">
        <v>3</v>
      </c>
      <c r="I473" s="8">
        <f>IF(AND(F473&gt;720,C473&gt;60),70%,
IF(CKadeaTelcoClients_Churn[[#This Row],[Type_Client]]="B2B",10%,
IF(OR(AND(F473&gt;=240,F473&lt;=720),AND(C473&lt;60,D473="Premium 5G 150Go")),45%,0%)))</f>
        <v>0.1</v>
      </c>
      <c r="J473" s="9">
        <f>CKadeaTelcoClients_Churn[[#This Row],[Remise]]*CKadeaTelcoClients_Churn[[#This Row],[Facture_Mensuelle]]</f>
        <v>2.907</v>
      </c>
      <c r="K473">
        <v>472</v>
      </c>
    </row>
    <row r="474" spans="1:11" x14ac:dyDescent="0.35">
      <c r="A474" t="s">
        <v>1367</v>
      </c>
      <c r="B474" t="s">
        <v>700</v>
      </c>
      <c r="C474">
        <v>34</v>
      </c>
      <c r="D474" t="s">
        <v>897</v>
      </c>
      <c r="E474" t="str">
        <f>IF(CKadeaTelcoClients_Churn[[#This Row],[Type_Forfait]]="pro monde","B2B","B2C")</f>
        <v>B2C</v>
      </c>
      <c r="F474">
        <v>40</v>
      </c>
      <c r="G474">
        <v>65.709999999999994</v>
      </c>
      <c r="H474">
        <v>5</v>
      </c>
      <c r="I474" s="8">
        <f>IF(AND(F474&gt;720,C474&gt;60),70%,
IF(CKadeaTelcoClients_Churn[[#This Row],[Type_Client]]="B2B",10%,
IF(OR(AND(F474&gt;=240,F474&lt;=720),AND(C474&lt;60,D474="Premium 5G 150Go")),45%,0%)))</f>
        <v>0</v>
      </c>
      <c r="J474" s="9">
        <f>CKadeaTelcoClients_Churn[[#This Row],[Remise]]*CKadeaTelcoClients_Churn[[#This Row],[Facture_Mensuelle]]</f>
        <v>0</v>
      </c>
      <c r="K474">
        <v>473</v>
      </c>
    </row>
    <row r="475" spans="1:11" x14ac:dyDescent="0.35">
      <c r="A475" t="s">
        <v>1368</v>
      </c>
      <c r="B475" t="s">
        <v>738</v>
      </c>
      <c r="C475">
        <v>104</v>
      </c>
      <c r="D475" t="s">
        <v>894</v>
      </c>
      <c r="E475" t="str">
        <f>IF(CKadeaTelcoClients_Churn[[#This Row],[Type_Forfait]]="pro monde","B2B","B2C")</f>
        <v>B2B</v>
      </c>
      <c r="F475">
        <v>125</v>
      </c>
      <c r="G475">
        <v>29.7</v>
      </c>
      <c r="H475">
        <v>2</v>
      </c>
      <c r="I475" s="8">
        <f>IF(AND(F475&gt;720,C475&gt;60),70%,
IF(CKadeaTelcoClients_Churn[[#This Row],[Type_Client]]="B2B",10%,
IF(OR(AND(F475&gt;=240,F475&lt;=720),AND(C475&lt;60,D475="Premium 5G 150Go")),45%,0%)))</f>
        <v>0.1</v>
      </c>
      <c r="J475" s="9">
        <f>CKadeaTelcoClients_Churn[[#This Row],[Remise]]*CKadeaTelcoClients_Churn[[#This Row],[Facture_Mensuelle]]</f>
        <v>2.97</v>
      </c>
      <c r="K475">
        <v>474</v>
      </c>
    </row>
    <row r="476" spans="1:11" x14ac:dyDescent="0.35">
      <c r="A476" t="s">
        <v>1369</v>
      </c>
      <c r="B476" t="s">
        <v>737</v>
      </c>
      <c r="C476">
        <v>117</v>
      </c>
      <c r="D476" t="s">
        <v>899</v>
      </c>
      <c r="E476" t="str">
        <f>IF(CKadeaTelcoClients_Churn[[#This Row],[Type_Forfait]]="pro monde","B2B","B2C")</f>
        <v>B2C</v>
      </c>
      <c r="F476">
        <v>39</v>
      </c>
      <c r="G476">
        <v>26.53</v>
      </c>
      <c r="H476">
        <v>1</v>
      </c>
      <c r="I476" s="8">
        <f>IF(AND(F476&gt;720,C476&gt;60),70%,
IF(CKadeaTelcoClients_Churn[[#This Row],[Type_Client]]="B2B",10%,
IF(OR(AND(F476&gt;=240,F476&lt;=720),AND(C476&lt;60,D476="Premium 5G 150Go")),45%,0%)))</f>
        <v>0</v>
      </c>
      <c r="J476" s="9">
        <f>CKadeaTelcoClients_Churn[[#This Row],[Remise]]*CKadeaTelcoClients_Churn[[#This Row],[Facture_Mensuelle]]</f>
        <v>0</v>
      </c>
      <c r="K476">
        <v>475</v>
      </c>
    </row>
    <row r="477" spans="1:11" x14ac:dyDescent="0.35">
      <c r="A477" t="s">
        <v>1370</v>
      </c>
      <c r="B477" t="s">
        <v>706</v>
      </c>
      <c r="C477">
        <v>92</v>
      </c>
      <c r="D477" t="s">
        <v>897</v>
      </c>
      <c r="E477" t="str">
        <f>IF(CKadeaTelcoClients_Churn[[#This Row],[Type_Forfait]]="pro monde","B2B","B2C")</f>
        <v>B2C</v>
      </c>
      <c r="F477">
        <v>6</v>
      </c>
      <c r="G477">
        <v>77.14</v>
      </c>
      <c r="H477">
        <v>5</v>
      </c>
      <c r="I477" s="8">
        <f>IF(AND(F477&gt;720,C477&gt;60),70%,
IF(CKadeaTelcoClients_Churn[[#This Row],[Type_Client]]="B2B",10%,
IF(OR(AND(F477&gt;=240,F477&lt;=720),AND(C477&lt;60,D477="Premium 5G 150Go")),45%,0%)))</f>
        <v>0</v>
      </c>
      <c r="J477" s="9">
        <f>CKadeaTelcoClients_Churn[[#This Row],[Remise]]*CKadeaTelcoClients_Churn[[#This Row],[Facture_Mensuelle]]</f>
        <v>0</v>
      </c>
      <c r="K477">
        <v>476</v>
      </c>
    </row>
    <row r="478" spans="1:11" x14ac:dyDescent="0.35">
      <c r="A478" t="s">
        <v>1371</v>
      </c>
      <c r="B478" t="s">
        <v>693</v>
      </c>
      <c r="C478">
        <v>103</v>
      </c>
      <c r="D478" t="s">
        <v>899</v>
      </c>
      <c r="E478" t="str">
        <f>IF(CKadeaTelcoClients_Churn[[#This Row],[Type_Forfait]]="pro monde","B2B","B2C")</f>
        <v>B2C</v>
      </c>
      <c r="F478">
        <v>291</v>
      </c>
      <c r="G478">
        <v>60.34</v>
      </c>
      <c r="H478">
        <v>5</v>
      </c>
      <c r="I478" s="8">
        <f>IF(AND(F478&gt;720,C478&gt;60),70%,
IF(CKadeaTelcoClients_Churn[[#This Row],[Type_Client]]="B2B",10%,
IF(OR(AND(F478&gt;=240,F478&lt;=720),AND(C478&lt;60,D478="Premium 5G 150Go")),45%,0%)))</f>
        <v>0.45</v>
      </c>
      <c r="J478" s="9">
        <f>CKadeaTelcoClients_Churn[[#This Row],[Remise]]*CKadeaTelcoClients_Churn[[#This Row],[Facture_Mensuelle]]</f>
        <v>27.153000000000002</v>
      </c>
      <c r="K478">
        <v>477</v>
      </c>
    </row>
    <row r="479" spans="1:11" x14ac:dyDescent="0.35">
      <c r="A479" t="s">
        <v>1372</v>
      </c>
      <c r="B479" t="s">
        <v>696</v>
      </c>
      <c r="C479">
        <v>10</v>
      </c>
      <c r="D479" t="s">
        <v>892</v>
      </c>
      <c r="E479" t="str">
        <f>IF(CKadeaTelcoClients_Churn[[#This Row],[Type_Forfait]]="pro monde","B2B","B2C")</f>
        <v>B2C</v>
      </c>
      <c r="F479">
        <v>425</v>
      </c>
      <c r="G479">
        <v>85.75</v>
      </c>
      <c r="H479">
        <v>0</v>
      </c>
      <c r="I479" s="8">
        <f>IF(AND(F479&gt;720,C479&gt;60),70%,
IF(CKadeaTelcoClients_Churn[[#This Row],[Type_Client]]="B2B",10%,
IF(OR(AND(F479&gt;=240,F479&lt;=720),AND(C479&lt;60,D479="Premium 5G 150Go")),45%,0%)))</f>
        <v>0.45</v>
      </c>
      <c r="J479" s="9">
        <f>CKadeaTelcoClients_Churn[[#This Row],[Remise]]*CKadeaTelcoClients_Churn[[#This Row],[Facture_Mensuelle]]</f>
        <v>38.587499999999999</v>
      </c>
      <c r="K479">
        <v>478</v>
      </c>
    </row>
    <row r="480" spans="1:11" x14ac:dyDescent="0.35">
      <c r="A480" t="s">
        <v>1373</v>
      </c>
      <c r="B480" t="s">
        <v>693</v>
      </c>
      <c r="C480">
        <v>101</v>
      </c>
      <c r="D480" t="s">
        <v>897</v>
      </c>
      <c r="E480" t="str">
        <f>IF(CKadeaTelcoClients_Churn[[#This Row],[Type_Forfait]]="pro monde","B2B","B2C")</f>
        <v>B2C</v>
      </c>
      <c r="F480">
        <v>416</v>
      </c>
      <c r="G480">
        <v>83.49</v>
      </c>
      <c r="H480">
        <v>2</v>
      </c>
      <c r="I480" s="8">
        <f>IF(AND(F480&gt;720,C480&gt;60),70%,
IF(CKadeaTelcoClients_Churn[[#This Row],[Type_Client]]="B2B",10%,
IF(OR(AND(F480&gt;=240,F480&lt;=720),AND(C480&lt;60,D480="Premium 5G 150Go")),45%,0%)))</f>
        <v>0.45</v>
      </c>
      <c r="J480" s="9">
        <f>CKadeaTelcoClients_Churn[[#This Row],[Remise]]*CKadeaTelcoClients_Churn[[#This Row],[Facture_Mensuelle]]</f>
        <v>37.570499999999996</v>
      </c>
      <c r="K480">
        <v>479</v>
      </c>
    </row>
    <row r="481" spans="1:11" x14ac:dyDescent="0.35">
      <c r="A481" t="s">
        <v>1374</v>
      </c>
      <c r="B481" t="s">
        <v>682</v>
      </c>
      <c r="C481">
        <v>1</v>
      </c>
      <c r="D481" t="s">
        <v>899</v>
      </c>
      <c r="E481" t="str">
        <f>IF(CKadeaTelcoClients_Churn[[#This Row],[Type_Forfait]]="pro monde","B2B","B2C")</f>
        <v>B2C</v>
      </c>
      <c r="F481">
        <v>213</v>
      </c>
      <c r="G481">
        <v>52.16</v>
      </c>
      <c r="H481">
        <v>3</v>
      </c>
      <c r="I481" s="8">
        <f>IF(AND(F481&gt;720,C481&gt;60),70%,
IF(CKadeaTelcoClients_Churn[[#This Row],[Type_Client]]="B2B",10%,
IF(OR(AND(F481&gt;=240,F481&lt;=720),AND(C481&lt;60,D481="Premium 5G 150Go")),45%,0%)))</f>
        <v>0</v>
      </c>
      <c r="J481" s="9">
        <f>CKadeaTelcoClients_Churn[[#This Row],[Remise]]*CKadeaTelcoClients_Churn[[#This Row],[Facture_Mensuelle]]</f>
        <v>0</v>
      </c>
      <c r="K481">
        <v>480</v>
      </c>
    </row>
    <row r="482" spans="1:11" x14ac:dyDescent="0.35">
      <c r="A482" t="s">
        <v>1375</v>
      </c>
      <c r="B482" t="s">
        <v>679</v>
      </c>
      <c r="C482">
        <v>111</v>
      </c>
      <c r="D482" t="s">
        <v>897</v>
      </c>
      <c r="E482" t="str">
        <f>IF(CKadeaTelcoClients_Churn[[#This Row],[Type_Forfait]]="pro monde","B2B","B2C")</f>
        <v>B2C</v>
      </c>
      <c r="F482">
        <v>76</v>
      </c>
      <c r="G482">
        <v>38.19</v>
      </c>
      <c r="H482">
        <v>5</v>
      </c>
      <c r="I482" s="8">
        <f>IF(AND(F482&gt;720,C482&gt;60),70%,
IF(CKadeaTelcoClients_Churn[[#This Row],[Type_Client]]="B2B",10%,
IF(OR(AND(F482&gt;=240,F482&lt;=720),AND(C482&lt;60,D482="Premium 5G 150Go")),45%,0%)))</f>
        <v>0</v>
      </c>
      <c r="J482" s="9">
        <f>CKadeaTelcoClients_Churn[[#This Row],[Remise]]*CKadeaTelcoClients_Churn[[#This Row],[Facture_Mensuelle]]</f>
        <v>0</v>
      </c>
      <c r="K482">
        <v>481</v>
      </c>
    </row>
    <row r="483" spans="1:11" x14ac:dyDescent="0.35">
      <c r="A483" t="s">
        <v>1376</v>
      </c>
      <c r="B483" t="s">
        <v>707</v>
      </c>
      <c r="C483">
        <v>120</v>
      </c>
      <c r="D483" t="s">
        <v>892</v>
      </c>
      <c r="E483" t="str">
        <f>IF(CKadeaTelcoClients_Churn[[#This Row],[Type_Forfait]]="pro monde","B2B","B2C")</f>
        <v>B2C</v>
      </c>
      <c r="F483">
        <v>391</v>
      </c>
      <c r="G483">
        <v>67.77</v>
      </c>
      <c r="H483">
        <v>4</v>
      </c>
      <c r="I483" s="8">
        <f>IF(AND(F483&gt;720,C483&gt;60),70%,
IF(CKadeaTelcoClients_Churn[[#This Row],[Type_Client]]="B2B",10%,
IF(OR(AND(F483&gt;=240,F483&lt;=720),AND(C483&lt;60,D483="Premium 5G 150Go")),45%,0%)))</f>
        <v>0.45</v>
      </c>
      <c r="J483" s="9">
        <f>CKadeaTelcoClients_Churn[[#This Row],[Remise]]*CKadeaTelcoClients_Churn[[#This Row],[Facture_Mensuelle]]</f>
        <v>30.496499999999997</v>
      </c>
      <c r="K483">
        <v>482</v>
      </c>
    </row>
    <row r="484" spans="1:11" x14ac:dyDescent="0.35">
      <c r="A484" t="s">
        <v>1377</v>
      </c>
      <c r="B484" t="s">
        <v>703</v>
      </c>
      <c r="C484">
        <v>20</v>
      </c>
      <c r="D484" t="s">
        <v>894</v>
      </c>
      <c r="E484" t="str">
        <f>IF(CKadeaTelcoClients_Churn[[#This Row],[Type_Forfait]]="pro monde","B2B","B2C")</f>
        <v>B2B</v>
      </c>
      <c r="F484">
        <v>93</v>
      </c>
      <c r="G484">
        <v>84.45</v>
      </c>
      <c r="H484">
        <v>0</v>
      </c>
      <c r="I484" s="8">
        <f>IF(AND(F484&gt;720,C484&gt;60),70%,
IF(CKadeaTelcoClients_Churn[[#This Row],[Type_Client]]="B2B",10%,
IF(OR(AND(F484&gt;=240,F484&lt;=720),AND(C484&lt;60,D484="Premium 5G 150Go")),45%,0%)))</f>
        <v>0.1</v>
      </c>
      <c r="J484" s="9">
        <f>CKadeaTelcoClients_Churn[[#This Row],[Remise]]*CKadeaTelcoClients_Churn[[#This Row],[Facture_Mensuelle]]</f>
        <v>8.4450000000000003</v>
      </c>
      <c r="K484">
        <v>483</v>
      </c>
    </row>
    <row r="485" spans="1:11" x14ac:dyDescent="0.35">
      <c r="A485" t="s">
        <v>1378</v>
      </c>
      <c r="B485" t="s">
        <v>679</v>
      </c>
      <c r="C485">
        <v>100</v>
      </c>
      <c r="D485" t="s">
        <v>899</v>
      </c>
      <c r="E485" t="str">
        <f>IF(CKadeaTelcoClients_Churn[[#This Row],[Type_Forfait]]="pro monde","B2B","B2C")</f>
        <v>B2C</v>
      </c>
      <c r="F485">
        <v>240</v>
      </c>
      <c r="G485">
        <v>24.83</v>
      </c>
      <c r="H485">
        <v>4</v>
      </c>
      <c r="I485" s="8">
        <f>IF(AND(F485&gt;720,C485&gt;60),70%,
IF(CKadeaTelcoClients_Churn[[#This Row],[Type_Client]]="B2B",10%,
IF(OR(AND(F485&gt;=240,F485&lt;=720),AND(C485&lt;60,D485="Premium 5G 150Go")),45%,0%)))</f>
        <v>0.45</v>
      </c>
      <c r="J485" s="9">
        <f>CKadeaTelcoClients_Churn[[#This Row],[Remise]]*CKadeaTelcoClients_Churn[[#This Row],[Facture_Mensuelle]]</f>
        <v>11.173499999999999</v>
      </c>
      <c r="K485">
        <v>484</v>
      </c>
    </row>
    <row r="486" spans="1:11" x14ac:dyDescent="0.35">
      <c r="A486" t="s">
        <v>1379</v>
      </c>
      <c r="B486" t="s">
        <v>706</v>
      </c>
      <c r="C486">
        <v>84</v>
      </c>
      <c r="D486" t="s">
        <v>897</v>
      </c>
      <c r="E486" t="str">
        <f>IF(CKadeaTelcoClients_Churn[[#This Row],[Type_Forfait]]="pro monde","B2B","B2C")</f>
        <v>B2C</v>
      </c>
      <c r="F486">
        <v>380</v>
      </c>
      <c r="G486">
        <v>82.3</v>
      </c>
      <c r="H486">
        <v>1</v>
      </c>
      <c r="I486" s="8">
        <f>IF(AND(F486&gt;720,C486&gt;60),70%,
IF(CKadeaTelcoClients_Churn[[#This Row],[Type_Client]]="B2B",10%,
IF(OR(AND(F486&gt;=240,F486&lt;=720),AND(C486&lt;60,D486="Premium 5G 150Go")),45%,0%)))</f>
        <v>0.45</v>
      </c>
      <c r="J486" s="9">
        <f>CKadeaTelcoClients_Churn[[#This Row],[Remise]]*CKadeaTelcoClients_Churn[[#This Row],[Facture_Mensuelle]]</f>
        <v>37.034999999999997</v>
      </c>
      <c r="K486">
        <v>485</v>
      </c>
    </row>
    <row r="487" spans="1:11" x14ac:dyDescent="0.35">
      <c r="A487" t="s">
        <v>1380</v>
      </c>
      <c r="B487" t="s">
        <v>679</v>
      </c>
      <c r="C487">
        <v>19</v>
      </c>
      <c r="D487" t="s">
        <v>897</v>
      </c>
      <c r="E487" t="str">
        <f>IF(CKadeaTelcoClients_Churn[[#This Row],[Type_Forfait]]="pro monde","B2B","B2C")</f>
        <v>B2C</v>
      </c>
      <c r="F487">
        <v>71</v>
      </c>
      <c r="G487">
        <v>68.2</v>
      </c>
      <c r="H487">
        <v>0</v>
      </c>
      <c r="I487" s="8">
        <f>IF(AND(F487&gt;720,C487&gt;60),70%,
IF(CKadeaTelcoClients_Churn[[#This Row],[Type_Client]]="B2B",10%,
IF(OR(AND(F487&gt;=240,F487&lt;=720),AND(C487&lt;60,D487="Premium 5G 150Go")),45%,0%)))</f>
        <v>0</v>
      </c>
      <c r="J487" s="9">
        <f>CKadeaTelcoClients_Churn[[#This Row],[Remise]]*CKadeaTelcoClients_Churn[[#This Row],[Facture_Mensuelle]]</f>
        <v>0</v>
      </c>
      <c r="K487">
        <v>486</v>
      </c>
    </row>
    <row r="488" spans="1:11" x14ac:dyDescent="0.35">
      <c r="A488" t="s">
        <v>1381</v>
      </c>
      <c r="B488" t="s">
        <v>737</v>
      </c>
      <c r="C488">
        <v>41</v>
      </c>
      <c r="D488" t="s">
        <v>892</v>
      </c>
      <c r="E488" t="str">
        <f>IF(CKadeaTelcoClients_Churn[[#This Row],[Type_Forfait]]="pro monde","B2B","B2C")</f>
        <v>B2C</v>
      </c>
      <c r="F488">
        <v>383</v>
      </c>
      <c r="G488">
        <v>27.53</v>
      </c>
      <c r="H488">
        <v>4</v>
      </c>
      <c r="I488" s="8">
        <f>IF(AND(F488&gt;720,C488&gt;60),70%,
IF(CKadeaTelcoClients_Churn[[#This Row],[Type_Client]]="B2B",10%,
IF(OR(AND(F488&gt;=240,F488&lt;=720),AND(C488&lt;60,D488="Premium 5G 150Go")),45%,0%)))</f>
        <v>0.45</v>
      </c>
      <c r="J488" s="9">
        <f>CKadeaTelcoClients_Churn[[#This Row],[Remise]]*CKadeaTelcoClients_Churn[[#This Row],[Facture_Mensuelle]]</f>
        <v>12.388500000000001</v>
      </c>
      <c r="K488">
        <v>487</v>
      </c>
    </row>
    <row r="489" spans="1:11" x14ac:dyDescent="0.35">
      <c r="A489" t="s">
        <v>1382</v>
      </c>
      <c r="B489" t="s">
        <v>700</v>
      </c>
      <c r="C489">
        <v>19</v>
      </c>
      <c r="D489" t="s">
        <v>892</v>
      </c>
      <c r="E489" t="str">
        <f>IF(CKadeaTelcoClients_Churn[[#This Row],[Type_Forfait]]="pro monde","B2B","B2C")</f>
        <v>B2C</v>
      </c>
      <c r="F489">
        <v>270</v>
      </c>
      <c r="G489">
        <v>19.760000000000002</v>
      </c>
      <c r="H489">
        <v>3</v>
      </c>
      <c r="I489" s="8">
        <f>IF(AND(F489&gt;720,C489&gt;60),70%,
IF(CKadeaTelcoClients_Churn[[#This Row],[Type_Client]]="B2B",10%,
IF(OR(AND(F489&gt;=240,F489&lt;=720),AND(C489&lt;60,D489="Premium 5G 150Go")),45%,0%)))</f>
        <v>0.45</v>
      </c>
      <c r="J489" s="9">
        <f>CKadeaTelcoClients_Churn[[#This Row],[Remise]]*CKadeaTelcoClients_Churn[[#This Row],[Facture_Mensuelle]]</f>
        <v>8.8920000000000012</v>
      </c>
      <c r="K489">
        <v>488</v>
      </c>
    </row>
    <row r="490" spans="1:11" x14ac:dyDescent="0.35">
      <c r="A490" t="s">
        <v>1383</v>
      </c>
      <c r="B490" t="s">
        <v>726</v>
      </c>
      <c r="C490">
        <v>50</v>
      </c>
      <c r="D490" t="s">
        <v>899</v>
      </c>
      <c r="E490" t="str">
        <f>IF(CKadeaTelcoClients_Churn[[#This Row],[Type_Forfait]]="pro monde","B2B","B2C")</f>
        <v>B2C</v>
      </c>
      <c r="F490">
        <v>357</v>
      </c>
      <c r="G490">
        <v>17</v>
      </c>
      <c r="H490">
        <v>3</v>
      </c>
      <c r="I490" s="8">
        <f>IF(AND(F490&gt;720,C490&gt;60),70%,
IF(CKadeaTelcoClients_Churn[[#This Row],[Type_Client]]="B2B",10%,
IF(OR(AND(F490&gt;=240,F490&lt;=720),AND(C490&lt;60,D490="Premium 5G 150Go")),45%,0%)))</f>
        <v>0.45</v>
      </c>
      <c r="J490" s="9">
        <f>CKadeaTelcoClients_Churn[[#This Row],[Remise]]*CKadeaTelcoClients_Churn[[#This Row],[Facture_Mensuelle]]</f>
        <v>7.65</v>
      </c>
      <c r="K490">
        <v>489</v>
      </c>
    </row>
    <row r="491" spans="1:11" x14ac:dyDescent="0.35">
      <c r="A491" t="s">
        <v>1384</v>
      </c>
      <c r="B491" t="s">
        <v>701</v>
      </c>
      <c r="C491">
        <v>58</v>
      </c>
      <c r="D491" t="s">
        <v>892</v>
      </c>
      <c r="E491" t="str">
        <f>IF(CKadeaTelcoClients_Churn[[#This Row],[Type_Forfait]]="pro monde","B2B","B2C")</f>
        <v>B2C</v>
      </c>
      <c r="F491">
        <v>485</v>
      </c>
      <c r="G491">
        <v>64.290000000000006</v>
      </c>
      <c r="H491">
        <v>4</v>
      </c>
      <c r="I491" s="8">
        <f>IF(AND(F491&gt;720,C491&gt;60),70%,
IF(CKadeaTelcoClients_Churn[[#This Row],[Type_Client]]="B2B",10%,
IF(OR(AND(F491&gt;=240,F491&lt;=720),AND(C491&lt;60,D491="Premium 5G 150Go")),45%,0%)))</f>
        <v>0.45</v>
      </c>
      <c r="J491" s="9">
        <f>CKadeaTelcoClients_Churn[[#This Row],[Remise]]*CKadeaTelcoClients_Churn[[#This Row],[Facture_Mensuelle]]</f>
        <v>28.930500000000002</v>
      </c>
      <c r="K491">
        <v>490</v>
      </c>
    </row>
    <row r="492" spans="1:11" x14ac:dyDescent="0.35">
      <c r="A492" t="s">
        <v>1385</v>
      </c>
      <c r="B492" t="s">
        <v>688</v>
      </c>
      <c r="C492">
        <v>93</v>
      </c>
      <c r="D492" t="s">
        <v>894</v>
      </c>
      <c r="E492" t="str">
        <f>IF(CKadeaTelcoClients_Churn[[#This Row],[Type_Forfait]]="pro monde","B2B","B2C")</f>
        <v>B2B</v>
      </c>
      <c r="F492">
        <v>153</v>
      </c>
      <c r="G492">
        <v>86.19</v>
      </c>
      <c r="H492">
        <v>0</v>
      </c>
      <c r="I492" s="8">
        <f>IF(AND(F492&gt;720,C492&gt;60),70%,
IF(CKadeaTelcoClients_Churn[[#This Row],[Type_Client]]="B2B",10%,
IF(OR(AND(F492&gt;=240,F492&lt;=720),AND(C492&lt;60,D492="Premium 5G 150Go")),45%,0%)))</f>
        <v>0.1</v>
      </c>
      <c r="J492" s="9">
        <f>CKadeaTelcoClients_Churn[[#This Row],[Remise]]*CKadeaTelcoClients_Churn[[#This Row],[Facture_Mensuelle]]</f>
        <v>8.6189999999999998</v>
      </c>
      <c r="K492">
        <v>491</v>
      </c>
    </row>
    <row r="493" spans="1:11" x14ac:dyDescent="0.35">
      <c r="A493" t="s">
        <v>1386</v>
      </c>
      <c r="B493" t="s">
        <v>679</v>
      </c>
      <c r="C493">
        <v>102</v>
      </c>
      <c r="D493" t="s">
        <v>899</v>
      </c>
      <c r="E493" t="str">
        <f>IF(CKadeaTelcoClients_Churn[[#This Row],[Type_Forfait]]="pro monde","B2B","B2C")</f>
        <v>B2C</v>
      </c>
      <c r="F493">
        <v>240</v>
      </c>
      <c r="G493">
        <v>12.52</v>
      </c>
      <c r="H493">
        <v>2</v>
      </c>
      <c r="I493" s="8">
        <f>IF(AND(F493&gt;720,C493&gt;60),70%,
IF(CKadeaTelcoClients_Churn[[#This Row],[Type_Client]]="B2B",10%,
IF(OR(AND(F493&gt;=240,F493&lt;=720),AND(C493&lt;60,D493="Premium 5G 150Go")),45%,0%)))</f>
        <v>0.45</v>
      </c>
      <c r="J493" s="9">
        <f>CKadeaTelcoClients_Churn[[#This Row],[Remise]]*CKadeaTelcoClients_Churn[[#This Row],[Facture_Mensuelle]]</f>
        <v>5.6340000000000003</v>
      </c>
      <c r="K493">
        <v>492</v>
      </c>
    </row>
    <row r="494" spans="1:11" x14ac:dyDescent="0.35">
      <c r="A494" t="s">
        <v>1387</v>
      </c>
      <c r="B494" t="s">
        <v>700</v>
      </c>
      <c r="C494">
        <v>101</v>
      </c>
      <c r="D494" t="s">
        <v>894</v>
      </c>
      <c r="E494" t="str">
        <f>IF(CKadeaTelcoClients_Churn[[#This Row],[Type_Forfait]]="pro monde","B2B","B2C")</f>
        <v>B2B</v>
      </c>
      <c r="F494">
        <v>210</v>
      </c>
      <c r="G494">
        <v>35.4</v>
      </c>
      <c r="H494">
        <v>1</v>
      </c>
      <c r="I494" s="8">
        <f>IF(AND(F494&gt;720,C494&gt;60),70%,
IF(CKadeaTelcoClients_Churn[[#This Row],[Type_Client]]="B2B",10%,
IF(OR(AND(F494&gt;=240,F494&lt;=720),AND(C494&lt;60,D494="Premium 5G 150Go")),45%,0%)))</f>
        <v>0.1</v>
      </c>
      <c r="J494" s="9">
        <f>CKadeaTelcoClients_Churn[[#This Row],[Remise]]*CKadeaTelcoClients_Churn[[#This Row],[Facture_Mensuelle]]</f>
        <v>3.54</v>
      </c>
      <c r="K494">
        <v>493</v>
      </c>
    </row>
    <row r="495" spans="1:11" x14ac:dyDescent="0.35">
      <c r="A495" t="s">
        <v>1388</v>
      </c>
      <c r="B495" t="s">
        <v>726</v>
      </c>
      <c r="C495">
        <v>62</v>
      </c>
      <c r="D495" t="s">
        <v>899</v>
      </c>
      <c r="E495" t="str">
        <f>IF(CKadeaTelcoClients_Churn[[#This Row],[Type_Forfait]]="pro monde","B2B","B2C")</f>
        <v>B2C</v>
      </c>
      <c r="F495">
        <v>369</v>
      </c>
      <c r="G495">
        <v>58.74</v>
      </c>
      <c r="H495">
        <v>1</v>
      </c>
      <c r="I495" s="8">
        <f>IF(AND(F495&gt;720,C495&gt;60),70%,
IF(CKadeaTelcoClients_Churn[[#This Row],[Type_Client]]="B2B",10%,
IF(OR(AND(F495&gt;=240,F495&lt;=720),AND(C495&lt;60,D495="Premium 5G 150Go")),45%,0%)))</f>
        <v>0.45</v>
      </c>
      <c r="J495" s="9">
        <f>CKadeaTelcoClients_Churn[[#This Row],[Remise]]*CKadeaTelcoClients_Churn[[#This Row],[Facture_Mensuelle]]</f>
        <v>26.433</v>
      </c>
      <c r="K495">
        <v>494</v>
      </c>
    </row>
    <row r="496" spans="1:11" x14ac:dyDescent="0.35">
      <c r="A496" t="s">
        <v>1389</v>
      </c>
      <c r="B496" t="s">
        <v>725</v>
      </c>
      <c r="C496">
        <v>105</v>
      </c>
      <c r="D496" t="s">
        <v>899</v>
      </c>
      <c r="E496" t="str">
        <f>IF(CKadeaTelcoClients_Churn[[#This Row],[Type_Forfait]]="pro monde","B2B","B2C")</f>
        <v>B2C</v>
      </c>
      <c r="F496">
        <v>172</v>
      </c>
      <c r="G496">
        <v>15.88</v>
      </c>
      <c r="H496">
        <v>5</v>
      </c>
      <c r="I496" s="8">
        <f>IF(AND(F496&gt;720,C496&gt;60),70%,
IF(CKadeaTelcoClients_Churn[[#This Row],[Type_Client]]="B2B",10%,
IF(OR(AND(F496&gt;=240,F496&lt;=720),AND(C496&lt;60,D496="Premium 5G 150Go")),45%,0%)))</f>
        <v>0</v>
      </c>
      <c r="J496" s="9">
        <f>CKadeaTelcoClients_Churn[[#This Row],[Remise]]*CKadeaTelcoClients_Churn[[#This Row],[Facture_Mensuelle]]</f>
        <v>0</v>
      </c>
      <c r="K496">
        <v>495</v>
      </c>
    </row>
    <row r="497" spans="1:11" x14ac:dyDescent="0.35">
      <c r="A497" t="s">
        <v>1390</v>
      </c>
      <c r="B497" t="s">
        <v>701</v>
      </c>
      <c r="C497">
        <v>9</v>
      </c>
      <c r="D497" t="s">
        <v>899</v>
      </c>
      <c r="E497" t="str">
        <f>IF(CKadeaTelcoClients_Churn[[#This Row],[Type_Forfait]]="pro monde","B2B","B2C")</f>
        <v>B2C</v>
      </c>
      <c r="F497">
        <v>227</v>
      </c>
      <c r="G497">
        <v>63.74</v>
      </c>
      <c r="H497">
        <v>3</v>
      </c>
      <c r="I497" s="8">
        <f>IF(AND(F497&gt;720,C497&gt;60),70%,
IF(CKadeaTelcoClients_Churn[[#This Row],[Type_Client]]="B2B",10%,
IF(OR(AND(F497&gt;=240,F497&lt;=720),AND(C497&lt;60,D497="Premium 5G 150Go")),45%,0%)))</f>
        <v>0</v>
      </c>
      <c r="J497" s="9">
        <f>CKadeaTelcoClients_Churn[[#This Row],[Remise]]*CKadeaTelcoClients_Churn[[#This Row],[Facture_Mensuelle]]</f>
        <v>0</v>
      </c>
      <c r="K497">
        <v>496</v>
      </c>
    </row>
    <row r="498" spans="1:11" x14ac:dyDescent="0.35">
      <c r="A498" t="s">
        <v>1391</v>
      </c>
      <c r="B498" t="s">
        <v>716</v>
      </c>
      <c r="C498">
        <v>15</v>
      </c>
      <c r="D498" t="s">
        <v>897</v>
      </c>
      <c r="E498" t="str">
        <f>IF(CKadeaTelcoClients_Churn[[#This Row],[Type_Forfait]]="pro monde","B2B","B2C")</f>
        <v>B2C</v>
      </c>
      <c r="F498">
        <v>400</v>
      </c>
      <c r="G498">
        <v>78.09</v>
      </c>
      <c r="H498">
        <v>0</v>
      </c>
      <c r="I498" s="8">
        <f>IF(AND(F498&gt;720,C498&gt;60),70%,
IF(CKadeaTelcoClients_Churn[[#This Row],[Type_Client]]="B2B",10%,
IF(OR(AND(F498&gt;=240,F498&lt;=720),AND(C498&lt;60,D498="Premium 5G 150Go")),45%,0%)))</f>
        <v>0.45</v>
      </c>
      <c r="J498" s="9">
        <f>CKadeaTelcoClients_Churn[[#This Row],[Remise]]*CKadeaTelcoClients_Churn[[#This Row],[Facture_Mensuelle]]</f>
        <v>35.140500000000003</v>
      </c>
      <c r="K498">
        <v>497</v>
      </c>
    </row>
    <row r="499" spans="1:11" x14ac:dyDescent="0.35">
      <c r="A499" t="s">
        <v>1392</v>
      </c>
      <c r="B499" t="s">
        <v>703</v>
      </c>
      <c r="C499">
        <v>74</v>
      </c>
      <c r="D499" t="s">
        <v>899</v>
      </c>
      <c r="E499" t="str">
        <f>IF(CKadeaTelcoClients_Churn[[#This Row],[Type_Forfait]]="pro monde","B2B","B2C")</f>
        <v>B2C</v>
      </c>
      <c r="F499">
        <v>330</v>
      </c>
      <c r="G499">
        <v>37.82</v>
      </c>
      <c r="H499">
        <v>5</v>
      </c>
      <c r="I499" s="8">
        <f>IF(AND(F499&gt;720,C499&gt;60),70%,
IF(CKadeaTelcoClients_Churn[[#This Row],[Type_Client]]="B2B",10%,
IF(OR(AND(F499&gt;=240,F499&lt;=720),AND(C499&lt;60,D499="Premium 5G 150Go")),45%,0%)))</f>
        <v>0.45</v>
      </c>
      <c r="J499" s="9">
        <f>CKadeaTelcoClients_Churn[[#This Row],[Remise]]*CKadeaTelcoClients_Churn[[#This Row],[Facture_Mensuelle]]</f>
        <v>17.019000000000002</v>
      </c>
      <c r="K499">
        <v>498</v>
      </c>
    </row>
    <row r="500" spans="1:11" x14ac:dyDescent="0.35">
      <c r="A500" t="s">
        <v>1393</v>
      </c>
      <c r="B500" t="s">
        <v>711</v>
      </c>
      <c r="C500">
        <v>55</v>
      </c>
      <c r="D500" t="s">
        <v>897</v>
      </c>
      <c r="E500" t="str">
        <f>IF(CKadeaTelcoClients_Churn[[#This Row],[Type_Forfait]]="pro monde","B2B","B2C")</f>
        <v>B2C</v>
      </c>
      <c r="F500">
        <v>355</v>
      </c>
      <c r="G500">
        <v>59.65</v>
      </c>
      <c r="H500">
        <v>0</v>
      </c>
      <c r="I500" s="8">
        <f>IF(AND(F500&gt;720,C500&gt;60),70%,
IF(CKadeaTelcoClients_Churn[[#This Row],[Type_Client]]="B2B",10%,
IF(OR(AND(F500&gt;=240,F500&lt;=720),AND(C500&lt;60,D500="Premium 5G 150Go")),45%,0%)))</f>
        <v>0.45</v>
      </c>
      <c r="J500" s="9">
        <f>CKadeaTelcoClients_Churn[[#This Row],[Remise]]*CKadeaTelcoClients_Churn[[#This Row],[Facture_Mensuelle]]</f>
        <v>26.842500000000001</v>
      </c>
      <c r="K500">
        <v>499</v>
      </c>
    </row>
    <row r="501" spans="1:11" x14ac:dyDescent="0.35">
      <c r="A501" t="s">
        <v>1394</v>
      </c>
      <c r="B501" t="s">
        <v>685</v>
      </c>
      <c r="C501">
        <v>94</v>
      </c>
      <c r="D501" t="s">
        <v>899</v>
      </c>
      <c r="E501" t="str">
        <f>IF(CKadeaTelcoClients_Churn[[#This Row],[Type_Forfait]]="pro monde","B2B","B2C")</f>
        <v>B2C</v>
      </c>
      <c r="F501">
        <v>6</v>
      </c>
      <c r="G501">
        <v>67.459999999999994</v>
      </c>
      <c r="H501">
        <v>5</v>
      </c>
      <c r="I501" s="8">
        <f>IF(AND(F501&gt;720,C501&gt;60),70%,
IF(CKadeaTelcoClients_Churn[[#This Row],[Type_Client]]="B2B",10%,
IF(OR(AND(F501&gt;=240,F501&lt;=720),AND(C501&lt;60,D501="Premium 5G 150Go")),45%,0%)))</f>
        <v>0</v>
      </c>
      <c r="J501" s="9">
        <f>CKadeaTelcoClients_Churn[[#This Row],[Remise]]*CKadeaTelcoClients_Churn[[#This Row],[Facture_Mensuelle]]</f>
        <v>0</v>
      </c>
      <c r="K501">
        <v>500</v>
      </c>
    </row>
    <row r="502" spans="1:11" x14ac:dyDescent="0.35">
      <c r="A502" t="s">
        <v>1395</v>
      </c>
      <c r="B502" t="s">
        <v>738</v>
      </c>
      <c r="C502">
        <v>120</v>
      </c>
      <c r="D502" t="s">
        <v>897</v>
      </c>
      <c r="E502" t="str">
        <f>IF(CKadeaTelcoClients_Churn[[#This Row],[Type_Forfait]]="pro monde","B2B","B2C")</f>
        <v>B2C</v>
      </c>
      <c r="F502">
        <v>27</v>
      </c>
      <c r="G502">
        <v>24.46</v>
      </c>
      <c r="H502">
        <v>3</v>
      </c>
      <c r="I502" s="8">
        <f>IF(AND(F502&gt;720,C502&gt;60),70%,
IF(CKadeaTelcoClients_Churn[[#This Row],[Type_Client]]="B2B",10%,
IF(OR(AND(F502&gt;=240,F502&lt;=720),AND(C502&lt;60,D502="Premium 5G 150Go")),45%,0%)))</f>
        <v>0</v>
      </c>
      <c r="J502" s="9">
        <f>CKadeaTelcoClients_Churn[[#This Row],[Remise]]*CKadeaTelcoClients_Churn[[#This Row],[Facture_Mensuelle]]</f>
        <v>0</v>
      </c>
      <c r="K502">
        <v>501</v>
      </c>
    </row>
    <row r="503" spans="1:11" x14ac:dyDescent="0.35">
      <c r="A503" t="s">
        <v>1396</v>
      </c>
      <c r="B503" t="s">
        <v>716</v>
      </c>
      <c r="C503">
        <v>38</v>
      </c>
      <c r="D503" t="s">
        <v>897</v>
      </c>
      <c r="E503" t="str">
        <f>IF(CKadeaTelcoClients_Churn[[#This Row],[Type_Forfait]]="pro monde","B2B","B2C")</f>
        <v>B2C</v>
      </c>
      <c r="F503">
        <v>108</v>
      </c>
      <c r="G503">
        <v>72.7</v>
      </c>
      <c r="H503">
        <v>3</v>
      </c>
      <c r="I503" s="8">
        <f>IF(AND(F503&gt;720,C503&gt;60),70%,
IF(CKadeaTelcoClients_Churn[[#This Row],[Type_Client]]="B2B",10%,
IF(OR(AND(F503&gt;=240,F503&lt;=720),AND(C503&lt;60,D503="Premium 5G 150Go")),45%,0%)))</f>
        <v>0</v>
      </c>
      <c r="J503" s="9">
        <f>CKadeaTelcoClients_Churn[[#This Row],[Remise]]*CKadeaTelcoClients_Churn[[#This Row],[Facture_Mensuelle]]</f>
        <v>0</v>
      </c>
      <c r="K503">
        <v>502</v>
      </c>
    </row>
    <row r="504" spans="1:11" x14ac:dyDescent="0.35">
      <c r="A504" t="s">
        <v>1397</v>
      </c>
      <c r="B504" t="s">
        <v>714</v>
      </c>
      <c r="C504">
        <v>21</v>
      </c>
      <c r="D504" t="s">
        <v>899</v>
      </c>
      <c r="E504" t="str">
        <f>IF(CKadeaTelcoClients_Churn[[#This Row],[Type_Forfait]]="pro monde","B2B","B2C")</f>
        <v>B2C</v>
      </c>
      <c r="F504">
        <v>444</v>
      </c>
      <c r="G504">
        <v>41.92</v>
      </c>
      <c r="H504">
        <v>3</v>
      </c>
      <c r="I504" s="8">
        <f>IF(AND(F504&gt;720,C504&gt;60),70%,
IF(CKadeaTelcoClients_Churn[[#This Row],[Type_Client]]="B2B",10%,
IF(OR(AND(F504&gt;=240,F504&lt;=720),AND(C504&lt;60,D504="Premium 5G 150Go")),45%,0%)))</f>
        <v>0.45</v>
      </c>
      <c r="J504" s="9">
        <f>CKadeaTelcoClients_Churn[[#This Row],[Remise]]*CKadeaTelcoClients_Churn[[#This Row],[Facture_Mensuelle]]</f>
        <v>18.864000000000001</v>
      </c>
      <c r="K504">
        <v>503</v>
      </c>
    </row>
    <row r="505" spans="1:11" x14ac:dyDescent="0.35">
      <c r="A505" t="s">
        <v>1398</v>
      </c>
      <c r="B505" t="s">
        <v>682</v>
      </c>
      <c r="C505">
        <v>9</v>
      </c>
      <c r="D505" t="s">
        <v>897</v>
      </c>
      <c r="E505" t="str">
        <f>IF(CKadeaTelcoClients_Churn[[#This Row],[Type_Forfait]]="pro monde","B2B","B2C")</f>
        <v>B2C</v>
      </c>
      <c r="F505">
        <v>11</v>
      </c>
      <c r="G505">
        <v>72.36</v>
      </c>
      <c r="H505">
        <v>2</v>
      </c>
      <c r="I505" s="8">
        <f>IF(AND(F505&gt;720,C505&gt;60),70%,
IF(CKadeaTelcoClients_Churn[[#This Row],[Type_Client]]="B2B",10%,
IF(OR(AND(F505&gt;=240,F505&lt;=720),AND(C505&lt;60,D505="Premium 5G 150Go")),45%,0%)))</f>
        <v>0</v>
      </c>
      <c r="J505" s="9">
        <f>CKadeaTelcoClients_Churn[[#This Row],[Remise]]*CKadeaTelcoClients_Churn[[#This Row],[Facture_Mensuelle]]</f>
        <v>0</v>
      </c>
      <c r="K505">
        <v>504</v>
      </c>
    </row>
    <row r="506" spans="1:11" x14ac:dyDescent="0.35">
      <c r="A506" t="s">
        <v>1399</v>
      </c>
      <c r="B506" t="s">
        <v>703</v>
      </c>
      <c r="C506">
        <v>36</v>
      </c>
      <c r="D506" t="s">
        <v>899</v>
      </c>
      <c r="E506" t="str">
        <f>IF(CKadeaTelcoClients_Churn[[#This Row],[Type_Forfait]]="pro monde","B2B","B2C")</f>
        <v>B2C</v>
      </c>
      <c r="F506">
        <v>487</v>
      </c>
      <c r="G506">
        <v>45.02</v>
      </c>
      <c r="H506">
        <v>2</v>
      </c>
      <c r="I506" s="8">
        <f>IF(AND(F506&gt;720,C506&gt;60),70%,
IF(CKadeaTelcoClients_Churn[[#This Row],[Type_Client]]="B2B",10%,
IF(OR(AND(F506&gt;=240,F506&lt;=720),AND(C506&lt;60,D506="Premium 5G 150Go")),45%,0%)))</f>
        <v>0.45</v>
      </c>
      <c r="J506" s="9">
        <f>CKadeaTelcoClients_Churn[[#This Row],[Remise]]*CKadeaTelcoClients_Churn[[#This Row],[Facture_Mensuelle]]</f>
        <v>20.259</v>
      </c>
      <c r="K506">
        <v>505</v>
      </c>
    </row>
    <row r="507" spans="1:11" x14ac:dyDescent="0.35">
      <c r="A507" t="s">
        <v>1400</v>
      </c>
      <c r="B507" t="s">
        <v>685</v>
      </c>
      <c r="C507">
        <v>74</v>
      </c>
      <c r="D507" t="s">
        <v>897</v>
      </c>
      <c r="E507" t="str">
        <f>IF(CKadeaTelcoClients_Churn[[#This Row],[Type_Forfait]]="pro monde","B2B","B2C")</f>
        <v>B2C</v>
      </c>
      <c r="F507">
        <v>388</v>
      </c>
      <c r="G507">
        <v>10.89</v>
      </c>
      <c r="H507">
        <v>4</v>
      </c>
      <c r="I507" s="8">
        <f>IF(AND(F507&gt;720,C507&gt;60),70%,
IF(CKadeaTelcoClients_Churn[[#This Row],[Type_Client]]="B2B",10%,
IF(OR(AND(F507&gt;=240,F507&lt;=720),AND(C507&lt;60,D507="Premium 5G 150Go")),45%,0%)))</f>
        <v>0.45</v>
      </c>
      <c r="J507" s="9">
        <f>CKadeaTelcoClients_Churn[[#This Row],[Remise]]*CKadeaTelcoClients_Churn[[#This Row],[Facture_Mensuelle]]</f>
        <v>4.9005000000000001</v>
      </c>
      <c r="K507">
        <v>506</v>
      </c>
    </row>
    <row r="508" spans="1:11" x14ac:dyDescent="0.35">
      <c r="A508" t="s">
        <v>1401</v>
      </c>
      <c r="B508" t="s">
        <v>685</v>
      </c>
      <c r="C508">
        <v>47</v>
      </c>
      <c r="D508" t="s">
        <v>892</v>
      </c>
      <c r="E508" t="str">
        <f>IF(CKadeaTelcoClients_Churn[[#This Row],[Type_Forfait]]="pro monde","B2B","B2C")</f>
        <v>B2C</v>
      </c>
      <c r="F508">
        <v>350</v>
      </c>
      <c r="G508">
        <v>80.48</v>
      </c>
      <c r="H508">
        <v>3</v>
      </c>
      <c r="I508" s="8">
        <f>IF(AND(F508&gt;720,C508&gt;60),70%,
IF(CKadeaTelcoClients_Churn[[#This Row],[Type_Client]]="B2B",10%,
IF(OR(AND(F508&gt;=240,F508&lt;=720),AND(C508&lt;60,D508="Premium 5G 150Go")),45%,0%)))</f>
        <v>0.45</v>
      </c>
      <c r="J508" s="9">
        <f>CKadeaTelcoClients_Churn[[#This Row],[Remise]]*CKadeaTelcoClients_Churn[[#This Row],[Facture_Mensuelle]]</f>
        <v>36.216000000000001</v>
      </c>
      <c r="K508">
        <v>507</v>
      </c>
    </row>
    <row r="509" spans="1:11" x14ac:dyDescent="0.35">
      <c r="A509" t="s">
        <v>1402</v>
      </c>
      <c r="B509" t="s">
        <v>719</v>
      </c>
      <c r="C509">
        <v>46</v>
      </c>
      <c r="D509" t="s">
        <v>894</v>
      </c>
      <c r="E509" t="str">
        <f>IF(CKadeaTelcoClients_Churn[[#This Row],[Type_Forfait]]="pro monde","B2B","B2C")</f>
        <v>B2B</v>
      </c>
      <c r="F509">
        <v>216</v>
      </c>
      <c r="G509">
        <v>63.74</v>
      </c>
      <c r="H509">
        <v>4</v>
      </c>
      <c r="I509" s="8">
        <f>IF(AND(F509&gt;720,C509&gt;60),70%,
IF(CKadeaTelcoClients_Churn[[#This Row],[Type_Client]]="B2B",10%,
IF(OR(AND(F509&gt;=240,F509&lt;=720),AND(C509&lt;60,D509="Premium 5G 150Go")),45%,0%)))</f>
        <v>0.1</v>
      </c>
      <c r="J509" s="9">
        <f>CKadeaTelcoClients_Churn[[#This Row],[Remise]]*CKadeaTelcoClients_Churn[[#This Row],[Facture_Mensuelle]]</f>
        <v>6.3740000000000006</v>
      </c>
      <c r="K509">
        <v>508</v>
      </c>
    </row>
    <row r="510" spans="1:11" x14ac:dyDescent="0.35">
      <c r="A510" t="s">
        <v>1403</v>
      </c>
      <c r="B510" t="s">
        <v>701</v>
      </c>
      <c r="C510">
        <v>12</v>
      </c>
      <c r="D510" t="s">
        <v>899</v>
      </c>
      <c r="E510" t="str">
        <f>IF(CKadeaTelcoClients_Churn[[#This Row],[Type_Forfait]]="pro monde","B2B","B2C")</f>
        <v>B2C</v>
      </c>
      <c r="F510">
        <v>138</v>
      </c>
      <c r="G510">
        <v>17</v>
      </c>
      <c r="H510">
        <v>2</v>
      </c>
      <c r="I510" s="8">
        <f>IF(AND(F510&gt;720,C510&gt;60),70%,
IF(CKadeaTelcoClients_Churn[[#This Row],[Type_Client]]="B2B",10%,
IF(OR(AND(F510&gt;=240,F510&lt;=720),AND(C510&lt;60,D510="Premium 5G 150Go")),45%,0%)))</f>
        <v>0</v>
      </c>
      <c r="J510" s="9">
        <f>CKadeaTelcoClients_Churn[[#This Row],[Remise]]*CKadeaTelcoClients_Churn[[#This Row],[Facture_Mensuelle]]</f>
        <v>0</v>
      </c>
      <c r="K510">
        <v>509</v>
      </c>
    </row>
    <row r="511" spans="1:11" x14ac:dyDescent="0.35">
      <c r="A511" t="s">
        <v>1404</v>
      </c>
      <c r="B511" t="s">
        <v>738</v>
      </c>
      <c r="C511">
        <v>10</v>
      </c>
      <c r="D511" t="s">
        <v>894</v>
      </c>
      <c r="E511" t="str">
        <f>IF(CKadeaTelcoClients_Churn[[#This Row],[Type_Forfait]]="pro monde","B2B","B2C")</f>
        <v>B2B</v>
      </c>
      <c r="F511">
        <v>129</v>
      </c>
      <c r="G511">
        <v>70.12</v>
      </c>
      <c r="H511">
        <v>0</v>
      </c>
      <c r="I511" s="8">
        <f>IF(AND(F511&gt;720,C511&gt;60),70%,
IF(CKadeaTelcoClients_Churn[[#This Row],[Type_Client]]="B2B",10%,
IF(OR(AND(F511&gt;=240,F511&lt;=720),AND(C511&lt;60,D511="Premium 5G 150Go")),45%,0%)))</f>
        <v>0.1</v>
      </c>
      <c r="J511" s="9">
        <f>CKadeaTelcoClients_Churn[[#This Row],[Remise]]*CKadeaTelcoClients_Churn[[#This Row],[Facture_Mensuelle]]</f>
        <v>7.0120000000000005</v>
      </c>
      <c r="K511">
        <v>510</v>
      </c>
    </row>
    <row r="512" spans="1:11" x14ac:dyDescent="0.35">
      <c r="A512" t="s">
        <v>1405</v>
      </c>
      <c r="B512" t="s">
        <v>685</v>
      </c>
      <c r="C512">
        <v>23</v>
      </c>
      <c r="D512" t="s">
        <v>897</v>
      </c>
      <c r="E512" t="str">
        <f>IF(CKadeaTelcoClients_Churn[[#This Row],[Type_Forfait]]="pro monde","B2B","B2C")</f>
        <v>B2C</v>
      </c>
      <c r="F512">
        <v>325</v>
      </c>
      <c r="G512">
        <v>65.489999999999995</v>
      </c>
      <c r="H512">
        <v>1</v>
      </c>
      <c r="I512" s="8">
        <f>IF(AND(F512&gt;720,C512&gt;60),70%,
IF(CKadeaTelcoClients_Churn[[#This Row],[Type_Client]]="B2B",10%,
IF(OR(AND(F512&gt;=240,F512&lt;=720),AND(C512&lt;60,D512="Premium 5G 150Go")),45%,0%)))</f>
        <v>0.45</v>
      </c>
      <c r="J512" s="9">
        <f>CKadeaTelcoClients_Churn[[#This Row],[Remise]]*CKadeaTelcoClients_Churn[[#This Row],[Facture_Mensuelle]]</f>
        <v>29.470499999999998</v>
      </c>
      <c r="K512">
        <v>511</v>
      </c>
    </row>
    <row r="513" spans="1:11" x14ac:dyDescent="0.35">
      <c r="A513" t="s">
        <v>1406</v>
      </c>
      <c r="B513" t="s">
        <v>714</v>
      </c>
      <c r="C513">
        <v>91</v>
      </c>
      <c r="D513" t="s">
        <v>899</v>
      </c>
      <c r="E513" t="str">
        <f>IF(CKadeaTelcoClients_Churn[[#This Row],[Type_Forfait]]="pro monde","B2B","B2C")</f>
        <v>B2C</v>
      </c>
      <c r="F513">
        <v>90</v>
      </c>
      <c r="G513">
        <v>39.14</v>
      </c>
      <c r="H513">
        <v>3</v>
      </c>
      <c r="I513" s="8">
        <f>IF(AND(F513&gt;720,C513&gt;60),70%,
IF(CKadeaTelcoClients_Churn[[#This Row],[Type_Client]]="B2B",10%,
IF(OR(AND(F513&gt;=240,F513&lt;=720),AND(C513&lt;60,D513="Premium 5G 150Go")),45%,0%)))</f>
        <v>0</v>
      </c>
      <c r="J513" s="9">
        <f>CKadeaTelcoClients_Churn[[#This Row],[Remise]]*CKadeaTelcoClients_Churn[[#This Row],[Facture_Mensuelle]]</f>
        <v>0</v>
      </c>
      <c r="K513">
        <v>512</v>
      </c>
    </row>
    <row r="514" spans="1:11" x14ac:dyDescent="0.35">
      <c r="A514" t="s">
        <v>1407</v>
      </c>
      <c r="B514" t="s">
        <v>688</v>
      </c>
      <c r="C514">
        <v>99</v>
      </c>
      <c r="D514" t="s">
        <v>894</v>
      </c>
      <c r="E514" t="str">
        <f>IF(CKadeaTelcoClients_Churn[[#This Row],[Type_Forfait]]="pro monde","B2B","B2C")</f>
        <v>B2B</v>
      </c>
      <c r="F514">
        <v>42</v>
      </c>
      <c r="G514">
        <v>98.77</v>
      </c>
      <c r="H514">
        <v>3</v>
      </c>
      <c r="I514" s="8">
        <f>IF(AND(F514&gt;720,C514&gt;60),70%,
IF(CKadeaTelcoClients_Churn[[#This Row],[Type_Client]]="B2B",10%,
IF(OR(AND(F514&gt;=240,F514&lt;=720),AND(C514&lt;60,D514="Premium 5G 150Go")),45%,0%)))</f>
        <v>0.1</v>
      </c>
      <c r="J514" s="9">
        <f>CKadeaTelcoClients_Churn[[#This Row],[Remise]]*CKadeaTelcoClients_Churn[[#This Row],[Facture_Mensuelle]]</f>
        <v>9.8770000000000007</v>
      </c>
      <c r="K514">
        <v>513</v>
      </c>
    </row>
    <row r="515" spans="1:11" x14ac:dyDescent="0.35">
      <c r="A515" t="s">
        <v>1408</v>
      </c>
      <c r="B515" t="s">
        <v>675</v>
      </c>
      <c r="C515">
        <v>59</v>
      </c>
      <c r="D515" t="s">
        <v>894</v>
      </c>
      <c r="E515" t="str">
        <f>IF(CKadeaTelcoClients_Churn[[#This Row],[Type_Forfait]]="pro monde","B2B","B2C")</f>
        <v>B2B</v>
      </c>
      <c r="F515">
        <v>72</v>
      </c>
      <c r="G515">
        <v>94.51</v>
      </c>
      <c r="H515">
        <v>2</v>
      </c>
      <c r="I515" s="8">
        <f>IF(AND(F515&gt;720,C515&gt;60),70%,
IF(CKadeaTelcoClients_Churn[[#This Row],[Type_Client]]="B2B",10%,
IF(OR(AND(F515&gt;=240,F515&lt;=720),AND(C515&lt;60,D515="Premium 5G 150Go")),45%,0%)))</f>
        <v>0.1</v>
      </c>
      <c r="J515" s="9">
        <f>CKadeaTelcoClients_Churn[[#This Row],[Remise]]*CKadeaTelcoClients_Churn[[#This Row],[Facture_Mensuelle]]</f>
        <v>9.4510000000000005</v>
      </c>
      <c r="K515">
        <v>514</v>
      </c>
    </row>
    <row r="516" spans="1:11" x14ac:dyDescent="0.35">
      <c r="A516" t="s">
        <v>1409</v>
      </c>
      <c r="B516" t="s">
        <v>722</v>
      </c>
      <c r="C516">
        <v>34</v>
      </c>
      <c r="D516" t="s">
        <v>897</v>
      </c>
      <c r="E516" t="str">
        <f>IF(CKadeaTelcoClients_Churn[[#This Row],[Type_Forfait]]="pro monde","B2B","B2C")</f>
        <v>B2C</v>
      </c>
      <c r="F516">
        <v>35</v>
      </c>
      <c r="G516">
        <v>76.86</v>
      </c>
      <c r="H516">
        <v>1</v>
      </c>
      <c r="I516" s="8">
        <f>IF(AND(F516&gt;720,C516&gt;60),70%,
IF(CKadeaTelcoClients_Churn[[#This Row],[Type_Client]]="B2B",10%,
IF(OR(AND(F516&gt;=240,F516&lt;=720),AND(C516&lt;60,D516="Premium 5G 150Go")),45%,0%)))</f>
        <v>0</v>
      </c>
      <c r="J516" s="9">
        <f>CKadeaTelcoClients_Churn[[#This Row],[Remise]]*CKadeaTelcoClients_Churn[[#This Row],[Facture_Mensuelle]]</f>
        <v>0</v>
      </c>
      <c r="K516">
        <v>515</v>
      </c>
    </row>
    <row r="517" spans="1:11" x14ac:dyDescent="0.35">
      <c r="A517" t="s">
        <v>1410</v>
      </c>
      <c r="B517" t="s">
        <v>716</v>
      </c>
      <c r="C517">
        <v>61</v>
      </c>
      <c r="D517" t="s">
        <v>892</v>
      </c>
      <c r="E517" t="str">
        <f>IF(CKadeaTelcoClients_Churn[[#This Row],[Type_Forfait]]="pro monde","B2B","B2C")</f>
        <v>B2C</v>
      </c>
      <c r="F517">
        <v>140</v>
      </c>
      <c r="G517">
        <v>76.3</v>
      </c>
      <c r="H517">
        <v>4</v>
      </c>
      <c r="I517" s="8">
        <f>IF(AND(F517&gt;720,C517&gt;60),70%,
IF(CKadeaTelcoClients_Churn[[#This Row],[Type_Client]]="B2B",10%,
IF(OR(AND(F517&gt;=240,F517&lt;=720),AND(C517&lt;60,D517="Premium 5G 150Go")),45%,0%)))</f>
        <v>0</v>
      </c>
      <c r="J517" s="9">
        <f>CKadeaTelcoClients_Churn[[#This Row],[Remise]]*CKadeaTelcoClients_Churn[[#This Row],[Facture_Mensuelle]]</f>
        <v>0</v>
      </c>
      <c r="K517">
        <v>516</v>
      </c>
    </row>
    <row r="518" spans="1:11" x14ac:dyDescent="0.35">
      <c r="A518" t="s">
        <v>1411</v>
      </c>
      <c r="B518" t="s">
        <v>688</v>
      </c>
      <c r="C518">
        <v>33</v>
      </c>
      <c r="D518" t="s">
        <v>894</v>
      </c>
      <c r="E518" t="str">
        <f>IF(CKadeaTelcoClients_Churn[[#This Row],[Type_Forfait]]="pro monde","B2B","B2C")</f>
        <v>B2B</v>
      </c>
      <c r="F518">
        <v>207</v>
      </c>
      <c r="G518">
        <v>38.49</v>
      </c>
      <c r="H518">
        <v>4</v>
      </c>
      <c r="I518" s="8">
        <f>IF(AND(F518&gt;720,C518&gt;60),70%,
IF(CKadeaTelcoClients_Churn[[#This Row],[Type_Client]]="B2B",10%,
IF(OR(AND(F518&gt;=240,F518&lt;=720),AND(C518&lt;60,D518="Premium 5G 150Go")),45%,0%)))</f>
        <v>0.1</v>
      </c>
      <c r="J518" s="9">
        <f>CKadeaTelcoClients_Churn[[#This Row],[Remise]]*CKadeaTelcoClients_Churn[[#This Row],[Facture_Mensuelle]]</f>
        <v>3.8490000000000002</v>
      </c>
      <c r="K518">
        <v>517</v>
      </c>
    </row>
    <row r="519" spans="1:11" x14ac:dyDescent="0.35">
      <c r="A519" t="s">
        <v>1412</v>
      </c>
      <c r="B519" t="s">
        <v>737</v>
      </c>
      <c r="C519">
        <v>98</v>
      </c>
      <c r="D519" t="s">
        <v>894</v>
      </c>
      <c r="E519" t="str">
        <f>IF(CKadeaTelcoClients_Churn[[#This Row],[Type_Forfait]]="pro monde","B2B","B2C")</f>
        <v>B2B</v>
      </c>
      <c r="F519">
        <v>41</v>
      </c>
      <c r="G519">
        <v>23.55</v>
      </c>
      <c r="H519">
        <v>1</v>
      </c>
      <c r="I519" s="8">
        <f>IF(AND(F519&gt;720,C519&gt;60),70%,
IF(CKadeaTelcoClients_Churn[[#This Row],[Type_Client]]="B2B",10%,
IF(OR(AND(F519&gt;=240,F519&lt;=720),AND(C519&lt;60,D519="Premium 5G 150Go")),45%,0%)))</f>
        <v>0.1</v>
      </c>
      <c r="J519" s="9">
        <f>CKadeaTelcoClients_Churn[[#This Row],[Remise]]*CKadeaTelcoClients_Churn[[#This Row],[Facture_Mensuelle]]</f>
        <v>2.355</v>
      </c>
      <c r="K519">
        <v>518</v>
      </c>
    </row>
    <row r="520" spans="1:11" x14ac:dyDescent="0.35">
      <c r="A520" t="s">
        <v>1413</v>
      </c>
      <c r="B520" t="s">
        <v>700</v>
      </c>
      <c r="C520">
        <v>113</v>
      </c>
      <c r="D520" t="s">
        <v>894</v>
      </c>
      <c r="E520" t="str">
        <f>IF(CKadeaTelcoClients_Churn[[#This Row],[Type_Forfait]]="pro monde","B2B","B2C")</f>
        <v>B2B</v>
      </c>
      <c r="F520">
        <v>152</v>
      </c>
      <c r="G520">
        <v>51.28</v>
      </c>
      <c r="H520">
        <v>4</v>
      </c>
      <c r="I520" s="8">
        <f>IF(AND(F520&gt;720,C520&gt;60),70%,
IF(CKadeaTelcoClients_Churn[[#This Row],[Type_Client]]="B2B",10%,
IF(OR(AND(F520&gt;=240,F520&lt;=720),AND(C520&lt;60,D520="Premium 5G 150Go")),45%,0%)))</f>
        <v>0.1</v>
      </c>
      <c r="J520" s="9">
        <f>CKadeaTelcoClients_Churn[[#This Row],[Remise]]*CKadeaTelcoClients_Churn[[#This Row],[Facture_Mensuelle]]</f>
        <v>5.1280000000000001</v>
      </c>
      <c r="K520">
        <v>519</v>
      </c>
    </row>
    <row r="521" spans="1:11" x14ac:dyDescent="0.35">
      <c r="A521" t="s">
        <v>1414</v>
      </c>
      <c r="B521" t="s">
        <v>701</v>
      </c>
      <c r="C521">
        <v>57</v>
      </c>
      <c r="D521" t="s">
        <v>897</v>
      </c>
      <c r="E521" t="str">
        <f>IF(CKadeaTelcoClients_Churn[[#This Row],[Type_Forfait]]="pro monde","B2B","B2C")</f>
        <v>B2C</v>
      </c>
      <c r="F521">
        <v>447</v>
      </c>
      <c r="G521">
        <v>23.27</v>
      </c>
      <c r="H521">
        <v>3</v>
      </c>
      <c r="I521" s="8">
        <f>IF(AND(F521&gt;720,C521&gt;60),70%,
IF(CKadeaTelcoClients_Churn[[#This Row],[Type_Client]]="B2B",10%,
IF(OR(AND(F521&gt;=240,F521&lt;=720),AND(C521&lt;60,D521="Premium 5G 150Go")),45%,0%)))</f>
        <v>0.45</v>
      </c>
      <c r="J521" s="9">
        <f>CKadeaTelcoClients_Churn[[#This Row],[Remise]]*CKadeaTelcoClients_Churn[[#This Row],[Facture_Mensuelle]]</f>
        <v>10.471500000000001</v>
      </c>
      <c r="K521">
        <v>520</v>
      </c>
    </row>
    <row r="522" spans="1:11" x14ac:dyDescent="0.35">
      <c r="A522" t="s">
        <v>1415</v>
      </c>
      <c r="B522" t="s">
        <v>711</v>
      </c>
      <c r="C522">
        <v>84</v>
      </c>
      <c r="D522" t="s">
        <v>897</v>
      </c>
      <c r="E522" t="str">
        <f>IF(CKadeaTelcoClients_Churn[[#This Row],[Type_Forfait]]="pro monde","B2B","B2C")</f>
        <v>B2C</v>
      </c>
      <c r="F522">
        <v>364</v>
      </c>
      <c r="G522">
        <v>87.79</v>
      </c>
      <c r="H522">
        <v>3</v>
      </c>
      <c r="I522" s="8">
        <f>IF(AND(F522&gt;720,C522&gt;60),70%,
IF(CKadeaTelcoClients_Churn[[#This Row],[Type_Client]]="B2B",10%,
IF(OR(AND(F522&gt;=240,F522&lt;=720),AND(C522&lt;60,D522="Premium 5G 150Go")),45%,0%)))</f>
        <v>0.45</v>
      </c>
      <c r="J522" s="9">
        <f>CKadeaTelcoClients_Churn[[#This Row],[Remise]]*CKadeaTelcoClients_Churn[[#This Row],[Facture_Mensuelle]]</f>
        <v>39.505500000000005</v>
      </c>
      <c r="K522">
        <v>521</v>
      </c>
    </row>
    <row r="523" spans="1:11" x14ac:dyDescent="0.35">
      <c r="A523" t="s">
        <v>1416</v>
      </c>
      <c r="B523" t="s">
        <v>725</v>
      </c>
      <c r="C523">
        <v>119</v>
      </c>
      <c r="D523" t="s">
        <v>899</v>
      </c>
      <c r="E523" t="str">
        <f>IF(CKadeaTelcoClients_Churn[[#This Row],[Type_Forfait]]="pro monde","B2B","B2C")</f>
        <v>B2C</v>
      </c>
      <c r="F523">
        <v>231</v>
      </c>
      <c r="G523">
        <v>20.22</v>
      </c>
      <c r="H523">
        <v>2</v>
      </c>
      <c r="I523" s="8">
        <f>IF(AND(F523&gt;720,C523&gt;60),70%,
IF(CKadeaTelcoClients_Churn[[#This Row],[Type_Client]]="B2B",10%,
IF(OR(AND(F523&gt;=240,F523&lt;=720),AND(C523&lt;60,D523="Premium 5G 150Go")),45%,0%)))</f>
        <v>0</v>
      </c>
      <c r="J523" s="9">
        <f>CKadeaTelcoClients_Churn[[#This Row],[Remise]]*CKadeaTelcoClients_Churn[[#This Row],[Facture_Mensuelle]]</f>
        <v>0</v>
      </c>
      <c r="K523">
        <v>522</v>
      </c>
    </row>
    <row r="524" spans="1:11" x14ac:dyDescent="0.35">
      <c r="A524" t="s">
        <v>1417</v>
      </c>
      <c r="B524" t="s">
        <v>682</v>
      </c>
      <c r="C524">
        <v>18</v>
      </c>
      <c r="D524" t="s">
        <v>897</v>
      </c>
      <c r="E524" t="str">
        <f>IF(CKadeaTelcoClients_Churn[[#This Row],[Type_Forfait]]="pro monde","B2B","B2C")</f>
        <v>B2C</v>
      </c>
      <c r="F524">
        <v>446</v>
      </c>
      <c r="G524">
        <v>97.3</v>
      </c>
      <c r="H524">
        <v>5</v>
      </c>
      <c r="I524" s="8">
        <f>IF(AND(F524&gt;720,C524&gt;60),70%,
IF(CKadeaTelcoClients_Churn[[#This Row],[Type_Client]]="B2B",10%,
IF(OR(AND(F524&gt;=240,F524&lt;=720),AND(C524&lt;60,D524="Premium 5G 150Go")),45%,0%)))</f>
        <v>0.45</v>
      </c>
      <c r="J524" s="9">
        <f>CKadeaTelcoClients_Churn[[#This Row],[Remise]]*CKadeaTelcoClients_Churn[[#This Row],[Facture_Mensuelle]]</f>
        <v>43.784999999999997</v>
      </c>
      <c r="K524">
        <v>523</v>
      </c>
    </row>
    <row r="525" spans="1:11" x14ac:dyDescent="0.35">
      <c r="A525" t="s">
        <v>1418</v>
      </c>
      <c r="B525" t="s">
        <v>714</v>
      </c>
      <c r="C525">
        <v>16</v>
      </c>
      <c r="D525" t="s">
        <v>894</v>
      </c>
      <c r="E525" t="str">
        <f>IF(CKadeaTelcoClients_Churn[[#This Row],[Type_Forfait]]="pro monde","B2B","B2C")</f>
        <v>B2B</v>
      </c>
      <c r="F525">
        <v>214</v>
      </c>
      <c r="G525">
        <v>46.57</v>
      </c>
      <c r="H525">
        <v>5</v>
      </c>
      <c r="I525" s="8">
        <f>IF(AND(F525&gt;720,C525&gt;60),70%,
IF(CKadeaTelcoClients_Churn[[#This Row],[Type_Client]]="B2B",10%,
IF(OR(AND(F525&gt;=240,F525&lt;=720),AND(C525&lt;60,D525="Premium 5G 150Go")),45%,0%)))</f>
        <v>0.1</v>
      </c>
      <c r="J525" s="9">
        <f>CKadeaTelcoClients_Churn[[#This Row],[Remise]]*CKadeaTelcoClients_Churn[[#This Row],[Facture_Mensuelle]]</f>
        <v>4.657</v>
      </c>
      <c r="K525">
        <v>524</v>
      </c>
    </row>
    <row r="526" spans="1:11" x14ac:dyDescent="0.35">
      <c r="A526" t="s">
        <v>1419</v>
      </c>
      <c r="B526" t="s">
        <v>693</v>
      </c>
      <c r="C526">
        <v>73</v>
      </c>
      <c r="D526" t="s">
        <v>894</v>
      </c>
      <c r="E526" t="str">
        <f>IF(CKadeaTelcoClients_Churn[[#This Row],[Type_Forfait]]="pro monde","B2B","B2C")</f>
        <v>B2B</v>
      </c>
      <c r="F526">
        <v>268</v>
      </c>
      <c r="G526">
        <v>56.86</v>
      </c>
      <c r="H526">
        <v>5</v>
      </c>
      <c r="I526" s="8">
        <f>IF(AND(F526&gt;720,C526&gt;60),70%,
IF(CKadeaTelcoClients_Churn[[#This Row],[Type_Client]]="B2B",10%,
IF(OR(AND(F526&gt;=240,F526&lt;=720),AND(C526&lt;60,D526="Premium 5G 150Go")),45%,0%)))</f>
        <v>0.1</v>
      </c>
      <c r="J526" s="9">
        <f>CKadeaTelcoClients_Churn[[#This Row],[Remise]]*CKadeaTelcoClients_Churn[[#This Row],[Facture_Mensuelle]]</f>
        <v>5.6859999999999999</v>
      </c>
      <c r="K526">
        <v>525</v>
      </c>
    </row>
    <row r="527" spans="1:11" x14ac:dyDescent="0.35">
      <c r="A527" t="s">
        <v>1420</v>
      </c>
      <c r="B527" t="s">
        <v>696</v>
      </c>
      <c r="C527">
        <v>63</v>
      </c>
      <c r="D527" t="s">
        <v>899</v>
      </c>
      <c r="E527" t="str">
        <f>IF(CKadeaTelcoClients_Churn[[#This Row],[Type_Forfait]]="pro monde","B2B","B2C")</f>
        <v>B2C</v>
      </c>
      <c r="F527">
        <v>109</v>
      </c>
      <c r="G527">
        <v>10.33</v>
      </c>
      <c r="H527">
        <v>3</v>
      </c>
      <c r="I527" s="8">
        <f>IF(AND(F527&gt;720,C527&gt;60),70%,
IF(CKadeaTelcoClients_Churn[[#This Row],[Type_Client]]="B2B",10%,
IF(OR(AND(F527&gt;=240,F527&lt;=720),AND(C527&lt;60,D527="Premium 5G 150Go")),45%,0%)))</f>
        <v>0</v>
      </c>
      <c r="J527" s="9">
        <f>CKadeaTelcoClients_Churn[[#This Row],[Remise]]*CKadeaTelcoClients_Churn[[#This Row],[Facture_Mensuelle]]</f>
        <v>0</v>
      </c>
      <c r="K527">
        <v>526</v>
      </c>
    </row>
    <row r="528" spans="1:11" x14ac:dyDescent="0.35">
      <c r="A528" t="s">
        <v>1421</v>
      </c>
      <c r="B528" t="s">
        <v>706</v>
      </c>
      <c r="C528">
        <v>6</v>
      </c>
      <c r="D528" t="s">
        <v>894</v>
      </c>
      <c r="E528" t="str">
        <f>IF(CKadeaTelcoClients_Churn[[#This Row],[Type_Forfait]]="pro monde","B2B","B2C")</f>
        <v>B2B</v>
      </c>
      <c r="F528">
        <v>342</v>
      </c>
      <c r="G528">
        <v>50.55</v>
      </c>
      <c r="H528">
        <v>5</v>
      </c>
      <c r="I528" s="8">
        <f>IF(AND(F528&gt;720,C528&gt;60),70%,
IF(CKadeaTelcoClients_Churn[[#This Row],[Type_Client]]="B2B",10%,
IF(OR(AND(F528&gt;=240,F528&lt;=720),AND(C528&lt;60,D528="Premium 5G 150Go")),45%,0%)))</f>
        <v>0.1</v>
      </c>
      <c r="J528" s="9">
        <f>CKadeaTelcoClients_Churn[[#This Row],[Remise]]*CKadeaTelcoClients_Churn[[#This Row],[Facture_Mensuelle]]</f>
        <v>5.0549999999999997</v>
      </c>
      <c r="K528">
        <v>527</v>
      </c>
    </row>
    <row r="529" spans="1:11" x14ac:dyDescent="0.35">
      <c r="A529" t="s">
        <v>1422</v>
      </c>
      <c r="B529" t="s">
        <v>694</v>
      </c>
      <c r="C529">
        <v>47</v>
      </c>
      <c r="D529" t="s">
        <v>892</v>
      </c>
      <c r="E529" t="str">
        <f>IF(CKadeaTelcoClients_Churn[[#This Row],[Type_Forfait]]="pro monde","B2B","B2C")</f>
        <v>B2C</v>
      </c>
      <c r="F529">
        <v>457</v>
      </c>
      <c r="G529">
        <v>84.93</v>
      </c>
      <c r="H529">
        <v>2</v>
      </c>
      <c r="I529" s="8">
        <f>IF(AND(F529&gt;720,C529&gt;60),70%,
IF(CKadeaTelcoClients_Churn[[#This Row],[Type_Client]]="B2B",10%,
IF(OR(AND(F529&gt;=240,F529&lt;=720),AND(C529&lt;60,D529="Premium 5G 150Go")),45%,0%)))</f>
        <v>0.45</v>
      </c>
      <c r="J529" s="9">
        <f>CKadeaTelcoClients_Churn[[#This Row],[Remise]]*CKadeaTelcoClients_Churn[[#This Row],[Facture_Mensuelle]]</f>
        <v>38.218500000000006</v>
      </c>
      <c r="K529">
        <v>528</v>
      </c>
    </row>
    <row r="530" spans="1:11" x14ac:dyDescent="0.35">
      <c r="A530" t="s">
        <v>1423</v>
      </c>
      <c r="B530" t="s">
        <v>701</v>
      </c>
      <c r="C530">
        <v>110</v>
      </c>
      <c r="D530" t="s">
        <v>897</v>
      </c>
      <c r="E530" t="str">
        <f>IF(CKadeaTelcoClients_Churn[[#This Row],[Type_Forfait]]="pro monde","B2B","B2C")</f>
        <v>B2C</v>
      </c>
      <c r="F530">
        <v>132</v>
      </c>
      <c r="G530">
        <v>21.31</v>
      </c>
      <c r="H530">
        <v>5</v>
      </c>
      <c r="I530" s="8">
        <f>IF(AND(F530&gt;720,C530&gt;60),70%,
IF(CKadeaTelcoClients_Churn[[#This Row],[Type_Client]]="B2B",10%,
IF(OR(AND(F530&gt;=240,F530&lt;=720),AND(C530&lt;60,D530="Premium 5G 150Go")),45%,0%)))</f>
        <v>0</v>
      </c>
      <c r="J530" s="9">
        <f>CKadeaTelcoClients_Churn[[#This Row],[Remise]]*CKadeaTelcoClients_Churn[[#This Row],[Facture_Mensuelle]]</f>
        <v>0</v>
      </c>
      <c r="K530">
        <v>529</v>
      </c>
    </row>
    <row r="531" spans="1:11" x14ac:dyDescent="0.35">
      <c r="A531" t="s">
        <v>1424</v>
      </c>
      <c r="B531" t="s">
        <v>701</v>
      </c>
      <c r="C531">
        <v>37</v>
      </c>
      <c r="D531" t="s">
        <v>892</v>
      </c>
      <c r="E531" t="str">
        <f>IF(CKadeaTelcoClients_Churn[[#This Row],[Type_Forfait]]="pro monde","B2B","B2C")</f>
        <v>B2C</v>
      </c>
      <c r="F531">
        <v>94</v>
      </c>
      <c r="G531">
        <v>50.44</v>
      </c>
      <c r="H531">
        <v>4</v>
      </c>
      <c r="I531" s="8">
        <f>IF(AND(F531&gt;720,C531&gt;60),70%,
IF(CKadeaTelcoClients_Churn[[#This Row],[Type_Client]]="B2B",10%,
IF(OR(AND(F531&gt;=240,F531&lt;=720),AND(C531&lt;60,D531="Premium 5G 150Go")),45%,0%)))</f>
        <v>0.45</v>
      </c>
      <c r="J531" s="9">
        <f>CKadeaTelcoClients_Churn[[#This Row],[Remise]]*CKadeaTelcoClients_Churn[[#This Row],[Facture_Mensuelle]]</f>
        <v>22.698</v>
      </c>
      <c r="K531">
        <v>530</v>
      </c>
    </row>
    <row r="532" spans="1:11" x14ac:dyDescent="0.35">
      <c r="A532" t="s">
        <v>1425</v>
      </c>
      <c r="B532" t="s">
        <v>726</v>
      </c>
      <c r="C532">
        <v>52</v>
      </c>
      <c r="D532" t="s">
        <v>892</v>
      </c>
      <c r="E532" t="str">
        <f>IF(CKadeaTelcoClients_Churn[[#This Row],[Type_Forfait]]="pro monde","B2B","B2C")</f>
        <v>B2C</v>
      </c>
      <c r="F532">
        <v>425</v>
      </c>
      <c r="G532">
        <v>97.25</v>
      </c>
      <c r="H532">
        <v>0</v>
      </c>
      <c r="I532" s="8">
        <f>IF(AND(F532&gt;720,C532&gt;60),70%,
IF(CKadeaTelcoClients_Churn[[#This Row],[Type_Client]]="B2B",10%,
IF(OR(AND(F532&gt;=240,F532&lt;=720),AND(C532&lt;60,D532="Premium 5G 150Go")),45%,0%)))</f>
        <v>0.45</v>
      </c>
      <c r="J532" s="9">
        <f>CKadeaTelcoClients_Churn[[#This Row],[Remise]]*CKadeaTelcoClients_Churn[[#This Row],[Facture_Mensuelle]]</f>
        <v>43.762500000000003</v>
      </c>
      <c r="K532">
        <v>531</v>
      </c>
    </row>
    <row r="533" spans="1:11" x14ac:dyDescent="0.35">
      <c r="A533" t="s">
        <v>1426</v>
      </c>
      <c r="B533" t="s">
        <v>716</v>
      </c>
      <c r="C533">
        <v>53</v>
      </c>
      <c r="D533" t="s">
        <v>894</v>
      </c>
      <c r="E533" t="str">
        <f>IF(CKadeaTelcoClients_Churn[[#This Row],[Type_Forfait]]="pro monde","B2B","B2C")</f>
        <v>B2B</v>
      </c>
      <c r="F533">
        <v>27</v>
      </c>
      <c r="G533">
        <v>18.77</v>
      </c>
      <c r="H533">
        <v>0</v>
      </c>
      <c r="I533" s="8">
        <f>IF(AND(F533&gt;720,C533&gt;60),70%,
IF(CKadeaTelcoClients_Churn[[#This Row],[Type_Client]]="B2B",10%,
IF(OR(AND(F533&gt;=240,F533&lt;=720),AND(C533&lt;60,D533="Premium 5G 150Go")),45%,0%)))</f>
        <v>0.1</v>
      </c>
      <c r="J533" s="9">
        <f>CKadeaTelcoClients_Churn[[#This Row],[Remise]]*CKadeaTelcoClients_Churn[[#This Row],[Facture_Mensuelle]]</f>
        <v>1.877</v>
      </c>
      <c r="K533">
        <v>532</v>
      </c>
    </row>
    <row r="534" spans="1:11" x14ac:dyDescent="0.35">
      <c r="A534" t="s">
        <v>1427</v>
      </c>
      <c r="B534" t="s">
        <v>699</v>
      </c>
      <c r="C534">
        <v>110</v>
      </c>
      <c r="D534" t="s">
        <v>899</v>
      </c>
      <c r="E534" t="str">
        <f>IF(CKadeaTelcoClients_Churn[[#This Row],[Type_Forfait]]="pro monde","B2B","B2C")</f>
        <v>B2C</v>
      </c>
      <c r="F534">
        <v>47</v>
      </c>
      <c r="G534">
        <v>29.68</v>
      </c>
      <c r="H534">
        <v>0</v>
      </c>
      <c r="I534" s="8">
        <f>IF(AND(F534&gt;720,C534&gt;60),70%,
IF(CKadeaTelcoClients_Churn[[#This Row],[Type_Client]]="B2B",10%,
IF(OR(AND(F534&gt;=240,F534&lt;=720),AND(C534&lt;60,D534="Premium 5G 150Go")),45%,0%)))</f>
        <v>0</v>
      </c>
      <c r="J534" s="9">
        <f>CKadeaTelcoClients_Churn[[#This Row],[Remise]]*CKadeaTelcoClients_Churn[[#This Row],[Facture_Mensuelle]]</f>
        <v>0</v>
      </c>
      <c r="K534">
        <v>533</v>
      </c>
    </row>
    <row r="535" spans="1:11" x14ac:dyDescent="0.35">
      <c r="A535" t="s">
        <v>1428</v>
      </c>
      <c r="B535" t="s">
        <v>738</v>
      </c>
      <c r="C535">
        <v>80</v>
      </c>
      <c r="D535" t="s">
        <v>894</v>
      </c>
      <c r="E535" t="str">
        <f>IF(CKadeaTelcoClients_Churn[[#This Row],[Type_Forfait]]="pro monde","B2B","B2C")</f>
        <v>B2B</v>
      </c>
      <c r="F535">
        <v>458</v>
      </c>
      <c r="G535">
        <v>98.11</v>
      </c>
      <c r="H535">
        <v>0</v>
      </c>
      <c r="I535" s="8">
        <f>IF(AND(F535&gt;720,C535&gt;60),70%,
IF(CKadeaTelcoClients_Churn[[#This Row],[Type_Client]]="B2B",10%,
IF(OR(AND(F535&gt;=240,F535&lt;=720),AND(C535&lt;60,D535="Premium 5G 150Go")),45%,0%)))</f>
        <v>0.1</v>
      </c>
      <c r="J535" s="9">
        <f>CKadeaTelcoClients_Churn[[#This Row],[Remise]]*CKadeaTelcoClients_Churn[[#This Row],[Facture_Mensuelle]]</f>
        <v>9.8109999999999999</v>
      </c>
      <c r="K535">
        <v>534</v>
      </c>
    </row>
    <row r="536" spans="1:11" x14ac:dyDescent="0.35">
      <c r="A536" t="s">
        <v>1429</v>
      </c>
      <c r="B536" t="s">
        <v>707</v>
      </c>
      <c r="C536">
        <v>118</v>
      </c>
      <c r="D536" t="s">
        <v>897</v>
      </c>
      <c r="E536" t="str">
        <f>IF(CKadeaTelcoClients_Churn[[#This Row],[Type_Forfait]]="pro monde","B2B","B2C")</f>
        <v>B2C</v>
      </c>
      <c r="F536">
        <v>461</v>
      </c>
      <c r="G536">
        <v>47.82</v>
      </c>
      <c r="H536">
        <v>5</v>
      </c>
      <c r="I536" s="8">
        <f>IF(AND(F536&gt;720,C536&gt;60),70%,
IF(CKadeaTelcoClients_Churn[[#This Row],[Type_Client]]="B2B",10%,
IF(OR(AND(F536&gt;=240,F536&lt;=720),AND(C536&lt;60,D536="Premium 5G 150Go")),45%,0%)))</f>
        <v>0.45</v>
      </c>
      <c r="J536" s="9">
        <f>CKadeaTelcoClients_Churn[[#This Row],[Remise]]*CKadeaTelcoClients_Churn[[#This Row],[Facture_Mensuelle]]</f>
        <v>21.519000000000002</v>
      </c>
      <c r="K536">
        <v>535</v>
      </c>
    </row>
    <row r="537" spans="1:11" x14ac:dyDescent="0.35">
      <c r="A537" t="s">
        <v>1430</v>
      </c>
      <c r="B537" t="s">
        <v>679</v>
      </c>
      <c r="C537">
        <v>88</v>
      </c>
      <c r="D537" t="s">
        <v>892</v>
      </c>
      <c r="E537" t="str">
        <f>IF(CKadeaTelcoClients_Churn[[#This Row],[Type_Forfait]]="pro monde","B2B","B2C")</f>
        <v>B2C</v>
      </c>
      <c r="F537">
        <v>219</v>
      </c>
      <c r="G537">
        <v>59.15</v>
      </c>
      <c r="H537">
        <v>0</v>
      </c>
      <c r="I537" s="8">
        <f>IF(AND(F537&gt;720,C537&gt;60),70%,
IF(CKadeaTelcoClients_Churn[[#This Row],[Type_Client]]="B2B",10%,
IF(OR(AND(F537&gt;=240,F537&lt;=720),AND(C537&lt;60,D537="Premium 5G 150Go")),45%,0%)))</f>
        <v>0</v>
      </c>
      <c r="J537" s="9">
        <f>CKadeaTelcoClients_Churn[[#This Row],[Remise]]*CKadeaTelcoClients_Churn[[#This Row],[Facture_Mensuelle]]</f>
        <v>0</v>
      </c>
      <c r="K537">
        <v>536</v>
      </c>
    </row>
    <row r="538" spans="1:11" x14ac:dyDescent="0.35">
      <c r="A538" t="s">
        <v>1431</v>
      </c>
      <c r="B538" t="s">
        <v>722</v>
      </c>
      <c r="C538">
        <v>17</v>
      </c>
      <c r="D538" t="s">
        <v>894</v>
      </c>
      <c r="E538" t="str">
        <f>IF(CKadeaTelcoClients_Churn[[#This Row],[Type_Forfait]]="pro monde","B2B","B2C")</f>
        <v>B2B</v>
      </c>
      <c r="F538">
        <v>175</v>
      </c>
      <c r="G538">
        <v>24.95</v>
      </c>
      <c r="H538">
        <v>4</v>
      </c>
      <c r="I538" s="8">
        <f>IF(AND(F538&gt;720,C538&gt;60),70%,
IF(CKadeaTelcoClients_Churn[[#This Row],[Type_Client]]="B2B",10%,
IF(OR(AND(F538&gt;=240,F538&lt;=720),AND(C538&lt;60,D538="Premium 5G 150Go")),45%,0%)))</f>
        <v>0.1</v>
      </c>
      <c r="J538" s="9">
        <f>CKadeaTelcoClients_Churn[[#This Row],[Remise]]*CKadeaTelcoClients_Churn[[#This Row],[Facture_Mensuelle]]</f>
        <v>2.4950000000000001</v>
      </c>
      <c r="K538">
        <v>537</v>
      </c>
    </row>
    <row r="539" spans="1:11" x14ac:dyDescent="0.35">
      <c r="A539" t="s">
        <v>1432</v>
      </c>
      <c r="B539" t="s">
        <v>690</v>
      </c>
      <c r="C539">
        <v>57</v>
      </c>
      <c r="D539" t="s">
        <v>897</v>
      </c>
      <c r="E539" t="str">
        <f>IF(CKadeaTelcoClients_Churn[[#This Row],[Type_Forfait]]="pro monde","B2B","B2C")</f>
        <v>B2C</v>
      </c>
      <c r="F539">
        <v>493</v>
      </c>
      <c r="G539">
        <v>43.98</v>
      </c>
      <c r="H539">
        <v>3</v>
      </c>
      <c r="I539" s="8">
        <f>IF(AND(F539&gt;720,C539&gt;60),70%,
IF(CKadeaTelcoClients_Churn[[#This Row],[Type_Client]]="B2B",10%,
IF(OR(AND(F539&gt;=240,F539&lt;=720),AND(C539&lt;60,D539="Premium 5G 150Go")),45%,0%)))</f>
        <v>0.45</v>
      </c>
      <c r="J539" s="9">
        <f>CKadeaTelcoClients_Churn[[#This Row],[Remise]]*CKadeaTelcoClients_Churn[[#This Row],[Facture_Mensuelle]]</f>
        <v>19.791</v>
      </c>
      <c r="K539">
        <v>538</v>
      </c>
    </row>
    <row r="540" spans="1:11" x14ac:dyDescent="0.35">
      <c r="A540" t="s">
        <v>1433</v>
      </c>
      <c r="B540" t="s">
        <v>716</v>
      </c>
      <c r="C540">
        <v>47</v>
      </c>
      <c r="D540" t="s">
        <v>899</v>
      </c>
      <c r="E540" t="str">
        <f>IF(CKadeaTelcoClients_Churn[[#This Row],[Type_Forfait]]="pro monde","B2B","B2C")</f>
        <v>B2C</v>
      </c>
      <c r="F540">
        <v>385</v>
      </c>
      <c r="G540">
        <v>41.33</v>
      </c>
      <c r="H540">
        <v>0</v>
      </c>
      <c r="I540" s="8">
        <f>IF(AND(F540&gt;720,C540&gt;60),70%,
IF(CKadeaTelcoClients_Churn[[#This Row],[Type_Client]]="B2B",10%,
IF(OR(AND(F540&gt;=240,F540&lt;=720),AND(C540&lt;60,D540="Premium 5G 150Go")),45%,0%)))</f>
        <v>0.45</v>
      </c>
      <c r="J540" s="9">
        <f>CKadeaTelcoClients_Churn[[#This Row],[Remise]]*CKadeaTelcoClients_Churn[[#This Row],[Facture_Mensuelle]]</f>
        <v>18.598500000000001</v>
      </c>
      <c r="K540">
        <v>539</v>
      </c>
    </row>
    <row r="541" spans="1:11" x14ac:dyDescent="0.35">
      <c r="A541" t="s">
        <v>1434</v>
      </c>
      <c r="B541" t="s">
        <v>714</v>
      </c>
      <c r="C541">
        <v>66</v>
      </c>
      <c r="D541" t="s">
        <v>894</v>
      </c>
      <c r="E541" t="str">
        <f>IF(CKadeaTelcoClients_Churn[[#This Row],[Type_Forfait]]="pro monde","B2B","B2C")</f>
        <v>B2B</v>
      </c>
      <c r="F541">
        <v>152</v>
      </c>
      <c r="G541">
        <v>95.71</v>
      </c>
      <c r="H541">
        <v>3</v>
      </c>
      <c r="I541" s="8">
        <f>IF(AND(F541&gt;720,C541&gt;60),70%,
IF(CKadeaTelcoClients_Churn[[#This Row],[Type_Client]]="B2B",10%,
IF(OR(AND(F541&gt;=240,F541&lt;=720),AND(C541&lt;60,D541="Premium 5G 150Go")),45%,0%)))</f>
        <v>0.1</v>
      </c>
      <c r="J541" s="9">
        <f>CKadeaTelcoClients_Churn[[#This Row],[Remise]]*CKadeaTelcoClients_Churn[[#This Row],[Facture_Mensuelle]]</f>
        <v>9.5709999999999997</v>
      </c>
      <c r="K541">
        <v>540</v>
      </c>
    </row>
    <row r="542" spans="1:11" x14ac:dyDescent="0.35">
      <c r="A542" t="s">
        <v>1435</v>
      </c>
      <c r="B542" t="s">
        <v>737</v>
      </c>
      <c r="C542">
        <v>109</v>
      </c>
      <c r="D542" t="s">
        <v>899</v>
      </c>
      <c r="E542" t="str">
        <f>IF(CKadeaTelcoClients_Churn[[#This Row],[Type_Forfait]]="pro monde","B2B","B2C")</f>
        <v>B2C</v>
      </c>
      <c r="F542">
        <v>84</v>
      </c>
      <c r="G542">
        <v>97.46</v>
      </c>
      <c r="H542">
        <v>5</v>
      </c>
      <c r="I542" s="8">
        <f>IF(AND(F542&gt;720,C542&gt;60),70%,
IF(CKadeaTelcoClients_Churn[[#This Row],[Type_Client]]="B2B",10%,
IF(OR(AND(F542&gt;=240,F542&lt;=720),AND(C542&lt;60,D542="Premium 5G 150Go")),45%,0%)))</f>
        <v>0</v>
      </c>
      <c r="J542" s="9">
        <f>CKadeaTelcoClients_Churn[[#This Row],[Remise]]*CKadeaTelcoClients_Churn[[#This Row],[Facture_Mensuelle]]</f>
        <v>0</v>
      </c>
      <c r="K542">
        <v>541</v>
      </c>
    </row>
    <row r="543" spans="1:11" x14ac:dyDescent="0.35">
      <c r="A543" t="s">
        <v>1436</v>
      </c>
      <c r="B543" t="s">
        <v>704</v>
      </c>
      <c r="C543">
        <v>80</v>
      </c>
      <c r="D543" t="s">
        <v>899</v>
      </c>
      <c r="E543" t="str">
        <f>IF(CKadeaTelcoClients_Churn[[#This Row],[Type_Forfait]]="pro monde","B2B","B2C")</f>
        <v>B2C</v>
      </c>
      <c r="F543">
        <v>101</v>
      </c>
      <c r="G543">
        <v>61.92</v>
      </c>
      <c r="H543">
        <v>4</v>
      </c>
      <c r="I543" s="8">
        <f>IF(AND(F543&gt;720,C543&gt;60),70%,
IF(CKadeaTelcoClients_Churn[[#This Row],[Type_Client]]="B2B",10%,
IF(OR(AND(F543&gt;=240,F543&lt;=720),AND(C543&lt;60,D543="Premium 5G 150Go")),45%,0%)))</f>
        <v>0</v>
      </c>
      <c r="J543" s="9">
        <f>CKadeaTelcoClients_Churn[[#This Row],[Remise]]*CKadeaTelcoClients_Churn[[#This Row],[Facture_Mensuelle]]</f>
        <v>0</v>
      </c>
      <c r="K543">
        <v>542</v>
      </c>
    </row>
    <row r="544" spans="1:11" x14ac:dyDescent="0.35">
      <c r="A544" t="s">
        <v>1437</v>
      </c>
      <c r="B544" t="s">
        <v>722</v>
      </c>
      <c r="C544">
        <v>41</v>
      </c>
      <c r="D544" t="s">
        <v>892</v>
      </c>
      <c r="E544" t="str">
        <f>IF(CKadeaTelcoClients_Churn[[#This Row],[Type_Forfait]]="pro monde","B2B","B2C")</f>
        <v>B2C</v>
      </c>
      <c r="F544">
        <v>178</v>
      </c>
      <c r="G544">
        <v>11.29</v>
      </c>
      <c r="H544">
        <v>4</v>
      </c>
      <c r="I544" s="8">
        <f>IF(AND(F544&gt;720,C544&gt;60),70%,
IF(CKadeaTelcoClients_Churn[[#This Row],[Type_Client]]="B2B",10%,
IF(OR(AND(F544&gt;=240,F544&lt;=720),AND(C544&lt;60,D544="Premium 5G 150Go")),45%,0%)))</f>
        <v>0.45</v>
      </c>
      <c r="J544" s="9">
        <f>CKadeaTelcoClients_Churn[[#This Row],[Remise]]*CKadeaTelcoClients_Churn[[#This Row],[Facture_Mensuelle]]</f>
        <v>5.0804999999999998</v>
      </c>
      <c r="K544">
        <v>543</v>
      </c>
    </row>
    <row r="545" spans="1:11" x14ac:dyDescent="0.35">
      <c r="A545" t="s">
        <v>1438</v>
      </c>
      <c r="B545" t="s">
        <v>722</v>
      </c>
      <c r="C545">
        <v>48</v>
      </c>
      <c r="D545" t="s">
        <v>897</v>
      </c>
      <c r="E545" t="str">
        <f>IF(CKadeaTelcoClients_Churn[[#This Row],[Type_Forfait]]="pro monde","B2B","B2C")</f>
        <v>B2C</v>
      </c>
      <c r="F545">
        <v>482</v>
      </c>
      <c r="G545">
        <v>83.24</v>
      </c>
      <c r="H545">
        <v>0</v>
      </c>
      <c r="I545" s="8">
        <f>IF(AND(F545&gt;720,C545&gt;60),70%,
IF(CKadeaTelcoClients_Churn[[#This Row],[Type_Client]]="B2B",10%,
IF(OR(AND(F545&gt;=240,F545&lt;=720),AND(C545&lt;60,D545="Premium 5G 150Go")),45%,0%)))</f>
        <v>0.45</v>
      </c>
      <c r="J545" s="9">
        <f>CKadeaTelcoClients_Churn[[#This Row],[Remise]]*CKadeaTelcoClients_Churn[[#This Row],[Facture_Mensuelle]]</f>
        <v>37.457999999999998</v>
      </c>
      <c r="K545">
        <v>544</v>
      </c>
    </row>
    <row r="546" spans="1:11" x14ac:dyDescent="0.35">
      <c r="A546" t="s">
        <v>1439</v>
      </c>
      <c r="B546" t="s">
        <v>726</v>
      </c>
      <c r="C546">
        <v>11</v>
      </c>
      <c r="D546" t="s">
        <v>894</v>
      </c>
      <c r="E546" t="str">
        <f>IF(CKadeaTelcoClients_Churn[[#This Row],[Type_Forfait]]="pro monde","B2B","B2C")</f>
        <v>B2B</v>
      </c>
      <c r="F546">
        <v>214</v>
      </c>
      <c r="G546">
        <v>11.46</v>
      </c>
      <c r="H546">
        <v>5</v>
      </c>
      <c r="I546" s="8">
        <f>IF(AND(F546&gt;720,C546&gt;60),70%,
IF(CKadeaTelcoClients_Churn[[#This Row],[Type_Client]]="B2B",10%,
IF(OR(AND(F546&gt;=240,F546&lt;=720),AND(C546&lt;60,D546="Premium 5G 150Go")),45%,0%)))</f>
        <v>0.1</v>
      </c>
      <c r="J546" s="9">
        <f>CKadeaTelcoClients_Churn[[#This Row],[Remise]]*CKadeaTelcoClients_Churn[[#This Row],[Facture_Mensuelle]]</f>
        <v>1.1460000000000001</v>
      </c>
      <c r="K546">
        <v>545</v>
      </c>
    </row>
    <row r="547" spans="1:11" x14ac:dyDescent="0.35">
      <c r="A547" t="s">
        <v>1440</v>
      </c>
      <c r="B547" t="s">
        <v>707</v>
      </c>
      <c r="C547">
        <v>88</v>
      </c>
      <c r="D547" t="s">
        <v>897</v>
      </c>
      <c r="E547" t="str">
        <f>IF(CKadeaTelcoClients_Churn[[#This Row],[Type_Forfait]]="pro monde","B2B","B2C")</f>
        <v>B2C</v>
      </c>
      <c r="F547">
        <v>246</v>
      </c>
      <c r="G547">
        <v>90.7</v>
      </c>
      <c r="H547">
        <v>3</v>
      </c>
      <c r="I547" s="8">
        <f>IF(AND(F547&gt;720,C547&gt;60),70%,
IF(CKadeaTelcoClients_Churn[[#This Row],[Type_Client]]="B2B",10%,
IF(OR(AND(F547&gt;=240,F547&lt;=720),AND(C547&lt;60,D547="Premium 5G 150Go")),45%,0%)))</f>
        <v>0.45</v>
      </c>
      <c r="J547" s="9">
        <f>CKadeaTelcoClients_Churn[[#This Row],[Remise]]*CKadeaTelcoClients_Churn[[#This Row],[Facture_Mensuelle]]</f>
        <v>40.815000000000005</v>
      </c>
      <c r="K547">
        <v>546</v>
      </c>
    </row>
    <row r="548" spans="1:11" x14ac:dyDescent="0.35">
      <c r="A548" t="s">
        <v>1441</v>
      </c>
      <c r="B548" t="s">
        <v>679</v>
      </c>
      <c r="C548">
        <v>53</v>
      </c>
      <c r="D548" t="s">
        <v>892</v>
      </c>
      <c r="E548" t="str">
        <f>IF(CKadeaTelcoClients_Churn[[#This Row],[Type_Forfait]]="pro monde","B2B","B2C")</f>
        <v>B2C</v>
      </c>
      <c r="F548">
        <v>243</v>
      </c>
      <c r="G548">
        <v>55.19</v>
      </c>
      <c r="H548">
        <v>4</v>
      </c>
      <c r="I548" s="8">
        <f>IF(AND(F548&gt;720,C548&gt;60),70%,
IF(CKadeaTelcoClients_Churn[[#This Row],[Type_Client]]="B2B",10%,
IF(OR(AND(F548&gt;=240,F548&lt;=720),AND(C548&lt;60,D548="Premium 5G 150Go")),45%,0%)))</f>
        <v>0.45</v>
      </c>
      <c r="J548" s="9">
        <f>CKadeaTelcoClients_Churn[[#This Row],[Remise]]*CKadeaTelcoClients_Churn[[#This Row],[Facture_Mensuelle]]</f>
        <v>24.8355</v>
      </c>
      <c r="K548">
        <v>547</v>
      </c>
    </row>
    <row r="549" spans="1:11" x14ac:dyDescent="0.35">
      <c r="A549" t="s">
        <v>1442</v>
      </c>
      <c r="B549" t="s">
        <v>675</v>
      </c>
      <c r="C549">
        <v>65</v>
      </c>
      <c r="D549" t="s">
        <v>894</v>
      </c>
      <c r="E549" t="str">
        <f>IF(CKadeaTelcoClients_Churn[[#This Row],[Type_Forfait]]="pro monde","B2B","B2C")</f>
        <v>B2B</v>
      </c>
      <c r="F549">
        <v>274</v>
      </c>
      <c r="G549">
        <v>88.1</v>
      </c>
      <c r="H549">
        <v>4</v>
      </c>
      <c r="I549" s="8">
        <f>IF(AND(F549&gt;720,C549&gt;60),70%,
IF(CKadeaTelcoClients_Churn[[#This Row],[Type_Client]]="B2B",10%,
IF(OR(AND(F549&gt;=240,F549&lt;=720),AND(C549&lt;60,D549="Premium 5G 150Go")),45%,0%)))</f>
        <v>0.1</v>
      </c>
      <c r="J549" s="9">
        <f>CKadeaTelcoClients_Churn[[#This Row],[Remise]]*CKadeaTelcoClients_Churn[[#This Row],[Facture_Mensuelle]]</f>
        <v>8.81</v>
      </c>
      <c r="K549">
        <v>548</v>
      </c>
    </row>
    <row r="550" spans="1:11" x14ac:dyDescent="0.35">
      <c r="A550" t="s">
        <v>1443</v>
      </c>
      <c r="B550" t="s">
        <v>688</v>
      </c>
      <c r="C550">
        <v>58</v>
      </c>
      <c r="D550" t="s">
        <v>894</v>
      </c>
      <c r="E550" t="str">
        <f>IF(CKadeaTelcoClients_Churn[[#This Row],[Type_Forfait]]="pro monde","B2B","B2C")</f>
        <v>B2B</v>
      </c>
      <c r="F550">
        <v>352</v>
      </c>
      <c r="G550">
        <v>72.94</v>
      </c>
      <c r="H550">
        <v>0</v>
      </c>
      <c r="I550" s="8">
        <f>IF(AND(F550&gt;720,C550&gt;60),70%,
IF(CKadeaTelcoClients_Churn[[#This Row],[Type_Client]]="B2B",10%,
IF(OR(AND(F550&gt;=240,F550&lt;=720),AND(C550&lt;60,D550="Premium 5G 150Go")),45%,0%)))</f>
        <v>0.1</v>
      </c>
      <c r="J550" s="9">
        <f>CKadeaTelcoClients_Churn[[#This Row],[Remise]]*CKadeaTelcoClients_Churn[[#This Row],[Facture_Mensuelle]]</f>
        <v>7.2940000000000005</v>
      </c>
      <c r="K550">
        <v>549</v>
      </c>
    </row>
    <row r="551" spans="1:11" x14ac:dyDescent="0.35">
      <c r="A551" t="s">
        <v>1444</v>
      </c>
      <c r="B551" t="s">
        <v>703</v>
      </c>
      <c r="C551">
        <v>34</v>
      </c>
      <c r="D551" t="s">
        <v>899</v>
      </c>
      <c r="E551" t="str">
        <f>IF(CKadeaTelcoClients_Churn[[#This Row],[Type_Forfait]]="pro monde","B2B","B2C")</f>
        <v>B2C</v>
      </c>
      <c r="F551">
        <v>401</v>
      </c>
      <c r="G551">
        <v>68.400000000000006</v>
      </c>
      <c r="H551">
        <v>5</v>
      </c>
      <c r="I551" s="8">
        <f>IF(AND(F551&gt;720,C551&gt;60),70%,
IF(CKadeaTelcoClients_Churn[[#This Row],[Type_Client]]="B2B",10%,
IF(OR(AND(F551&gt;=240,F551&lt;=720),AND(C551&lt;60,D551="Premium 5G 150Go")),45%,0%)))</f>
        <v>0.45</v>
      </c>
      <c r="J551" s="9">
        <f>CKadeaTelcoClients_Churn[[#This Row],[Remise]]*CKadeaTelcoClients_Churn[[#This Row],[Facture_Mensuelle]]</f>
        <v>30.780000000000005</v>
      </c>
      <c r="K551">
        <v>550</v>
      </c>
    </row>
    <row r="552" spans="1:11" x14ac:dyDescent="0.35">
      <c r="A552" t="s">
        <v>1445</v>
      </c>
      <c r="B552" t="s">
        <v>706</v>
      </c>
      <c r="C552">
        <v>51</v>
      </c>
      <c r="D552" t="s">
        <v>899</v>
      </c>
      <c r="E552" t="str">
        <f>IF(CKadeaTelcoClients_Churn[[#This Row],[Type_Forfait]]="pro monde","B2B","B2C")</f>
        <v>B2C</v>
      </c>
      <c r="F552">
        <v>152</v>
      </c>
      <c r="G552">
        <v>34.630000000000003</v>
      </c>
      <c r="H552">
        <v>2</v>
      </c>
      <c r="I552" s="8">
        <f>IF(AND(F552&gt;720,C552&gt;60),70%,
IF(CKadeaTelcoClients_Churn[[#This Row],[Type_Client]]="B2B",10%,
IF(OR(AND(F552&gt;=240,F552&lt;=720),AND(C552&lt;60,D552="Premium 5G 150Go")),45%,0%)))</f>
        <v>0</v>
      </c>
      <c r="J552" s="9">
        <f>CKadeaTelcoClients_Churn[[#This Row],[Remise]]*CKadeaTelcoClients_Churn[[#This Row],[Facture_Mensuelle]]</f>
        <v>0</v>
      </c>
      <c r="K552">
        <v>551</v>
      </c>
    </row>
    <row r="553" spans="1:11" x14ac:dyDescent="0.35">
      <c r="A553" t="s">
        <v>1446</v>
      </c>
      <c r="B553" t="s">
        <v>714</v>
      </c>
      <c r="C553">
        <v>25</v>
      </c>
      <c r="D553" t="s">
        <v>897</v>
      </c>
      <c r="E553" t="str">
        <f>IF(CKadeaTelcoClients_Churn[[#This Row],[Type_Forfait]]="pro monde","B2B","B2C")</f>
        <v>B2C</v>
      </c>
      <c r="F553">
        <v>5</v>
      </c>
      <c r="G553">
        <v>27.93</v>
      </c>
      <c r="H553">
        <v>0</v>
      </c>
      <c r="I553" s="8">
        <f>IF(AND(F553&gt;720,C553&gt;60),70%,
IF(CKadeaTelcoClients_Churn[[#This Row],[Type_Client]]="B2B",10%,
IF(OR(AND(F553&gt;=240,F553&lt;=720),AND(C553&lt;60,D553="Premium 5G 150Go")),45%,0%)))</f>
        <v>0</v>
      </c>
      <c r="J553" s="9">
        <f>CKadeaTelcoClients_Churn[[#This Row],[Remise]]*CKadeaTelcoClients_Churn[[#This Row],[Facture_Mensuelle]]</f>
        <v>0</v>
      </c>
      <c r="K553">
        <v>552</v>
      </c>
    </row>
    <row r="554" spans="1:11" x14ac:dyDescent="0.35">
      <c r="A554" t="s">
        <v>1447</v>
      </c>
      <c r="B554" t="s">
        <v>675</v>
      </c>
      <c r="C554">
        <v>79</v>
      </c>
      <c r="D554" t="s">
        <v>897</v>
      </c>
      <c r="E554" t="str">
        <f>IF(CKadeaTelcoClients_Churn[[#This Row],[Type_Forfait]]="pro monde","B2B","B2C")</f>
        <v>B2C</v>
      </c>
      <c r="F554">
        <v>462</v>
      </c>
      <c r="G554">
        <v>18.28</v>
      </c>
      <c r="H554">
        <v>0</v>
      </c>
      <c r="I554" s="8">
        <f>IF(AND(F554&gt;720,C554&gt;60),70%,
IF(CKadeaTelcoClients_Churn[[#This Row],[Type_Client]]="B2B",10%,
IF(OR(AND(F554&gt;=240,F554&lt;=720),AND(C554&lt;60,D554="Premium 5G 150Go")),45%,0%)))</f>
        <v>0.45</v>
      </c>
      <c r="J554" s="9">
        <f>CKadeaTelcoClients_Churn[[#This Row],[Remise]]*CKadeaTelcoClients_Churn[[#This Row],[Facture_Mensuelle]]</f>
        <v>8.2260000000000009</v>
      </c>
      <c r="K554">
        <v>553</v>
      </c>
    </row>
    <row r="555" spans="1:11" x14ac:dyDescent="0.35">
      <c r="A555" t="s">
        <v>1448</v>
      </c>
      <c r="B555" t="s">
        <v>704</v>
      </c>
      <c r="C555">
        <v>83</v>
      </c>
      <c r="D555" t="s">
        <v>894</v>
      </c>
      <c r="E555" t="str">
        <f>IF(CKadeaTelcoClients_Churn[[#This Row],[Type_Forfait]]="pro monde","B2B","B2C")</f>
        <v>B2B</v>
      </c>
      <c r="F555">
        <v>91</v>
      </c>
      <c r="G555">
        <v>73.73</v>
      </c>
      <c r="H555">
        <v>2</v>
      </c>
      <c r="I555" s="8">
        <f>IF(AND(F555&gt;720,C555&gt;60),70%,
IF(CKadeaTelcoClients_Churn[[#This Row],[Type_Client]]="B2B",10%,
IF(OR(AND(F555&gt;=240,F555&lt;=720),AND(C555&lt;60,D555="Premium 5G 150Go")),45%,0%)))</f>
        <v>0.1</v>
      </c>
      <c r="J555" s="9">
        <f>CKadeaTelcoClients_Churn[[#This Row],[Remise]]*CKadeaTelcoClients_Churn[[#This Row],[Facture_Mensuelle]]</f>
        <v>7.3730000000000011</v>
      </c>
      <c r="K555">
        <v>554</v>
      </c>
    </row>
    <row r="556" spans="1:11" x14ac:dyDescent="0.35">
      <c r="A556" t="s">
        <v>1449</v>
      </c>
      <c r="B556" t="s">
        <v>696</v>
      </c>
      <c r="C556">
        <v>51</v>
      </c>
      <c r="D556" t="s">
        <v>897</v>
      </c>
      <c r="E556" t="str">
        <f>IF(CKadeaTelcoClients_Churn[[#This Row],[Type_Forfait]]="pro monde","B2B","B2C")</f>
        <v>B2C</v>
      </c>
      <c r="F556">
        <v>337</v>
      </c>
      <c r="G556">
        <v>68.67</v>
      </c>
      <c r="H556">
        <v>5</v>
      </c>
      <c r="I556" s="8">
        <f>IF(AND(F556&gt;720,C556&gt;60),70%,
IF(CKadeaTelcoClients_Churn[[#This Row],[Type_Client]]="B2B",10%,
IF(OR(AND(F556&gt;=240,F556&lt;=720),AND(C556&lt;60,D556="Premium 5G 150Go")),45%,0%)))</f>
        <v>0.45</v>
      </c>
      <c r="J556" s="9">
        <f>CKadeaTelcoClients_Churn[[#This Row],[Remise]]*CKadeaTelcoClients_Churn[[#This Row],[Facture_Mensuelle]]</f>
        <v>30.901500000000002</v>
      </c>
      <c r="K556">
        <v>555</v>
      </c>
    </row>
    <row r="557" spans="1:11" x14ac:dyDescent="0.35">
      <c r="A557" t="s">
        <v>1450</v>
      </c>
      <c r="B557" t="s">
        <v>679</v>
      </c>
      <c r="C557">
        <v>107</v>
      </c>
      <c r="D557" t="s">
        <v>899</v>
      </c>
      <c r="E557" t="str">
        <f>IF(CKadeaTelcoClients_Churn[[#This Row],[Type_Forfait]]="pro monde","B2B","B2C")</f>
        <v>B2C</v>
      </c>
      <c r="F557">
        <v>290</v>
      </c>
      <c r="G557">
        <v>52.03</v>
      </c>
      <c r="H557">
        <v>0</v>
      </c>
      <c r="I557" s="8">
        <f>IF(AND(F557&gt;720,C557&gt;60),70%,
IF(CKadeaTelcoClients_Churn[[#This Row],[Type_Client]]="B2B",10%,
IF(OR(AND(F557&gt;=240,F557&lt;=720),AND(C557&lt;60,D557="Premium 5G 150Go")),45%,0%)))</f>
        <v>0.45</v>
      </c>
      <c r="J557" s="9">
        <f>CKadeaTelcoClients_Churn[[#This Row],[Remise]]*CKadeaTelcoClients_Churn[[#This Row],[Facture_Mensuelle]]</f>
        <v>23.413500000000003</v>
      </c>
      <c r="K557">
        <v>556</v>
      </c>
    </row>
    <row r="558" spans="1:11" x14ac:dyDescent="0.35">
      <c r="A558" t="s">
        <v>1451</v>
      </c>
      <c r="B558" t="s">
        <v>694</v>
      </c>
      <c r="C558">
        <v>7</v>
      </c>
      <c r="D558" t="s">
        <v>894</v>
      </c>
      <c r="E558" t="str">
        <f>IF(CKadeaTelcoClients_Churn[[#This Row],[Type_Forfait]]="pro monde","B2B","B2C")</f>
        <v>B2B</v>
      </c>
      <c r="F558">
        <v>323</v>
      </c>
      <c r="G558">
        <v>82.81</v>
      </c>
      <c r="H558">
        <v>5</v>
      </c>
      <c r="I558" s="8">
        <f>IF(AND(F558&gt;720,C558&gt;60),70%,
IF(CKadeaTelcoClients_Churn[[#This Row],[Type_Client]]="B2B",10%,
IF(OR(AND(F558&gt;=240,F558&lt;=720),AND(C558&lt;60,D558="Premium 5G 150Go")),45%,0%)))</f>
        <v>0.1</v>
      </c>
      <c r="J558" s="9">
        <f>CKadeaTelcoClients_Churn[[#This Row],[Remise]]*CKadeaTelcoClients_Churn[[#This Row],[Facture_Mensuelle]]</f>
        <v>8.2810000000000006</v>
      </c>
      <c r="K558">
        <v>557</v>
      </c>
    </row>
    <row r="559" spans="1:11" x14ac:dyDescent="0.35">
      <c r="A559" t="s">
        <v>1452</v>
      </c>
      <c r="B559" t="s">
        <v>707</v>
      </c>
      <c r="C559">
        <v>103</v>
      </c>
      <c r="D559" t="s">
        <v>892</v>
      </c>
      <c r="E559" t="str">
        <f>IF(CKadeaTelcoClients_Churn[[#This Row],[Type_Forfait]]="pro monde","B2B","B2C")</f>
        <v>B2C</v>
      </c>
      <c r="F559">
        <v>310</v>
      </c>
      <c r="G559">
        <v>49.25</v>
      </c>
      <c r="H559">
        <v>2</v>
      </c>
      <c r="I559" s="8">
        <f>IF(AND(F559&gt;720,C559&gt;60),70%,
IF(CKadeaTelcoClients_Churn[[#This Row],[Type_Client]]="B2B",10%,
IF(OR(AND(F559&gt;=240,F559&lt;=720),AND(C559&lt;60,D559="Premium 5G 150Go")),45%,0%)))</f>
        <v>0.45</v>
      </c>
      <c r="J559" s="9">
        <f>CKadeaTelcoClients_Churn[[#This Row],[Remise]]*CKadeaTelcoClients_Churn[[#This Row],[Facture_Mensuelle]]</f>
        <v>22.162500000000001</v>
      </c>
      <c r="K559">
        <v>558</v>
      </c>
    </row>
    <row r="560" spans="1:11" x14ac:dyDescent="0.35">
      <c r="A560" t="s">
        <v>1453</v>
      </c>
      <c r="B560" t="s">
        <v>679</v>
      </c>
      <c r="C560">
        <v>120</v>
      </c>
      <c r="D560" t="s">
        <v>899</v>
      </c>
      <c r="E560" t="str">
        <f>IF(CKadeaTelcoClients_Churn[[#This Row],[Type_Forfait]]="pro monde","B2B","B2C")</f>
        <v>B2C</v>
      </c>
      <c r="F560">
        <v>437</v>
      </c>
      <c r="G560">
        <v>95.17</v>
      </c>
      <c r="H560">
        <v>1</v>
      </c>
      <c r="I560" s="8">
        <f>IF(AND(F560&gt;720,C560&gt;60),70%,
IF(CKadeaTelcoClients_Churn[[#This Row],[Type_Client]]="B2B",10%,
IF(OR(AND(F560&gt;=240,F560&lt;=720),AND(C560&lt;60,D560="Premium 5G 150Go")),45%,0%)))</f>
        <v>0.45</v>
      </c>
      <c r="J560" s="9">
        <f>CKadeaTelcoClients_Churn[[#This Row],[Remise]]*CKadeaTelcoClients_Churn[[#This Row],[Facture_Mensuelle]]</f>
        <v>42.826500000000003</v>
      </c>
      <c r="K560">
        <v>559</v>
      </c>
    </row>
    <row r="561" spans="1:11" x14ac:dyDescent="0.35">
      <c r="A561" t="s">
        <v>1454</v>
      </c>
      <c r="B561" t="s">
        <v>700</v>
      </c>
      <c r="C561">
        <v>74</v>
      </c>
      <c r="D561" t="s">
        <v>899</v>
      </c>
      <c r="E561" t="str">
        <f>IF(CKadeaTelcoClients_Churn[[#This Row],[Type_Forfait]]="pro monde","B2B","B2C")</f>
        <v>B2C</v>
      </c>
      <c r="F561">
        <v>16</v>
      </c>
      <c r="G561">
        <v>93.01</v>
      </c>
      <c r="H561">
        <v>3</v>
      </c>
      <c r="I561" s="8">
        <f>IF(AND(F561&gt;720,C561&gt;60),70%,
IF(CKadeaTelcoClients_Churn[[#This Row],[Type_Client]]="B2B",10%,
IF(OR(AND(F561&gt;=240,F561&lt;=720),AND(C561&lt;60,D561="Premium 5G 150Go")),45%,0%)))</f>
        <v>0</v>
      </c>
      <c r="J561" s="9">
        <f>CKadeaTelcoClients_Churn[[#This Row],[Remise]]*CKadeaTelcoClients_Churn[[#This Row],[Facture_Mensuelle]]</f>
        <v>0</v>
      </c>
      <c r="K561">
        <v>560</v>
      </c>
    </row>
    <row r="562" spans="1:11" x14ac:dyDescent="0.35">
      <c r="A562" t="s">
        <v>1455</v>
      </c>
      <c r="B562" t="s">
        <v>722</v>
      </c>
      <c r="C562">
        <v>55</v>
      </c>
      <c r="D562" t="s">
        <v>899</v>
      </c>
      <c r="E562" t="str">
        <f>IF(CKadeaTelcoClients_Churn[[#This Row],[Type_Forfait]]="pro monde","B2B","B2C")</f>
        <v>B2C</v>
      </c>
      <c r="F562">
        <v>60</v>
      </c>
      <c r="G562">
        <v>32.51</v>
      </c>
      <c r="H562">
        <v>4</v>
      </c>
      <c r="I562" s="8">
        <f>IF(AND(F562&gt;720,C562&gt;60),70%,
IF(CKadeaTelcoClients_Churn[[#This Row],[Type_Client]]="B2B",10%,
IF(OR(AND(F562&gt;=240,F562&lt;=720),AND(C562&lt;60,D562="Premium 5G 150Go")),45%,0%)))</f>
        <v>0</v>
      </c>
      <c r="J562" s="9">
        <f>CKadeaTelcoClients_Churn[[#This Row],[Remise]]*CKadeaTelcoClients_Churn[[#This Row],[Facture_Mensuelle]]</f>
        <v>0</v>
      </c>
      <c r="K562">
        <v>561</v>
      </c>
    </row>
    <row r="563" spans="1:11" x14ac:dyDescent="0.35">
      <c r="A563" t="s">
        <v>1456</v>
      </c>
      <c r="B563" t="s">
        <v>675</v>
      </c>
      <c r="C563">
        <v>17</v>
      </c>
      <c r="D563" t="s">
        <v>892</v>
      </c>
      <c r="E563" t="str">
        <f>IF(CKadeaTelcoClients_Churn[[#This Row],[Type_Forfait]]="pro monde","B2B","B2C")</f>
        <v>B2C</v>
      </c>
      <c r="F563">
        <v>499</v>
      </c>
      <c r="G563">
        <v>27.81</v>
      </c>
      <c r="H563">
        <v>2</v>
      </c>
      <c r="I563" s="8">
        <f>IF(AND(F563&gt;720,C563&gt;60),70%,
IF(CKadeaTelcoClients_Churn[[#This Row],[Type_Client]]="B2B",10%,
IF(OR(AND(F563&gt;=240,F563&lt;=720),AND(C563&lt;60,D563="Premium 5G 150Go")),45%,0%)))</f>
        <v>0.45</v>
      </c>
      <c r="J563" s="9">
        <f>CKadeaTelcoClients_Churn[[#This Row],[Remise]]*CKadeaTelcoClients_Churn[[#This Row],[Facture_Mensuelle]]</f>
        <v>12.5145</v>
      </c>
      <c r="K563">
        <v>562</v>
      </c>
    </row>
    <row r="564" spans="1:11" x14ac:dyDescent="0.35">
      <c r="A564" t="s">
        <v>1457</v>
      </c>
      <c r="B564" t="s">
        <v>711</v>
      </c>
      <c r="C564">
        <v>82</v>
      </c>
      <c r="D564" t="s">
        <v>899</v>
      </c>
      <c r="E564" t="str">
        <f>IF(CKadeaTelcoClients_Churn[[#This Row],[Type_Forfait]]="pro monde","B2B","B2C")</f>
        <v>B2C</v>
      </c>
      <c r="F564">
        <v>175</v>
      </c>
      <c r="G564">
        <v>86.14</v>
      </c>
      <c r="H564">
        <v>1</v>
      </c>
      <c r="I564" s="8">
        <f>IF(AND(F564&gt;720,C564&gt;60),70%,
IF(CKadeaTelcoClients_Churn[[#This Row],[Type_Client]]="B2B",10%,
IF(OR(AND(F564&gt;=240,F564&lt;=720),AND(C564&lt;60,D564="Premium 5G 150Go")),45%,0%)))</f>
        <v>0</v>
      </c>
      <c r="J564" s="9">
        <f>CKadeaTelcoClients_Churn[[#This Row],[Remise]]*CKadeaTelcoClients_Churn[[#This Row],[Facture_Mensuelle]]</f>
        <v>0</v>
      </c>
      <c r="K564">
        <v>563</v>
      </c>
    </row>
    <row r="565" spans="1:11" x14ac:dyDescent="0.35">
      <c r="A565" t="s">
        <v>1458</v>
      </c>
      <c r="B565" t="s">
        <v>738</v>
      </c>
      <c r="C565">
        <v>50</v>
      </c>
      <c r="D565" t="s">
        <v>899</v>
      </c>
      <c r="E565" t="str">
        <f>IF(CKadeaTelcoClients_Churn[[#This Row],[Type_Forfait]]="pro monde","B2B","B2C")</f>
        <v>B2C</v>
      </c>
      <c r="F565">
        <v>177</v>
      </c>
      <c r="G565">
        <v>74.569999999999993</v>
      </c>
      <c r="H565">
        <v>4</v>
      </c>
      <c r="I565" s="8">
        <f>IF(AND(F565&gt;720,C565&gt;60),70%,
IF(CKadeaTelcoClients_Churn[[#This Row],[Type_Client]]="B2B",10%,
IF(OR(AND(F565&gt;=240,F565&lt;=720),AND(C565&lt;60,D565="Premium 5G 150Go")),45%,0%)))</f>
        <v>0</v>
      </c>
      <c r="J565" s="9">
        <f>CKadeaTelcoClients_Churn[[#This Row],[Remise]]*CKadeaTelcoClients_Churn[[#This Row],[Facture_Mensuelle]]</f>
        <v>0</v>
      </c>
      <c r="K565">
        <v>564</v>
      </c>
    </row>
    <row r="566" spans="1:11" x14ac:dyDescent="0.35">
      <c r="A566" t="s">
        <v>1459</v>
      </c>
      <c r="B566" t="s">
        <v>682</v>
      </c>
      <c r="C566">
        <v>94</v>
      </c>
      <c r="D566" t="s">
        <v>894</v>
      </c>
      <c r="E566" t="str">
        <f>IF(CKadeaTelcoClients_Churn[[#This Row],[Type_Forfait]]="pro monde","B2B","B2C")</f>
        <v>B2B</v>
      </c>
      <c r="F566">
        <v>247</v>
      </c>
      <c r="G566">
        <v>96.57</v>
      </c>
      <c r="H566">
        <v>0</v>
      </c>
      <c r="I566" s="8">
        <f>IF(AND(F566&gt;720,C566&gt;60),70%,
IF(CKadeaTelcoClients_Churn[[#This Row],[Type_Client]]="B2B",10%,
IF(OR(AND(F566&gt;=240,F566&lt;=720),AND(C566&lt;60,D566="Premium 5G 150Go")),45%,0%)))</f>
        <v>0.1</v>
      </c>
      <c r="J566" s="9">
        <f>CKadeaTelcoClients_Churn[[#This Row],[Remise]]*CKadeaTelcoClients_Churn[[#This Row],[Facture_Mensuelle]]</f>
        <v>9.657</v>
      </c>
      <c r="K566">
        <v>565</v>
      </c>
    </row>
    <row r="567" spans="1:11" x14ac:dyDescent="0.35">
      <c r="A567" t="s">
        <v>1460</v>
      </c>
      <c r="B567" t="s">
        <v>722</v>
      </c>
      <c r="C567">
        <v>23</v>
      </c>
      <c r="D567" t="s">
        <v>892</v>
      </c>
      <c r="E567" t="str">
        <f>IF(CKadeaTelcoClients_Churn[[#This Row],[Type_Forfait]]="pro monde","B2B","B2C")</f>
        <v>B2C</v>
      </c>
      <c r="F567">
        <v>314</v>
      </c>
      <c r="G567">
        <v>19.260000000000002</v>
      </c>
      <c r="H567">
        <v>3</v>
      </c>
      <c r="I567" s="8">
        <f>IF(AND(F567&gt;720,C567&gt;60),70%,
IF(CKadeaTelcoClients_Churn[[#This Row],[Type_Client]]="B2B",10%,
IF(OR(AND(F567&gt;=240,F567&lt;=720),AND(C567&lt;60,D567="Premium 5G 150Go")),45%,0%)))</f>
        <v>0.45</v>
      </c>
      <c r="J567" s="9">
        <f>CKadeaTelcoClients_Churn[[#This Row],[Remise]]*CKadeaTelcoClients_Churn[[#This Row],[Facture_Mensuelle]]</f>
        <v>8.6670000000000016</v>
      </c>
      <c r="K567">
        <v>566</v>
      </c>
    </row>
    <row r="568" spans="1:11" x14ac:dyDescent="0.35">
      <c r="A568" t="s">
        <v>1461</v>
      </c>
      <c r="B568" t="s">
        <v>719</v>
      </c>
      <c r="C568">
        <v>52</v>
      </c>
      <c r="D568" t="s">
        <v>897</v>
      </c>
      <c r="E568" t="str">
        <f>IF(CKadeaTelcoClients_Churn[[#This Row],[Type_Forfait]]="pro monde","B2B","B2C")</f>
        <v>B2C</v>
      </c>
      <c r="F568">
        <v>307</v>
      </c>
      <c r="G568">
        <v>81.38</v>
      </c>
      <c r="H568">
        <v>2</v>
      </c>
      <c r="I568" s="8">
        <f>IF(AND(F568&gt;720,C568&gt;60),70%,
IF(CKadeaTelcoClients_Churn[[#This Row],[Type_Client]]="B2B",10%,
IF(OR(AND(F568&gt;=240,F568&lt;=720),AND(C568&lt;60,D568="Premium 5G 150Go")),45%,0%)))</f>
        <v>0.45</v>
      </c>
      <c r="J568" s="9">
        <f>CKadeaTelcoClients_Churn[[#This Row],[Remise]]*CKadeaTelcoClients_Churn[[#This Row],[Facture_Mensuelle]]</f>
        <v>36.621000000000002</v>
      </c>
      <c r="K568">
        <v>567</v>
      </c>
    </row>
    <row r="569" spans="1:11" x14ac:dyDescent="0.35">
      <c r="A569" t="s">
        <v>1462</v>
      </c>
      <c r="B569" t="s">
        <v>696</v>
      </c>
      <c r="C569">
        <v>116</v>
      </c>
      <c r="D569" t="s">
        <v>892</v>
      </c>
      <c r="E569" t="str">
        <f>IF(CKadeaTelcoClients_Churn[[#This Row],[Type_Forfait]]="pro monde","B2B","B2C")</f>
        <v>B2C</v>
      </c>
      <c r="F569">
        <v>279</v>
      </c>
      <c r="G569">
        <v>62.88</v>
      </c>
      <c r="H569">
        <v>4</v>
      </c>
      <c r="I569" s="8">
        <f>IF(AND(F569&gt;720,C569&gt;60),70%,
IF(CKadeaTelcoClients_Churn[[#This Row],[Type_Client]]="B2B",10%,
IF(OR(AND(F569&gt;=240,F569&lt;=720),AND(C569&lt;60,D569="Premium 5G 150Go")),45%,0%)))</f>
        <v>0.45</v>
      </c>
      <c r="J569" s="9">
        <f>CKadeaTelcoClients_Churn[[#This Row],[Remise]]*CKadeaTelcoClients_Churn[[#This Row],[Facture_Mensuelle]]</f>
        <v>28.296000000000003</v>
      </c>
      <c r="K569">
        <v>568</v>
      </c>
    </row>
    <row r="570" spans="1:11" x14ac:dyDescent="0.35">
      <c r="A570" t="s">
        <v>1463</v>
      </c>
      <c r="B570" t="s">
        <v>690</v>
      </c>
      <c r="C570">
        <v>41</v>
      </c>
      <c r="D570" t="s">
        <v>897</v>
      </c>
      <c r="E570" t="str">
        <f>IF(CKadeaTelcoClients_Churn[[#This Row],[Type_Forfait]]="pro monde","B2B","B2C")</f>
        <v>B2C</v>
      </c>
      <c r="F570">
        <v>2</v>
      </c>
      <c r="G570">
        <v>24.91</v>
      </c>
      <c r="H570">
        <v>1</v>
      </c>
      <c r="I570" s="8">
        <f>IF(AND(F570&gt;720,C570&gt;60),70%,
IF(CKadeaTelcoClients_Churn[[#This Row],[Type_Client]]="B2B",10%,
IF(OR(AND(F570&gt;=240,F570&lt;=720),AND(C570&lt;60,D570="Premium 5G 150Go")),45%,0%)))</f>
        <v>0</v>
      </c>
      <c r="J570" s="9">
        <f>CKadeaTelcoClients_Churn[[#This Row],[Remise]]*CKadeaTelcoClients_Churn[[#This Row],[Facture_Mensuelle]]</f>
        <v>0</v>
      </c>
      <c r="K570">
        <v>569</v>
      </c>
    </row>
    <row r="571" spans="1:11" x14ac:dyDescent="0.35">
      <c r="A571" t="s">
        <v>1464</v>
      </c>
      <c r="B571" t="s">
        <v>700</v>
      </c>
      <c r="C571">
        <v>67</v>
      </c>
      <c r="D571" t="s">
        <v>899</v>
      </c>
      <c r="E571" t="str">
        <f>IF(CKadeaTelcoClients_Churn[[#This Row],[Type_Forfait]]="pro monde","B2B","B2C")</f>
        <v>B2C</v>
      </c>
      <c r="F571">
        <v>81</v>
      </c>
      <c r="G571">
        <v>28.52</v>
      </c>
      <c r="H571">
        <v>4</v>
      </c>
      <c r="I571" s="8">
        <f>IF(AND(F571&gt;720,C571&gt;60),70%,
IF(CKadeaTelcoClients_Churn[[#This Row],[Type_Client]]="B2B",10%,
IF(OR(AND(F571&gt;=240,F571&lt;=720),AND(C571&lt;60,D571="Premium 5G 150Go")),45%,0%)))</f>
        <v>0</v>
      </c>
      <c r="J571" s="9">
        <f>CKadeaTelcoClients_Churn[[#This Row],[Remise]]*CKadeaTelcoClients_Churn[[#This Row],[Facture_Mensuelle]]</f>
        <v>0</v>
      </c>
      <c r="K571">
        <v>570</v>
      </c>
    </row>
    <row r="572" spans="1:11" x14ac:dyDescent="0.35">
      <c r="A572" t="s">
        <v>1465</v>
      </c>
      <c r="B572" t="s">
        <v>722</v>
      </c>
      <c r="C572">
        <v>21</v>
      </c>
      <c r="D572" t="s">
        <v>897</v>
      </c>
      <c r="E572" t="str">
        <f>IF(CKadeaTelcoClients_Churn[[#This Row],[Type_Forfait]]="pro monde","B2B","B2C")</f>
        <v>B2C</v>
      </c>
      <c r="F572">
        <v>267</v>
      </c>
      <c r="G572">
        <v>74.989999999999995</v>
      </c>
      <c r="H572">
        <v>1</v>
      </c>
      <c r="I572" s="8">
        <f>IF(AND(F572&gt;720,C572&gt;60),70%,
IF(CKadeaTelcoClients_Churn[[#This Row],[Type_Client]]="B2B",10%,
IF(OR(AND(F572&gt;=240,F572&lt;=720),AND(C572&lt;60,D572="Premium 5G 150Go")),45%,0%)))</f>
        <v>0.45</v>
      </c>
      <c r="J572" s="9">
        <f>CKadeaTelcoClients_Churn[[#This Row],[Remise]]*CKadeaTelcoClients_Churn[[#This Row],[Facture_Mensuelle]]</f>
        <v>33.7455</v>
      </c>
      <c r="K572">
        <v>571</v>
      </c>
    </row>
    <row r="573" spans="1:11" x14ac:dyDescent="0.35">
      <c r="A573" t="s">
        <v>1466</v>
      </c>
      <c r="B573" t="s">
        <v>706</v>
      </c>
      <c r="C573">
        <v>56</v>
      </c>
      <c r="D573" t="s">
        <v>897</v>
      </c>
      <c r="E573" t="str">
        <f>IF(CKadeaTelcoClients_Churn[[#This Row],[Type_Forfait]]="pro monde","B2B","B2C")</f>
        <v>B2C</v>
      </c>
      <c r="F573">
        <v>379</v>
      </c>
      <c r="G573">
        <v>49.01</v>
      </c>
      <c r="H573">
        <v>0</v>
      </c>
      <c r="I573" s="8">
        <f>IF(AND(F573&gt;720,C573&gt;60),70%,
IF(CKadeaTelcoClients_Churn[[#This Row],[Type_Client]]="B2B",10%,
IF(OR(AND(F573&gt;=240,F573&lt;=720),AND(C573&lt;60,D573="Premium 5G 150Go")),45%,0%)))</f>
        <v>0.45</v>
      </c>
      <c r="J573" s="9">
        <f>CKadeaTelcoClients_Churn[[#This Row],[Remise]]*CKadeaTelcoClients_Churn[[#This Row],[Facture_Mensuelle]]</f>
        <v>22.054500000000001</v>
      </c>
      <c r="K573">
        <v>572</v>
      </c>
    </row>
    <row r="574" spans="1:11" x14ac:dyDescent="0.35">
      <c r="A574" t="s">
        <v>1467</v>
      </c>
      <c r="B574" t="s">
        <v>685</v>
      </c>
      <c r="C574">
        <v>30</v>
      </c>
      <c r="D574" t="s">
        <v>897</v>
      </c>
      <c r="E574" t="str">
        <f>IF(CKadeaTelcoClients_Churn[[#This Row],[Type_Forfait]]="pro monde","B2B","B2C")</f>
        <v>B2C</v>
      </c>
      <c r="F574">
        <v>130</v>
      </c>
      <c r="G574">
        <v>50.15</v>
      </c>
      <c r="H574">
        <v>4</v>
      </c>
      <c r="I574" s="8">
        <f>IF(AND(F574&gt;720,C574&gt;60),70%,
IF(CKadeaTelcoClients_Churn[[#This Row],[Type_Client]]="B2B",10%,
IF(OR(AND(F574&gt;=240,F574&lt;=720),AND(C574&lt;60,D574="Premium 5G 150Go")),45%,0%)))</f>
        <v>0</v>
      </c>
      <c r="J574" s="9">
        <f>CKadeaTelcoClients_Churn[[#This Row],[Remise]]*CKadeaTelcoClients_Churn[[#This Row],[Facture_Mensuelle]]</f>
        <v>0</v>
      </c>
      <c r="K574">
        <v>573</v>
      </c>
    </row>
    <row r="575" spans="1:11" x14ac:dyDescent="0.35">
      <c r="A575" t="s">
        <v>1468</v>
      </c>
      <c r="B575" t="s">
        <v>737</v>
      </c>
      <c r="C575">
        <v>13</v>
      </c>
      <c r="D575" t="s">
        <v>894</v>
      </c>
      <c r="E575" t="str">
        <f>IF(CKadeaTelcoClients_Churn[[#This Row],[Type_Forfait]]="pro monde","B2B","B2C")</f>
        <v>B2B</v>
      </c>
      <c r="F575">
        <v>474</v>
      </c>
      <c r="G575">
        <v>63.67</v>
      </c>
      <c r="H575">
        <v>2</v>
      </c>
      <c r="I575" s="8">
        <f>IF(AND(F575&gt;720,C575&gt;60),70%,
IF(CKadeaTelcoClients_Churn[[#This Row],[Type_Client]]="B2B",10%,
IF(OR(AND(F575&gt;=240,F575&lt;=720),AND(C575&lt;60,D575="Premium 5G 150Go")),45%,0%)))</f>
        <v>0.1</v>
      </c>
      <c r="J575" s="9">
        <f>CKadeaTelcoClients_Churn[[#This Row],[Remise]]*CKadeaTelcoClients_Churn[[#This Row],[Facture_Mensuelle]]</f>
        <v>6.3670000000000009</v>
      </c>
      <c r="K575">
        <v>574</v>
      </c>
    </row>
    <row r="576" spans="1:11" x14ac:dyDescent="0.35">
      <c r="A576" t="s">
        <v>1469</v>
      </c>
      <c r="B576" t="s">
        <v>702</v>
      </c>
      <c r="C576">
        <v>91</v>
      </c>
      <c r="D576" t="s">
        <v>897</v>
      </c>
      <c r="E576" t="str">
        <f>IF(CKadeaTelcoClients_Churn[[#This Row],[Type_Forfait]]="pro monde","B2B","B2C")</f>
        <v>B2C</v>
      </c>
      <c r="F576">
        <v>62</v>
      </c>
      <c r="G576">
        <v>34.450000000000003</v>
      </c>
      <c r="H576">
        <v>5</v>
      </c>
      <c r="I576" s="8">
        <f>IF(AND(F576&gt;720,C576&gt;60),70%,
IF(CKadeaTelcoClients_Churn[[#This Row],[Type_Client]]="B2B",10%,
IF(OR(AND(F576&gt;=240,F576&lt;=720),AND(C576&lt;60,D576="Premium 5G 150Go")),45%,0%)))</f>
        <v>0</v>
      </c>
      <c r="J576" s="9">
        <f>CKadeaTelcoClients_Churn[[#This Row],[Remise]]*CKadeaTelcoClients_Churn[[#This Row],[Facture_Mensuelle]]</f>
        <v>0</v>
      </c>
      <c r="K576">
        <v>575</v>
      </c>
    </row>
    <row r="577" spans="1:11" x14ac:dyDescent="0.35">
      <c r="A577" t="s">
        <v>1470</v>
      </c>
      <c r="B577" t="s">
        <v>693</v>
      </c>
      <c r="C577">
        <v>103</v>
      </c>
      <c r="D577" t="s">
        <v>897</v>
      </c>
      <c r="E577" t="str">
        <f>IF(CKadeaTelcoClients_Churn[[#This Row],[Type_Forfait]]="pro monde","B2B","B2C")</f>
        <v>B2C</v>
      </c>
      <c r="F577">
        <v>98</v>
      </c>
      <c r="G577">
        <v>38.69</v>
      </c>
      <c r="H577">
        <v>4</v>
      </c>
      <c r="I577" s="8">
        <f>IF(AND(F577&gt;720,C577&gt;60),70%,
IF(CKadeaTelcoClients_Churn[[#This Row],[Type_Client]]="B2B",10%,
IF(OR(AND(F577&gt;=240,F577&lt;=720),AND(C577&lt;60,D577="Premium 5G 150Go")),45%,0%)))</f>
        <v>0</v>
      </c>
      <c r="J577" s="9">
        <f>CKadeaTelcoClients_Churn[[#This Row],[Remise]]*CKadeaTelcoClients_Churn[[#This Row],[Facture_Mensuelle]]</f>
        <v>0</v>
      </c>
      <c r="K577">
        <v>576</v>
      </c>
    </row>
    <row r="578" spans="1:11" x14ac:dyDescent="0.35">
      <c r="A578" t="s">
        <v>1471</v>
      </c>
      <c r="B578" t="s">
        <v>702</v>
      </c>
      <c r="C578">
        <v>17</v>
      </c>
      <c r="D578" t="s">
        <v>899</v>
      </c>
      <c r="E578" t="str">
        <f>IF(CKadeaTelcoClients_Churn[[#This Row],[Type_Forfait]]="pro monde","B2B","B2C")</f>
        <v>B2C</v>
      </c>
      <c r="F578">
        <v>310</v>
      </c>
      <c r="G578">
        <v>19.68</v>
      </c>
      <c r="H578">
        <v>5</v>
      </c>
      <c r="I578" s="8">
        <f>IF(AND(F578&gt;720,C578&gt;60),70%,
IF(CKadeaTelcoClients_Churn[[#This Row],[Type_Client]]="B2B",10%,
IF(OR(AND(F578&gt;=240,F578&lt;=720),AND(C578&lt;60,D578="Premium 5G 150Go")),45%,0%)))</f>
        <v>0.45</v>
      </c>
      <c r="J578" s="9">
        <f>CKadeaTelcoClients_Churn[[#This Row],[Remise]]*CKadeaTelcoClients_Churn[[#This Row],[Facture_Mensuelle]]</f>
        <v>8.8559999999999999</v>
      </c>
      <c r="K578">
        <v>577</v>
      </c>
    </row>
    <row r="579" spans="1:11" x14ac:dyDescent="0.35">
      <c r="A579" t="s">
        <v>1472</v>
      </c>
      <c r="B579" t="s">
        <v>737</v>
      </c>
      <c r="C579">
        <v>65</v>
      </c>
      <c r="D579" t="s">
        <v>892</v>
      </c>
      <c r="E579" t="str">
        <f>IF(CKadeaTelcoClients_Churn[[#This Row],[Type_Forfait]]="pro monde","B2B","B2C")</f>
        <v>B2C</v>
      </c>
      <c r="F579">
        <v>15</v>
      </c>
      <c r="G579">
        <v>44.47</v>
      </c>
      <c r="H579">
        <v>0</v>
      </c>
      <c r="I579" s="8">
        <f>IF(AND(F579&gt;720,C579&gt;60),70%,
IF(CKadeaTelcoClients_Churn[[#This Row],[Type_Client]]="B2B",10%,
IF(OR(AND(F579&gt;=240,F579&lt;=720),AND(C579&lt;60,D579="Premium 5G 150Go")),45%,0%)))</f>
        <v>0</v>
      </c>
      <c r="J579" s="9">
        <f>CKadeaTelcoClients_Churn[[#This Row],[Remise]]*CKadeaTelcoClients_Churn[[#This Row],[Facture_Mensuelle]]</f>
        <v>0</v>
      </c>
      <c r="K579">
        <v>578</v>
      </c>
    </row>
    <row r="580" spans="1:11" x14ac:dyDescent="0.35">
      <c r="A580" t="s">
        <v>1473</v>
      </c>
      <c r="B580" t="s">
        <v>722</v>
      </c>
      <c r="C580">
        <v>16</v>
      </c>
      <c r="D580" t="s">
        <v>892</v>
      </c>
      <c r="E580" t="str">
        <f>IF(CKadeaTelcoClients_Churn[[#This Row],[Type_Forfait]]="pro monde","B2B","B2C")</f>
        <v>B2C</v>
      </c>
      <c r="F580">
        <v>274</v>
      </c>
      <c r="G580">
        <v>27.97</v>
      </c>
      <c r="H580">
        <v>4</v>
      </c>
      <c r="I580" s="8">
        <f>IF(AND(F580&gt;720,C580&gt;60),70%,
IF(CKadeaTelcoClients_Churn[[#This Row],[Type_Client]]="B2B",10%,
IF(OR(AND(F580&gt;=240,F580&lt;=720),AND(C580&lt;60,D580="Premium 5G 150Go")),45%,0%)))</f>
        <v>0.45</v>
      </c>
      <c r="J580" s="9">
        <f>CKadeaTelcoClients_Churn[[#This Row],[Remise]]*CKadeaTelcoClients_Churn[[#This Row],[Facture_Mensuelle]]</f>
        <v>12.586499999999999</v>
      </c>
      <c r="K580">
        <v>579</v>
      </c>
    </row>
    <row r="581" spans="1:11" x14ac:dyDescent="0.35">
      <c r="A581" t="s">
        <v>1474</v>
      </c>
      <c r="B581" t="s">
        <v>711</v>
      </c>
      <c r="C581">
        <v>81</v>
      </c>
      <c r="D581" t="s">
        <v>899</v>
      </c>
      <c r="E581" t="str">
        <f>IF(CKadeaTelcoClients_Churn[[#This Row],[Type_Forfait]]="pro monde","B2B","B2C")</f>
        <v>B2C</v>
      </c>
      <c r="F581">
        <v>11</v>
      </c>
      <c r="G581">
        <v>41.76</v>
      </c>
      <c r="H581">
        <v>5</v>
      </c>
      <c r="I581" s="8">
        <f>IF(AND(F581&gt;720,C581&gt;60),70%,
IF(CKadeaTelcoClients_Churn[[#This Row],[Type_Client]]="B2B",10%,
IF(OR(AND(F581&gt;=240,F581&lt;=720),AND(C581&lt;60,D581="Premium 5G 150Go")),45%,0%)))</f>
        <v>0</v>
      </c>
      <c r="J581" s="9">
        <f>CKadeaTelcoClients_Churn[[#This Row],[Remise]]*CKadeaTelcoClients_Churn[[#This Row],[Facture_Mensuelle]]</f>
        <v>0</v>
      </c>
      <c r="K581">
        <v>580</v>
      </c>
    </row>
    <row r="582" spans="1:11" x14ac:dyDescent="0.35">
      <c r="A582" t="s">
        <v>1475</v>
      </c>
      <c r="B582" t="s">
        <v>693</v>
      </c>
      <c r="C582">
        <v>74</v>
      </c>
      <c r="D582" t="s">
        <v>897</v>
      </c>
      <c r="E582" t="str">
        <f>IF(CKadeaTelcoClients_Churn[[#This Row],[Type_Forfait]]="pro monde","B2B","B2C")</f>
        <v>B2C</v>
      </c>
      <c r="F582">
        <v>265</v>
      </c>
      <c r="G582">
        <v>90.81</v>
      </c>
      <c r="H582">
        <v>3</v>
      </c>
      <c r="I582" s="8">
        <f>IF(AND(F582&gt;720,C582&gt;60),70%,
IF(CKadeaTelcoClients_Churn[[#This Row],[Type_Client]]="B2B",10%,
IF(OR(AND(F582&gt;=240,F582&lt;=720),AND(C582&lt;60,D582="Premium 5G 150Go")),45%,0%)))</f>
        <v>0.45</v>
      </c>
      <c r="J582" s="9">
        <f>CKadeaTelcoClients_Churn[[#This Row],[Remise]]*CKadeaTelcoClients_Churn[[#This Row],[Facture_Mensuelle]]</f>
        <v>40.8645</v>
      </c>
      <c r="K582">
        <v>581</v>
      </c>
    </row>
    <row r="583" spans="1:11" x14ac:dyDescent="0.35">
      <c r="A583" t="s">
        <v>1476</v>
      </c>
      <c r="B583" t="s">
        <v>706</v>
      </c>
      <c r="C583">
        <v>101</v>
      </c>
      <c r="D583" t="s">
        <v>897</v>
      </c>
      <c r="E583" t="str">
        <f>IF(CKadeaTelcoClients_Churn[[#This Row],[Type_Forfait]]="pro monde","B2B","B2C")</f>
        <v>B2C</v>
      </c>
      <c r="F583">
        <v>262</v>
      </c>
      <c r="G583">
        <v>83.74</v>
      </c>
      <c r="H583">
        <v>5</v>
      </c>
      <c r="I583" s="8">
        <f>IF(AND(F583&gt;720,C583&gt;60),70%,
IF(CKadeaTelcoClients_Churn[[#This Row],[Type_Client]]="B2B",10%,
IF(OR(AND(F583&gt;=240,F583&lt;=720),AND(C583&lt;60,D583="Premium 5G 150Go")),45%,0%)))</f>
        <v>0.45</v>
      </c>
      <c r="J583" s="9">
        <f>CKadeaTelcoClients_Churn[[#This Row],[Remise]]*CKadeaTelcoClients_Churn[[#This Row],[Facture_Mensuelle]]</f>
        <v>37.683</v>
      </c>
      <c r="K583">
        <v>582</v>
      </c>
    </row>
    <row r="584" spans="1:11" x14ac:dyDescent="0.35">
      <c r="A584" t="s">
        <v>1477</v>
      </c>
      <c r="B584" t="s">
        <v>690</v>
      </c>
      <c r="C584">
        <v>51</v>
      </c>
      <c r="D584" t="s">
        <v>894</v>
      </c>
      <c r="E584" t="str">
        <f>IF(CKadeaTelcoClients_Churn[[#This Row],[Type_Forfait]]="pro monde","B2B","B2C")</f>
        <v>B2B</v>
      </c>
      <c r="F584">
        <v>389</v>
      </c>
      <c r="G584">
        <v>50.45</v>
      </c>
      <c r="H584">
        <v>3</v>
      </c>
      <c r="I584" s="8">
        <f>IF(AND(F584&gt;720,C584&gt;60),70%,
IF(CKadeaTelcoClients_Churn[[#This Row],[Type_Client]]="B2B",10%,
IF(OR(AND(F584&gt;=240,F584&lt;=720),AND(C584&lt;60,D584="Premium 5G 150Go")),45%,0%)))</f>
        <v>0.1</v>
      </c>
      <c r="J584" s="9">
        <f>CKadeaTelcoClients_Churn[[#This Row],[Remise]]*CKadeaTelcoClients_Churn[[#This Row],[Facture_Mensuelle]]</f>
        <v>5.0450000000000008</v>
      </c>
      <c r="K584">
        <v>583</v>
      </c>
    </row>
    <row r="585" spans="1:11" x14ac:dyDescent="0.35">
      <c r="A585" t="s">
        <v>1478</v>
      </c>
      <c r="B585" t="s">
        <v>711</v>
      </c>
      <c r="C585">
        <v>108</v>
      </c>
      <c r="D585" t="s">
        <v>892</v>
      </c>
      <c r="E585" t="str">
        <f>IF(CKadeaTelcoClients_Churn[[#This Row],[Type_Forfait]]="pro monde","B2B","B2C")</f>
        <v>B2C</v>
      </c>
      <c r="F585">
        <v>78</v>
      </c>
      <c r="G585">
        <v>90.05</v>
      </c>
      <c r="H585">
        <v>2</v>
      </c>
      <c r="I585" s="8">
        <f>IF(AND(F585&gt;720,C585&gt;60),70%,
IF(CKadeaTelcoClients_Churn[[#This Row],[Type_Client]]="B2B",10%,
IF(OR(AND(F585&gt;=240,F585&lt;=720),AND(C585&lt;60,D585="Premium 5G 150Go")),45%,0%)))</f>
        <v>0</v>
      </c>
      <c r="J585" s="9">
        <f>CKadeaTelcoClients_Churn[[#This Row],[Remise]]*CKadeaTelcoClients_Churn[[#This Row],[Facture_Mensuelle]]</f>
        <v>0</v>
      </c>
      <c r="K585">
        <v>584</v>
      </c>
    </row>
    <row r="586" spans="1:11" x14ac:dyDescent="0.35">
      <c r="A586" t="s">
        <v>1479</v>
      </c>
      <c r="B586" t="s">
        <v>725</v>
      </c>
      <c r="C586">
        <v>98</v>
      </c>
      <c r="D586" t="s">
        <v>899</v>
      </c>
      <c r="E586" t="str">
        <f>IF(CKadeaTelcoClients_Churn[[#This Row],[Type_Forfait]]="pro monde","B2B","B2C")</f>
        <v>B2C</v>
      </c>
      <c r="F586">
        <v>110</v>
      </c>
      <c r="G586">
        <v>96.23</v>
      </c>
      <c r="H586">
        <v>2</v>
      </c>
      <c r="I586" s="8">
        <f>IF(AND(F586&gt;720,C586&gt;60),70%,
IF(CKadeaTelcoClients_Churn[[#This Row],[Type_Client]]="B2B",10%,
IF(OR(AND(F586&gt;=240,F586&lt;=720),AND(C586&lt;60,D586="Premium 5G 150Go")),45%,0%)))</f>
        <v>0</v>
      </c>
      <c r="J586" s="9">
        <f>CKadeaTelcoClients_Churn[[#This Row],[Remise]]*CKadeaTelcoClients_Churn[[#This Row],[Facture_Mensuelle]]</f>
        <v>0</v>
      </c>
      <c r="K586">
        <v>585</v>
      </c>
    </row>
    <row r="587" spans="1:11" x14ac:dyDescent="0.35">
      <c r="A587" t="s">
        <v>1480</v>
      </c>
      <c r="B587" t="s">
        <v>690</v>
      </c>
      <c r="C587">
        <v>81</v>
      </c>
      <c r="D587" t="s">
        <v>894</v>
      </c>
      <c r="E587" t="str">
        <f>IF(CKadeaTelcoClients_Churn[[#This Row],[Type_Forfait]]="pro monde","B2B","B2C")</f>
        <v>B2B</v>
      </c>
      <c r="F587">
        <v>443</v>
      </c>
      <c r="G587">
        <v>32.78</v>
      </c>
      <c r="H587">
        <v>1</v>
      </c>
      <c r="I587" s="8">
        <f>IF(AND(F587&gt;720,C587&gt;60),70%,
IF(CKadeaTelcoClients_Churn[[#This Row],[Type_Client]]="B2B",10%,
IF(OR(AND(F587&gt;=240,F587&lt;=720),AND(C587&lt;60,D587="Premium 5G 150Go")),45%,0%)))</f>
        <v>0.1</v>
      </c>
      <c r="J587" s="9">
        <f>CKadeaTelcoClients_Churn[[#This Row],[Remise]]*CKadeaTelcoClients_Churn[[#This Row],[Facture_Mensuelle]]</f>
        <v>3.2780000000000005</v>
      </c>
      <c r="K587">
        <v>586</v>
      </c>
    </row>
    <row r="588" spans="1:11" x14ac:dyDescent="0.35">
      <c r="A588" t="s">
        <v>1481</v>
      </c>
      <c r="B588" t="s">
        <v>690</v>
      </c>
      <c r="C588">
        <v>118</v>
      </c>
      <c r="D588" t="s">
        <v>897</v>
      </c>
      <c r="E588" t="str">
        <f>IF(CKadeaTelcoClients_Churn[[#This Row],[Type_Forfait]]="pro monde","B2B","B2C")</f>
        <v>B2C</v>
      </c>
      <c r="F588">
        <v>186</v>
      </c>
      <c r="G588">
        <v>46.88</v>
      </c>
      <c r="H588">
        <v>1</v>
      </c>
      <c r="I588" s="8">
        <f>IF(AND(F588&gt;720,C588&gt;60),70%,
IF(CKadeaTelcoClients_Churn[[#This Row],[Type_Client]]="B2B",10%,
IF(OR(AND(F588&gt;=240,F588&lt;=720),AND(C588&lt;60,D588="Premium 5G 150Go")),45%,0%)))</f>
        <v>0</v>
      </c>
      <c r="J588" s="9">
        <f>CKadeaTelcoClients_Churn[[#This Row],[Remise]]*CKadeaTelcoClients_Churn[[#This Row],[Facture_Mensuelle]]</f>
        <v>0</v>
      </c>
      <c r="K588">
        <v>587</v>
      </c>
    </row>
    <row r="589" spans="1:11" x14ac:dyDescent="0.35">
      <c r="A589" t="s">
        <v>1482</v>
      </c>
      <c r="B589" t="s">
        <v>716</v>
      </c>
      <c r="C589">
        <v>34</v>
      </c>
      <c r="D589" t="s">
        <v>894</v>
      </c>
      <c r="E589" t="str">
        <f>IF(CKadeaTelcoClients_Churn[[#This Row],[Type_Forfait]]="pro monde","B2B","B2C")</f>
        <v>B2B</v>
      </c>
      <c r="F589">
        <v>58</v>
      </c>
      <c r="G589">
        <v>64.349999999999994</v>
      </c>
      <c r="H589">
        <v>0</v>
      </c>
      <c r="I589" s="8">
        <f>IF(AND(F589&gt;720,C589&gt;60),70%,
IF(CKadeaTelcoClients_Churn[[#This Row],[Type_Client]]="B2B",10%,
IF(OR(AND(F589&gt;=240,F589&lt;=720),AND(C589&lt;60,D589="Premium 5G 150Go")),45%,0%)))</f>
        <v>0.1</v>
      </c>
      <c r="J589" s="9">
        <f>CKadeaTelcoClients_Churn[[#This Row],[Remise]]*CKadeaTelcoClients_Churn[[#This Row],[Facture_Mensuelle]]</f>
        <v>6.4349999999999996</v>
      </c>
      <c r="K589">
        <v>588</v>
      </c>
    </row>
    <row r="590" spans="1:11" x14ac:dyDescent="0.35">
      <c r="A590" t="s">
        <v>1483</v>
      </c>
      <c r="B590" t="s">
        <v>722</v>
      </c>
      <c r="C590">
        <v>108</v>
      </c>
      <c r="D590" t="s">
        <v>897</v>
      </c>
      <c r="E590" t="str">
        <f>IF(CKadeaTelcoClients_Churn[[#This Row],[Type_Forfait]]="pro monde","B2B","B2C")</f>
        <v>B2C</v>
      </c>
      <c r="F590">
        <v>460</v>
      </c>
      <c r="G590">
        <v>88.95</v>
      </c>
      <c r="H590">
        <v>3</v>
      </c>
      <c r="I590" s="8">
        <f>IF(AND(F590&gt;720,C590&gt;60),70%,
IF(CKadeaTelcoClients_Churn[[#This Row],[Type_Client]]="B2B",10%,
IF(OR(AND(F590&gt;=240,F590&lt;=720),AND(C590&lt;60,D590="Premium 5G 150Go")),45%,0%)))</f>
        <v>0.45</v>
      </c>
      <c r="J590" s="9">
        <f>CKadeaTelcoClients_Churn[[#This Row],[Remise]]*CKadeaTelcoClients_Churn[[#This Row],[Facture_Mensuelle]]</f>
        <v>40.027500000000003</v>
      </c>
      <c r="K590">
        <v>589</v>
      </c>
    </row>
    <row r="591" spans="1:11" x14ac:dyDescent="0.35">
      <c r="A591" t="s">
        <v>1484</v>
      </c>
      <c r="B591" t="s">
        <v>700</v>
      </c>
      <c r="C591">
        <v>71</v>
      </c>
      <c r="D591" t="s">
        <v>894</v>
      </c>
      <c r="E591" t="str">
        <f>IF(CKadeaTelcoClients_Churn[[#This Row],[Type_Forfait]]="pro monde","B2B","B2C")</f>
        <v>B2B</v>
      </c>
      <c r="F591">
        <v>111</v>
      </c>
      <c r="G591">
        <v>95.53</v>
      </c>
      <c r="H591">
        <v>3</v>
      </c>
      <c r="I591" s="8">
        <f>IF(AND(F591&gt;720,C591&gt;60),70%,
IF(CKadeaTelcoClients_Churn[[#This Row],[Type_Client]]="B2B",10%,
IF(OR(AND(F591&gt;=240,F591&lt;=720),AND(C591&lt;60,D591="Premium 5G 150Go")),45%,0%)))</f>
        <v>0.1</v>
      </c>
      <c r="J591" s="9">
        <f>CKadeaTelcoClients_Churn[[#This Row],[Remise]]*CKadeaTelcoClients_Churn[[#This Row],[Facture_Mensuelle]]</f>
        <v>9.5530000000000008</v>
      </c>
      <c r="K591">
        <v>590</v>
      </c>
    </row>
    <row r="592" spans="1:11" x14ac:dyDescent="0.35">
      <c r="A592" t="s">
        <v>1485</v>
      </c>
      <c r="B592" t="s">
        <v>685</v>
      </c>
      <c r="C592">
        <v>21</v>
      </c>
      <c r="D592" t="s">
        <v>897</v>
      </c>
      <c r="E592" t="str">
        <f>IF(CKadeaTelcoClients_Churn[[#This Row],[Type_Forfait]]="pro monde","B2B","B2C")</f>
        <v>B2C</v>
      </c>
      <c r="F592">
        <v>15</v>
      </c>
      <c r="G592">
        <v>57.74</v>
      </c>
      <c r="H592">
        <v>0</v>
      </c>
      <c r="I592" s="8">
        <f>IF(AND(F592&gt;720,C592&gt;60),70%,
IF(CKadeaTelcoClients_Churn[[#This Row],[Type_Client]]="B2B",10%,
IF(OR(AND(F592&gt;=240,F592&lt;=720),AND(C592&lt;60,D592="Premium 5G 150Go")),45%,0%)))</f>
        <v>0</v>
      </c>
      <c r="J592" s="9">
        <f>CKadeaTelcoClients_Churn[[#This Row],[Remise]]*CKadeaTelcoClients_Churn[[#This Row],[Facture_Mensuelle]]</f>
        <v>0</v>
      </c>
      <c r="K592">
        <v>591</v>
      </c>
    </row>
    <row r="593" spans="1:11" x14ac:dyDescent="0.35">
      <c r="A593" t="s">
        <v>1486</v>
      </c>
      <c r="B593" t="s">
        <v>719</v>
      </c>
      <c r="C593">
        <v>42</v>
      </c>
      <c r="D593" t="s">
        <v>894</v>
      </c>
      <c r="E593" t="str">
        <f>IF(CKadeaTelcoClients_Churn[[#This Row],[Type_Forfait]]="pro monde","B2B","B2C")</f>
        <v>B2B</v>
      </c>
      <c r="F593">
        <v>167</v>
      </c>
      <c r="G593">
        <v>45.85</v>
      </c>
      <c r="H593">
        <v>2</v>
      </c>
      <c r="I593" s="8">
        <f>IF(AND(F593&gt;720,C593&gt;60),70%,
IF(CKadeaTelcoClients_Churn[[#This Row],[Type_Client]]="B2B",10%,
IF(OR(AND(F593&gt;=240,F593&lt;=720),AND(C593&lt;60,D593="Premium 5G 150Go")),45%,0%)))</f>
        <v>0.1</v>
      </c>
      <c r="J593" s="9">
        <f>CKadeaTelcoClients_Churn[[#This Row],[Remise]]*CKadeaTelcoClients_Churn[[#This Row],[Facture_Mensuelle]]</f>
        <v>4.585</v>
      </c>
      <c r="K593">
        <v>592</v>
      </c>
    </row>
    <row r="594" spans="1:11" x14ac:dyDescent="0.35">
      <c r="A594" t="s">
        <v>1487</v>
      </c>
      <c r="B594" t="s">
        <v>701</v>
      </c>
      <c r="C594">
        <v>27</v>
      </c>
      <c r="D594" t="s">
        <v>897</v>
      </c>
      <c r="E594" t="str">
        <f>IF(CKadeaTelcoClients_Churn[[#This Row],[Type_Forfait]]="pro monde","B2B","B2C")</f>
        <v>B2C</v>
      </c>
      <c r="F594">
        <v>70</v>
      </c>
      <c r="G594">
        <v>20.32</v>
      </c>
      <c r="H594">
        <v>3</v>
      </c>
      <c r="I594" s="8">
        <f>IF(AND(F594&gt;720,C594&gt;60),70%,
IF(CKadeaTelcoClients_Churn[[#This Row],[Type_Client]]="B2B",10%,
IF(OR(AND(F594&gt;=240,F594&lt;=720),AND(C594&lt;60,D594="Premium 5G 150Go")),45%,0%)))</f>
        <v>0</v>
      </c>
      <c r="J594" s="9">
        <f>CKadeaTelcoClients_Churn[[#This Row],[Remise]]*CKadeaTelcoClients_Churn[[#This Row],[Facture_Mensuelle]]</f>
        <v>0</v>
      </c>
      <c r="K594">
        <v>593</v>
      </c>
    </row>
    <row r="595" spans="1:11" x14ac:dyDescent="0.35">
      <c r="A595" t="s">
        <v>1488</v>
      </c>
      <c r="B595" t="s">
        <v>688</v>
      </c>
      <c r="C595">
        <v>12</v>
      </c>
      <c r="D595" t="s">
        <v>899</v>
      </c>
      <c r="E595" t="str">
        <f>IF(CKadeaTelcoClients_Churn[[#This Row],[Type_Forfait]]="pro monde","B2B","B2C")</f>
        <v>B2C</v>
      </c>
      <c r="F595">
        <v>112</v>
      </c>
      <c r="G595">
        <v>82.81</v>
      </c>
      <c r="H595">
        <v>0</v>
      </c>
      <c r="I595" s="8">
        <f>IF(AND(F595&gt;720,C595&gt;60),70%,
IF(CKadeaTelcoClients_Churn[[#This Row],[Type_Client]]="B2B",10%,
IF(OR(AND(F595&gt;=240,F595&lt;=720),AND(C595&lt;60,D595="Premium 5G 150Go")),45%,0%)))</f>
        <v>0</v>
      </c>
      <c r="J595" s="9">
        <f>CKadeaTelcoClients_Churn[[#This Row],[Remise]]*CKadeaTelcoClients_Churn[[#This Row],[Facture_Mensuelle]]</f>
        <v>0</v>
      </c>
      <c r="K595">
        <v>594</v>
      </c>
    </row>
    <row r="596" spans="1:11" x14ac:dyDescent="0.35">
      <c r="A596" t="s">
        <v>1489</v>
      </c>
      <c r="B596" t="s">
        <v>688</v>
      </c>
      <c r="C596">
        <v>12</v>
      </c>
      <c r="D596" t="s">
        <v>894</v>
      </c>
      <c r="E596" t="str">
        <f>IF(CKadeaTelcoClients_Churn[[#This Row],[Type_Forfait]]="pro monde","B2B","B2C")</f>
        <v>B2B</v>
      </c>
      <c r="F596">
        <v>42</v>
      </c>
      <c r="G596">
        <v>48.64</v>
      </c>
      <c r="H596">
        <v>0</v>
      </c>
      <c r="I596" s="8">
        <f>IF(AND(F596&gt;720,C596&gt;60),70%,
IF(CKadeaTelcoClients_Churn[[#This Row],[Type_Client]]="B2B",10%,
IF(OR(AND(F596&gt;=240,F596&lt;=720),AND(C596&lt;60,D596="Premium 5G 150Go")),45%,0%)))</f>
        <v>0.1</v>
      </c>
      <c r="J596" s="9">
        <f>CKadeaTelcoClients_Churn[[#This Row],[Remise]]*CKadeaTelcoClients_Churn[[#This Row],[Facture_Mensuelle]]</f>
        <v>4.8640000000000008</v>
      </c>
      <c r="K596">
        <v>595</v>
      </c>
    </row>
    <row r="597" spans="1:11" x14ac:dyDescent="0.35">
      <c r="A597" t="s">
        <v>1490</v>
      </c>
      <c r="B597" t="s">
        <v>703</v>
      </c>
      <c r="C597">
        <v>4</v>
      </c>
      <c r="D597" t="s">
        <v>894</v>
      </c>
      <c r="E597" t="str">
        <f>IF(CKadeaTelcoClients_Churn[[#This Row],[Type_Forfait]]="pro monde","B2B","B2C")</f>
        <v>B2B</v>
      </c>
      <c r="F597">
        <v>372</v>
      </c>
      <c r="G597">
        <v>26.73</v>
      </c>
      <c r="H597">
        <v>3</v>
      </c>
      <c r="I597" s="8">
        <f>IF(AND(F597&gt;720,C597&gt;60),70%,
IF(CKadeaTelcoClients_Churn[[#This Row],[Type_Client]]="B2B",10%,
IF(OR(AND(F597&gt;=240,F597&lt;=720),AND(C597&lt;60,D597="Premium 5G 150Go")),45%,0%)))</f>
        <v>0.1</v>
      </c>
      <c r="J597" s="9">
        <f>CKadeaTelcoClients_Churn[[#This Row],[Remise]]*CKadeaTelcoClients_Churn[[#This Row],[Facture_Mensuelle]]</f>
        <v>2.673</v>
      </c>
      <c r="K597">
        <v>596</v>
      </c>
    </row>
    <row r="598" spans="1:11" x14ac:dyDescent="0.35">
      <c r="A598" t="s">
        <v>1491</v>
      </c>
      <c r="B598" t="s">
        <v>699</v>
      </c>
      <c r="C598">
        <v>56</v>
      </c>
      <c r="D598" t="s">
        <v>892</v>
      </c>
      <c r="E598" t="str">
        <f>IF(CKadeaTelcoClients_Churn[[#This Row],[Type_Forfait]]="pro monde","B2B","B2C")</f>
        <v>B2C</v>
      </c>
      <c r="F598">
        <v>354</v>
      </c>
      <c r="G598">
        <v>32.08</v>
      </c>
      <c r="H598">
        <v>1</v>
      </c>
      <c r="I598" s="8">
        <f>IF(AND(F598&gt;720,C598&gt;60),70%,
IF(CKadeaTelcoClients_Churn[[#This Row],[Type_Client]]="B2B",10%,
IF(OR(AND(F598&gt;=240,F598&lt;=720),AND(C598&lt;60,D598="Premium 5G 150Go")),45%,0%)))</f>
        <v>0.45</v>
      </c>
      <c r="J598" s="9">
        <f>CKadeaTelcoClients_Churn[[#This Row],[Remise]]*CKadeaTelcoClients_Churn[[#This Row],[Facture_Mensuelle]]</f>
        <v>14.436</v>
      </c>
      <c r="K598">
        <v>597</v>
      </c>
    </row>
    <row r="599" spans="1:11" x14ac:dyDescent="0.35">
      <c r="A599" t="s">
        <v>1492</v>
      </c>
      <c r="B599" t="s">
        <v>711</v>
      </c>
      <c r="C599">
        <v>2</v>
      </c>
      <c r="D599" t="s">
        <v>894</v>
      </c>
      <c r="E599" t="str">
        <f>IF(CKadeaTelcoClients_Churn[[#This Row],[Type_Forfait]]="pro monde","B2B","B2C")</f>
        <v>B2B</v>
      </c>
      <c r="F599">
        <v>481</v>
      </c>
      <c r="G599">
        <v>29.37</v>
      </c>
      <c r="H599">
        <v>4</v>
      </c>
      <c r="I599" s="8">
        <f>IF(AND(F599&gt;720,C599&gt;60),70%,
IF(CKadeaTelcoClients_Churn[[#This Row],[Type_Client]]="B2B",10%,
IF(OR(AND(F599&gt;=240,F599&lt;=720),AND(C599&lt;60,D599="Premium 5G 150Go")),45%,0%)))</f>
        <v>0.1</v>
      </c>
      <c r="J599" s="9">
        <f>CKadeaTelcoClients_Churn[[#This Row],[Remise]]*CKadeaTelcoClients_Churn[[#This Row],[Facture_Mensuelle]]</f>
        <v>2.9370000000000003</v>
      </c>
      <c r="K599">
        <v>598</v>
      </c>
    </row>
    <row r="600" spans="1:11" x14ac:dyDescent="0.35">
      <c r="A600" t="s">
        <v>1493</v>
      </c>
      <c r="B600" t="s">
        <v>706</v>
      </c>
      <c r="C600">
        <v>81</v>
      </c>
      <c r="D600" t="s">
        <v>899</v>
      </c>
      <c r="E600" t="str">
        <f>IF(CKadeaTelcoClients_Churn[[#This Row],[Type_Forfait]]="pro monde","B2B","B2C")</f>
        <v>B2C</v>
      </c>
      <c r="F600">
        <v>64</v>
      </c>
      <c r="G600">
        <v>43.45</v>
      </c>
      <c r="H600">
        <v>2</v>
      </c>
      <c r="I600" s="8">
        <f>IF(AND(F600&gt;720,C600&gt;60),70%,
IF(CKadeaTelcoClients_Churn[[#This Row],[Type_Client]]="B2B",10%,
IF(OR(AND(F600&gt;=240,F600&lt;=720),AND(C600&lt;60,D600="Premium 5G 150Go")),45%,0%)))</f>
        <v>0</v>
      </c>
      <c r="J600" s="9">
        <f>CKadeaTelcoClients_Churn[[#This Row],[Remise]]*CKadeaTelcoClients_Churn[[#This Row],[Facture_Mensuelle]]</f>
        <v>0</v>
      </c>
      <c r="K600">
        <v>599</v>
      </c>
    </row>
    <row r="601" spans="1:11" x14ac:dyDescent="0.35">
      <c r="A601" t="s">
        <v>1494</v>
      </c>
      <c r="B601" t="s">
        <v>704</v>
      </c>
      <c r="C601">
        <v>99</v>
      </c>
      <c r="D601" t="s">
        <v>899</v>
      </c>
      <c r="E601" t="str">
        <f>IF(CKadeaTelcoClients_Churn[[#This Row],[Type_Forfait]]="pro monde","B2B","B2C")</f>
        <v>B2C</v>
      </c>
      <c r="F601">
        <v>137</v>
      </c>
      <c r="G601">
        <v>23.05</v>
      </c>
      <c r="H601">
        <v>4</v>
      </c>
      <c r="I601" s="8">
        <f>IF(AND(F601&gt;720,C601&gt;60),70%,
IF(CKadeaTelcoClients_Churn[[#This Row],[Type_Client]]="B2B",10%,
IF(OR(AND(F601&gt;=240,F601&lt;=720),AND(C601&lt;60,D601="Premium 5G 150Go")),45%,0%)))</f>
        <v>0</v>
      </c>
      <c r="J601" s="9">
        <f>CKadeaTelcoClients_Churn[[#This Row],[Remise]]*CKadeaTelcoClients_Churn[[#This Row],[Facture_Mensuelle]]</f>
        <v>0</v>
      </c>
      <c r="K601">
        <v>600</v>
      </c>
    </row>
    <row r="602" spans="1:11" x14ac:dyDescent="0.35">
      <c r="A602" t="s">
        <v>1495</v>
      </c>
      <c r="B602" t="s">
        <v>737</v>
      </c>
      <c r="C602">
        <v>18</v>
      </c>
      <c r="D602" t="s">
        <v>894</v>
      </c>
      <c r="E602" t="str">
        <f>IF(CKadeaTelcoClients_Churn[[#This Row],[Type_Forfait]]="pro monde","B2B","B2C")</f>
        <v>B2B</v>
      </c>
      <c r="F602">
        <v>75</v>
      </c>
      <c r="G602">
        <v>57.66</v>
      </c>
      <c r="H602">
        <v>1</v>
      </c>
      <c r="I602" s="8">
        <f>IF(AND(F602&gt;720,C602&gt;60),70%,
IF(CKadeaTelcoClients_Churn[[#This Row],[Type_Client]]="B2B",10%,
IF(OR(AND(F602&gt;=240,F602&lt;=720),AND(C602&lt;60,D602="Premium 5G 150Go")),45%,0%)))</f>
        <v>0.1</v>
      </c>
      <c r="J602" s="9">
        <f>CKadeaTelcoClients_Churn[[#This Row],[Remise]]*CKadeaTelcoClients_Churn[[#This Row],[Facture_Mensuelle]]</f>
        <v>5.766</v>
      </c>
      <c r="K602">
        <v>601</v>
      </c>
    </row>
    <row r="603" spans="1:11" x14ac:dyDescent="0.35">
      <c r="A603" t="s">
        <v>1496</v>
      </c>
      <c r="B603" t="s">
        <v>690</v>
      </c>
      <c r="C603">
        <v>14</v>
      </c>
      <c r="D603" t="s">
        <v>894</v>
      </c>
      <c r="E603" t="str">
        <f>IF(CKadeaTelcoClients_Churn[[#This Row],[Type_Forfait]]="pro monde","B2B","B2C")</f>
        <v>B2B</v>
      </c>
      <c r="F603">
        <v>236</v>
      </c>
      <c r="G603">
        <v>54.43</v>
      </c>
      <c r="H603">
        <v>3</v>
      </c>
      <c r="I603" s="8">
        <f>IF(AND(F603&gt;720,C603&gt;60),70%,
IF(CKadeaTelcoClients_Churn[[#This Row],[Type_Client]]="B2B",10%,
IF(OR(AND(F603&gt;=240,F603&lt;=720),AND(C603&lt;60,D603="Premium 5G 150Go")),45%,0%)))</f>
        <v>0.1</v>
      </c>
      <c r="J603" s="9">
        <f>CKadeaTelcoClients_Churn[[#This Row],[Remise]]*CKadeaTelcoClients_Churn[[#This Row],[Facture_Mensuelle]]</f>
        <v>5.4430000000000005</v>
      </c>
      <c r="K603">
        <v>602</v>
      </c>
    </row>
    <row r="604" spans="1:11" x14ac:dyDescent="0.35">
      <c r="A604" t="s">
        <v>1497</v>
      </c>
      <c r="B604" t="s">
        <v>738</v>
      </c>
      <c r="C604">
        <v>42</v>
      </c>
      <c r="D604" t="s">
        <v>897</v>
      </c>
      <c r="E604" t="str">
        <f>IF(CKadeaTelcoClients_Churn[[#This Row],[Type_Forfait]]="pro monde","B2B","B2C")</f>
        <v>B2C</v>
      </c>
      <c r="F604">
        <v>448</v>
      </c>
      <c r="G604">
        <v>49.02</v>
      </c>
      <c r="H604">
        <v>0</v>
      </c>
      <c r="I604" s="8">
        <f>IF(AND(F604&gt;720,C604&gt;60),70%,
IF(CKadeaTelcoClients_Churn[[#This Row],[Type_Client]]="B2B",10%,
IF(OR(AND(F604&gt;=240,F604&lt;=720),AND(C604&lt;60,D604="Premium 5G 150Go")),45%,0%)))</f>
        <v>0.45</v>
      </c>
      <c r="J604" s="9">
        <f>CKadeaTelcoClients_Churn[[#This Row],[Remise]]*CKadeaTelcoClients_Churn[[#This Row],[Facture_Mensuelle]]</f>
        <v>22.059000000000001</v>
      </c>
      <c r="K604">
        <v>603</v>
      </c>
    </row>
    <row r="605" spans="1:11" x14ac:dyDescent="0.35">
      <c r="A605" t="s">
        <v>1498</v>
      </c>
      <c r="B605" t="s">
        <v>722</v>
      </c>
      <c r="C605">
        <v>111</v>
      </c>
      <c r="D605" t="s">
        <v>899</v>
      </c>
      <c r="E605" t="str">
        <f>IF(CKadeaTelcoClients_Churn[[#This Row],[Type_Forfait]]="pro monde","B2B","B2C")</f>
        <v>B2C</v>
      </c>
      <c r="F605">
        <v>54</v>
      </c>
      <c r="G605">
        <v>71.3</v>
      </c>
      <c r="H605">
        <v>0</v>
      </c>
      <c r="I605" s="8">
        <f>IF(AND(F605&gt;720,C605&gt;60),70%,
IF(CKadeaTelcoClients_Churn[[#This Row],[Type_Client]]="B2B",10%,
IF(OR(AND(F605&gt;=240,F605&lt;=720),AND(C605&lt;60,D605="Premium 5G 150Go")),45%,0%)))</f>
        <v>0</v>
      </c>
      <c r="J605" s="9">
        <f>CKadeaTelcoClients_Churn[[#This Row],[Remise]]*CKadeaTelcoClients_Churn[[#This Row],[Facture_Mensuelle]]</f>
        <v>0</v>
      </c>
      <c r="K605">
        <v>604</v>
      </c>
    </row>
    <row r="606" spans="1:11" x14ac:dyDescent="0.35">
      <c r="A606" t="s">
        <v>1499</v>
      </c>
      <c r="B606" t="s">
        <v>699</v>
      </c>
      <c r="C606">
        <v>89</v>
      </c>
      <c r="D606" t="s">
        <v>894</v>
      </c>
      <c r="E606" t="str">
        <f>IF(CKadeaTelcoClients_Churn[[#This Row],[Type_Forfait]]="pro monde","B2B","B2C")</f>
        <v>B2B</v>
      </c>
      <c r="F606">
        <v>381</v>
      </c>
      <c r="G606">
        <v>68.17</v>
      </c>
      <c r="H606">
        <v>0</v>
      </c>
      <c r="I606" s="8">
        <f>IF(AND(F606&gt;720,C606&gt;60),70%,
IF(CKadeaTelcoClients_Churn[[#This Row],[Type_Client]]="B2B",10%,
IF(OR(AND(F606&gt;=240,F606&lt;=720),AND(C606&lt;60,D606="Premium 5G 150Go")),45%,0%)))</f>
        <v>0.1</v>
      </c>
      <c r="J606" s="9">
        <f>CKadeaTelcoClients_Churn[[#This Row],[Remise]]*CKadeaTelcoClients_Churn[[#This Row],[Facture_Mensuelle]]</f>
        <v>6.8170000000000002</v>
      </c>
      <c r="K606">
        <v>605</v>
      </c>
    </row>
    <row r="607" spans="1:11" x14ac:dyDescent="0.35">
      <c r="A607" t="s">
        <v>1500</v>
      </c>
      <c r="B607" t="s">
        <v>690</v>
      </c>
      <c r="C607">
        <v>93</v>
      </c>
      <c r="D607" t="s">
        <v>894</v>
      </c>
      <c r="E607" t="str">
        <f>IF(CKadeaTelcoClients_Churn[[#This Row],[Type_Forfait]]="pro monde","B2B","B2C")</f>
        <v>B2B</v>
      </c>
      <c r="F607">
        <v>56</v>
      </c>
      <c r="G607">
        <v>96.31</v>
      </c>
      <c r="H607">
        <v>4</v>
      </c>
      <c r="I607" s="8">
        <f>IF(AND(F607&gt;720,C607&gt;60),70%,
IF(CKadeaTelcoClients_Churn[[#This Row],[Type_Client]]="B2B",10%,
IF(OR(AND(F607&gt;=240,F607&lt;=720),AND(C607&lt;60,D607="Premium 5G 150Go")),45%,0%)))</f>
        <v>0.1</v>
      </c>
      <c r="J607" s="9">
        <f>CKadeaTelcoClients_Churn[[#This Row],[Remise]]*CKadeaTelcoClients_Churn[[#This Row],[Facture_Mensuelle]]</f>
        <v>9.6310000000000002</v>
      </c>
      <c r="K607">
        <v>606</v>
      </c>
    </row>
    <row r="608" spans="1:11" x14ac:dyDescent="0.35">
      <c r="A608" t="s">
        <v>1501</v>
      </c>
      <c r="B608" t="s">
        <v>675</v>
      </c>
      <c r="C608">
        <v>56</v>
      </c>
      <c r="D608" t="s">
        <v>892</v>
      </c>
      <c r="E608" t="str">
        <f>IF(CKadeaTelcoClients_Churn[[#This Row],[Type_Forfait]]="pro monde","B2B","B2C")</f>
        <v>B2C</v>
      </c>
      <c r="F608">
        <v>123</v>
      </c>
      <c r="G608">
        <v>29.76</v>
      </c>
      <c r="H608">
        <v>5</v>
      </c>
      <c r="I608" s="8">
        <f>IF(AND(F608&gt;720,C608&gt;60),70%,
IF(CKadeaTelcoClients_Churn[[#This Row],[Type_Client]]="B2B",10%,
IF(OR(AND(F608&gt;=240,F608&lt;=720),AND(C608&lt;60,D608="Premium 5G 150Go")),45%,0%)))</f>
        <v>0.45</v>
      </c>
      <c r="J608" s="9">
        <f>CKadeaTelcoClients_Churn[[#This Row],[Remise]]*CKadeaTelcoClients_Churn[[#This Row],[Facture_Mensuelle]]</f>
        <v>13.392000000000001</v>
      </c>
      <c r="K608">
        <v>607</v>
      </c>
    </row>
    <row r="609" spans="1:11" x14ac:dyDescent="0.35">
      <c r="A609" t="s">
        <v>1502</v>
      </c>
      <c r="B609" t="s">
        <v>737</v>
      </c>
      <c r="C609">
        <v>29</v>
      </c>
      <c r="D609" t="s">
        <v>892</v>
      </c>
      <c r="E609" t="str">
        <f>IF(CKadeaTelcoClients_Churn[[#This Row],[Type_Forfait]]="pro monde","B2B","B2C")</f>
        <v>B2C</v>
      </c>
      <c r="F609">
        <v>8</v>
      </c>
      <c r="G609">
        <v>14.78</v>
      </c>
      <c r="H609">
        <v>2</v>
      </c>
      <c r="I609" s="8">
        <f>IF(AND(F609&gt;720,C609&gt;60),70%,
IF(CKadeaTelcoClients_Churn[[#This Row],[Type_Client]]="B2B",10%,
IF(OR(AND(F609&gt;=240,F609&lt;=720),AND(C609&lt;60,D609="Premium 5G 150Go")),45%,0%)))</f>
        <v>0.45</v>
      </c>
      <c r="J609" s="9">
        <f>CKadeaTelcoClients_Churn[[#This Row],[Remise]]*CKadeaTelcoClients_Churn[[#This Row],[Facture_Mensuelle]]</f>
        <v>6.6509999999999998</v>
      </c>
      <c r="K609">
        <v>608</v>
      </c>
    </row>
    <row r="610" spans="1:11" x14ac:dyDescent="0.35">
      <c r="A610" t="s">
        <v>1503</v>
      </c>
      <c r="B610" t="s">
        <v>716</v>
      </c>
      <c r="C610">
        <v>22</v>
      </c>
      <c r="D610" t="s">
        <v>894</v>
      </c>
      <c r="E610" t="str">
        <f>IF(CKadeaTelcoClients_Churn[[#This Row],[Type_Forfait]]="pro monde","B2B","B2C")</f>
        <v>B2B</v>
      </c>
      <c r="F610">
        <v>457</v>
      </c>
      <c r="G610">
        <v>13.21</v>
      </c>
      <c r="H610">
        <v>1</v>
      </c>
      <c r="I610" s="8">
        <f>IF(AND(F610&gt;720,C610&gt;60),70%,
IF(CKadeaTelcoClients_Churn[[#This Row],[Type_Client]]="B2B",10%,
IF(OR(AND(F610&gt;=240,F610&lt;=720),AND(C610&lt;60,D610="Premium 5G 150Go")),45%,0%)))</f>
        <v>0.1</v>
      </c>
      <c r="J610" s="9">
        <f>CKadeaTelcoClients_Churn[[#This Row],[Remise]]*CKadeaTelcoClients_Churn[[#This Row],[Facture_Mensuelle]]</f>
        <v>1.3210000000000002</v>
      </c>
      <c r="K610">
        <v>609</v>
      </c>
    </row>
    <row r="611" spans="1:11" x14ac:dyDescent="0.35">
      <c r="A611" t="s">
        <v>1504</v>
      </c>
      <c r="B611" t="s">
        <v>696</v>
      </c>
      <c r="C611">
        <v>12</v>
      </c>
      <c r="D611" t="s">
        <v>899</v>
      </c>
      <c r="E611" t="str">
        <f>IF(CKadeaTelcoClients_Churn[[#This Row],[Type_Forfait]]="pro monde","B2B","B2C")</f>
        <v>B2C</v>
      </c>
      <c r="F611">
        <v>235</v>
      </c>
      <c r="G611">
        <v>33.96</v>
      </c>
      <c r="H611">
        <v>4</v>
      </c>
      <c r="I611" s="8">
        <f>IF(AND(F611&gt;720,C611&gt;60),70%,
IF(CKadeaTelcoClients_Churn[[#This Row],[Type_Client]]="B2B",10%,
IF(OR(AND(F611&gt;=240,F611&lt;=720),AND(C611&lt;60,D611="Premium 5G 150Go")),45%,0%)))</f>
        <v>0</v>
      </c>
      <c r="J611" s="9">
        <f>CKadeaTelcoClients_Churn[[#This Row],[Remise]]*CKadeaTelcoClients_Churn[[#This Row],[Facture_Mensuelle]]</f>
        <v>0</v>
      </c>
      <c r="K611">
        <v>610</v>
      </c>
    </row>
    <row r="612" spans="1:11" x14ac:dyDescent="0.35">
      <c r="A612" t="s">
        <v>1505</v>
      </c>
      <c r="B612" t="s">
        <v>725</v>
      </c>
      <c r="C612">
        <v>25</v>
      </c>
      <c r="D612" t="s">
        <v>897</v>
      </c>
      <c r="E612" t="str">
        <f>IF(CKadeaTelcoClients_Churn[[#This Row],[Type_Forfait]]="pro monde","B2B","B2C")</f>
        <v>B2C</v>
      </c>
      <c r="F612">
        <v>95</v>
      </c>
      <c r="G612">
        <v>15.93</v>
      </c>
      <c r="H612">
        <v>4</v>
      </c>
      <c r="I612" s="8">
        <f>IF(AND(F612&gt;720,C612&gt;60),70%,
IF(CKadeaTelcoClients_Churn[[#This Row],[Type_Client]]="B2B",10%,
IF(OR(AND(F612&gt;=240,F612&lt;=720),AND(C612&lt;60,D612="Premium 5G 150Go")),45%,0%)))</f>
        <v>0</v>
      </c>
      <c r="J612" s="9">
        <f>CKadeaTelcoClients_Churn[[#This Row],[Remise]]*CKadeaTelcoClients_Churn[[#This Row],[Facture_Mensuelle]]</f>
        <v>0</v>
      </c>
      <c r="K612">
        <v>611</v>
      </c>
    </row>
    <row r="613" spans="1:11" x14ac:dyDescent="0.35">
      <c r="A613" t="s">
        <v>1506</v>
      </c>
      <c r="B613" t="s">
        <v>704</v>
      </c>
      <c r="C613">
        <v>93</v>
      </c>
      <c r="D613" t="s">
        <v>892</v>
      </c>
      <c r="E613" t="str">
        <f>IF(CKadeaTelcoClients_Churn[[#This Row],[Type_Forfait]]="pro monde","B2B","B2C")</f>
        <v>B2C</v>
      </c>
      <c r="F613">
        <v>136</v>
      </c>
      <c r="G613">
        <v>19.09</v>
      </c>
      <c r="H613">
        <v>1</v>
      </c>
      <c r="I613" s="8">
        <f>IF(AND(F613&gt;720,C613&gt;60),70%,
IF(CKadeaTelcoClients_Churn[[#This Row],[Type_Client]]="B2B",10%,
IF(OR(AND(F613&gt;=240,F613&lt;=720),AND(C613&lt;60,D613="Premium 5G 150Go")),45%,0%)))</f>
        <v>0</v>
      </c>
      <c r="J613" s="9">
        <f>CKadeaTelcoClients_Churn[[#This Row],[Remise]]*CKadeaTelcoClients_Churn[[#This Row],[Facture_Mensuelle]]</f>
        <v>0</v>
      </c>
      <c r="K613">
        <v>612</v>
      </c>
    </row>
    <row r="614" spans="1:11" x14ac:dyDescent="0.35">
      <c r="A614" t="s">
        <v>1507</v>
      </c>
      <c r="B614" t="s">
        <v>685</v>
      </c>
      <c r="C614">
        <v>116</v>
      </c>
      <c r="D614" t="s">
        <v>892</v>
      </c>
      <c r="E614" t="str">
        <f>IF(CKadeaTelcoClients_Churn[[#This Row],[Type_Forfait]]="pro monde","B2B","B2C")</f>
        <v>B2C</v>
      </c>
      <c r="F614">
        <v>14</v>
      </c>
      <c r="G614">
        <v>30.38</v>
      </c>
      <c r="H614">
        <v>1</v>
      </c>
      <c r="I614" s="8">
        <f>IF(AND(F614&gt;720,C614&gt;60),70%,
IF(CKadeaTelcoClients_Churn[[#This Row],[Type_Client]]="B2B",10%,
IF(OR(AND(F614&gt;=240,F614&lt;=720),AND(C614&lt;60,D614="Premium 5G 150Go")),45%,0%)))</f>
        <v>0</v>
      </c>
      <c r="J614" s="9">
        <f>CKadeaTelcoClients_Churn[[#This Row],[Remise]]*CKadeaTelcoClients_Churn[[#This Row],[Facture_Mensuelle]]</f>
        <v>0</v>
      </c>
      <c r="K614">
        <v>613</v>
      </c>
    </row>
    <row r="615" spans="1:11" x14ac:dyDescent="0.35">
      <c r="A615" t="s">
        <v>1508</v>
      </c>
      <c r="B615" t="s">
        <v>725</v>
      </c>
      <c r="C615">
        <v>104</v>
      </c>
      <c r="D615" t="s">
        <v>897</v>
      </c>
      <c r="E615" t="str">
        <f>IF(CKadeaTelcoClients_Churn[[#This Row],[Type_Forfait]]="pro monde","B2B","B2C")</f>
        <v>B2C</v>
      </c>
      <c r="F615">
        <v>243</v>
      </c>
      <c r="G615">
        <v>65.819999999999993</v>
      </c>
      <c r="H615">
        <v>0</v>
      </c>
      <c r="I615" s="8">
        <f>IF(AND(F615&gt;720,C615&gt;60),70%,
IF(CKadeaTelcoClients_Churn[[#This Row],[Type_Client]]="B2B",10%,
IF(OR(AND(F615&gt;=240,F615&lt;=720),AND(C615&lt;60,D615="Premium 5G 150Go")),45%,0%)))</f>
        <v>0.45</v>
      </c>
      <c r="J615" s="9">
        <f>CKadeaTelcoClients_Churn[[#This Row],[Remise]]*CKadeaTelcoClients_Churn[[#This Row],[Facture_Mensuelle]]</f>
        <v>29.618999999999996</v>
      </c>
      <c r="K615">
        <v>614</v>
      </c>
    </row>
    <row r="616" spans="1:11" x14ac:dyDescent="0.35">
      <c r="A616" t="s">
        <v>1509</v>
      </c>
      <c r="B616" t="s">
        <v>688</v>
      </c>
      <c r="C616">
        <v>48</v>
      </c>
      <c r="D616" t="s">
        <v>892</v>
      </c>
      <c r="E616" t="str">
        <f>IF(CKadeaTelcoClients_Churn[[#This Row],[Type_Forfait]]="pro monde","B2B","B2C")</f>
        <v>B2C</v>
      </c>
      <c r="F616">
        <v>338</v>
      </c>
      <c r="G616">
        <v>74.42</v>
      </c>
      <c r="H616">
        <v>0</v>
      </c>
      <c r="I616" s="8">
        <f>IF(AND(F616&gt;720,C616&gt;60),70%,
IF(CKadeaTelcoClients_Churn[[#This Row],[Type_Client]]="B2B",10%,
IF(OR(AND(F616&gt;=240,F616&lt;=720),AND(C616&lt;60,D616="Premium 5G 150Go")),45%,0%)))</f>
        <v>0.45</v>
      </c>
      <c r="J616" s="9">
        <f>CKadeaTelcoClients_Churn[[#This Row],[Remise]]*CKadeaTelcoClients_Churn[[#This Row],[Facture_Mensuelle]]</f>
        <v>33.489000000000004</v>
      </c>
      <c r="K616">
        <v>615</v>
      </c>
    </row>
    <row r="617" spans="1:11" x14ac:dyDescent="0.35">
      <c r="A617" t="s">
        <v>1510</v>
      </c>
      <c r="B617" t="s">
        <v>738</v>
      </c>
      <c r="C617">
        <v>105</v>
      </c>
      <c r="D617" t="s">
        <v>899</v>
      </c>
      <c r="E617" t="str">
        <f>IF(CKadeaTelcoClients_Churn[[#This Row],[Type_Forfait]]="pro monde","B2B","B2C")</f>
        <v>B2C</v>
      </c>
      <c r="F617">
        <v>271</v>
      </c>
      <c r="G617">
        <v>45.27</v>
      </c>
      <c r="H617">
        <v>2</v>
      </c>
      <c r="I617" s="8">
        <f>IF(AND(F617&gt;720,C617&gt;60),70%,
IF(CKadeaTelcoClients_Churn[[#This Row],[Type_Client]]="B2B",10%,
IF(OR(AND(F617&gt;=240,F617&lt;=720),AND(C617&lt;60,D617="Premium 5G 150Go")),45%,0%)))</f>
        <v>0.45</v>
      </c>
      <c r="J617" s="9">
        <f>CKadeaTelcoClients_Churn[[#This Row],[Remise]]*CKadeaTelcoClients_Churn[[#This Row],[Facture_Mensuelle]]</f>
        <v>20.371500000000001</v>
      </c>
      <c r="K617">
        <v>616</v>
      </c>
    </row>
    <row r="618" spans="1:11" x14ac:dyDescent="0.35">
      <c r="A618" t="s">
        <v>1511</v>
      </c>
      <c r="B618" t="s">
        <v>690</v>
      </c>
      <c r="C618">
        <v>116</v>
      </c>
      <c r="D618" t="s">
        <v>899</v>
      </c>
      <c r="E618" t="str">
        <f>IF(CKadeaTelcoClients_Churn[[#This Row],[Type_Forfait]]="pro monde","B2B","B2C")</f>
        <v>B2C</v>
      </c>
      <c r="F618">
        <v>231</v>
      </c>
      <c r="G618">
        <v>19.12</v>
      </c>
      <c r="H618">
        <v>5</v>
      </c>
      <c r="I618" s="8">
        <f>IF(AND(F618&gt;720,C618&gt;60),70%,
IF(CKadeaTelcoClients_Churn[[#This Row],[Type_Client]]="B2B",10%,
IF(OR(AND(F618&gt;=240,F618&lt;=720),AND(C618&lt;60,D618="Premium 5G 150Go")),45%,0%)))</f>
        <v>0</v>
      </c>
      <c r="J618" s="9">
        <f>CKadeaTelcoClients_Churn[[#This Row],[Remise]]*CKadeaTelcoClients_Churn[[#This Row],[Facture_Mensuelle]]</f>
        <v>0</v>
      </c>
      <c r="K618">
        <v>617</v>
      </c>
    </row>
    <row r="619" spans="1:11" x14ac:dyDescent="0.35">
      <c r="A619" t="s">
        <v>1512</v>
      </c>
      <c r="B619" t="s">
        <v>726</v>
      </c>
      <c r="C619">
        <v>69</v>
      </c>
      <c r="D619" t="s">
        <v>897</v>
      </c>
      <c r="E619" t="str">
        <f>IF(CKadeaTelcoClients_Churn[[#This Row],[Type_Forfait]]="pro monde","B2B","B2C")</f>
        <v>B2C</v>
      </c>
      <c r="F619">
        <v>180</v>
      </c>
      <c r="G619">
        <v>76.05</v>
      </c>
      <c r="H619">
        <v>2</v>
      </c>
      <c r="I619" s="8">
        <f>IF(AND(F619&gt;720,C619&gt;60),70%,
IF(CKadeaTelcoClients_Churn[[#This Row],[Type_Client]]="B2B",10%,
IF(OR(AND(F619&gt;=240,F619&lt;=720),AND(C619&lt;60,D619="Premium 5G 150Go")),45%,0%)))</f>
        <v>0</v>
      </c>
      <c r="J619" s="9">
        <f>CKadeaTelcoClients_Churn[[#This Row],[Remise]]*CKadeaTelcoClients_Churn[[#This Row],[Facture_Mensuelle]]</f>
        <v>0</v>
      </c>
      <c r="K619">
        <v>618</v>
      </c>
    </row>
    <row r="620" spans="1:11" x14ac:dyDescent="0.35">
      <c r="A620" t="s">
        <v>1513</v>
      </c>
      <c r="B620" t="s">
        <v>707</v>
      </c>
      <c r="C620">
        <v>1</v>
      </c>
      <c r="D620" t="s">
        <v>897</v>
      </c>
      <c r="E620" t="str">
        <f>IF(CKadeaTelcoClients_Churn[[#This Row],[Type_Forfait]]="pro monde","B2B","B2C")</f>
        <v>B2C</v>
      </c>
      <c r="F620">
        <v>135</v>
      </c>
      <c r="G620">
        <v>89.16</v>
      </c>
      <c r="H620">
        <v>3</v>
      </c>
      <c r="I620" s="8">
        <f>IF(AND(F620&gt;720,C620&gt;60),70%,
IF(CKadeaTelcoClients_Churn[[#This Row],[Type_Client]]="B2B",10%,
IF(OR(AND(F620&gt;=240,F620&lt;=720),AND(C620&lt;60,D620="Premium 5G 150Go")),45%,0%)))</f>
        <v>0</v>
      </c>
      <c r="J620" s="9">
        <f>CKadeaTelcoClients_Churn[[#This Row],[Remise]]*CKadeaTelcoClients_Churn[[#This Row],[Facture_Mensuelle]]</f>
        <v>0</v>
      </c>
      <c r="K620">
        <v>619</v>
      </c>
    </row>
    <row r="621" spans="1:11" x14ac:dyDescent="0.35">
      <c r="A621" t="s">
        <v>1514</v>
      </c>
      <c r="B621" t="s">
        <v>679</v>
      </c>
      <c r="C621">
        <v>120</v>
      </c>
      <c r="D621" t="s">
        <v>894</v>
      </c>
      <c r="E621" t="str">
        <f>IF(CKadeaTelcoClients_Churn[[#This Row],[Type_Forfait]]="pro monde","B2B","B2C")</f>
        <v>B2B</v>
      </c>
      <c r="F621">
        <v>60</v>
      </c>
      <c r="G621">
        <v>34.14</v>
      </c>
      <c r="H621">
        <v>3</v>
      </c>
      <c r="I621" s="8">
        <f>IF(AND(F621&gt;720,C621&gt;60),70%,
IF(CKadeaTelcoClients_Churn[[#This Row],[Type_Client]]="B2B",10%,
IF(OR(AND(F621&gt;=240,F621&lt;=720),AND(C621&lt;60,D621="Premium 5G 150Go")),45%,0%)))</f>
        <v>0.1</v>
      </c>
      <c r="J621" s="9">
        <f>CKadeaTelcoClients_Churn[[#This Row],[Remise]]*CKadeaTelcoClients_Churn[[#This Row],[Facture_Mensuelle]]</f>
        <v>3.4140000000000001</v>
      </c>
      <c r="K621">
        <v>620</v>
      </c>
    </row>
    <row r="622" spans="1:11" x14ac:dyDescent="0.35">
      <c r="A622" t="s">
        <v>1515</v>
      </c>
      <c r="B622" t="s">
        <v>722</v>
      </c>
      <c r="C622">
        <v>89</v>
      </c>
      <c r="D622" t="s">
        <v>897</v>
      </c>
      <c r="E622" t="str">
        <f>IF(CKadeaTelcoClients_Churn[[#This Row],[Type_Forfait]]="pro monde","B2B","B2C")</f>
        <v>B2C</v>
      </c>
      <c r="F622">
        <v>474</v>
      </c>
      <c r="G622">
        <v>28.51</v>
      </c>
      <c r="H622">
        <v>5</v>
      </c>
      <c r="I622" s="8">
        <f>IF(AND(F622&gt;720,C622&gt;60),70%,
IF(CKadeaTelcoClients_Churn[[#This Row],[Type_Client]]="B2B",10%,
IF(OR(AND(F622&gt;=240,F622&lt;=720),AND(C622&lt;60,D622="Premium 5G 150Go")),45%,0%)))</f>
        <v>0.45</v>
      </c>
      <c r="J622" s="9">
        <f>CKadeaTelcoClients_Churn[[#This Row],[Remise]]*CKadeaTelcoClients_Churn[[#This Row],[Facture_Mensuelle]]</f>
        <v>12.829500000000001</v>
      </c>
      <c r="K622">
        <v>621</v>
      </c>
    </row>
    <row r="623" spans="1:11" x14ac:dyDescent="0.35">
      <c r="A623" t="s">
        <v>1516</v>
      </c>
      <c r="B623" t="s">
        <v>711</v>
      </c>
      <c r="C623">
        <v>112</v>
      </c>
      <c r="D623" t="s">
        <v>899</v>
      </c>
      <c r="E623" t="str">
        <f>IF(CKadeaTelcoClients_Churn[[#This Row],[Type_Forfait]]="pro monde","B2B","B2C")</f>
        <v>B2C</v>
      </c>
      <c r="F623">
        <v>281</v>
      </c>
      <c r="G623">
        <v>80.72</v>
      </c>
      <c r="H623">
        <v>2</v>
      </c>
      <c r="I623" s="8">
        <f>IF(AND(F623&gt;720,C623&gt;60),70%,
IF(CKadeaTelcoClients_Churn[[#This Row],[Type_Client]]="B2B",10%,
IF(OR(AND(F623&gt;=240,F623&lt;=720),AND(C623&lt;60,D623="Premium 5G 150Go")),45%,0%)))</f>
        <v>0.45</v>
      </c>
      <c r="J623" s="9">
        <f>CKadeaTelcoClients_Churn[[#This Row],[Remise]]*CKadeaTelcoClients_Churn[[#This Row],[Facture_Mensuelle]]</f>
        <v>36.323999999999998</v>
      </c>
      <c r="K623">
        <v>622</v>
      </c>
    </row>
    <row r="624" spans="1:11" x14ac:dyDescent="0.35">
      <c r="A624" t="s">
        <v>1517</v>
      </c>
      <c r="B624" t="s">
        <v>719</v>
      </c>
      <c r="C624">
        <v>7</v>
      </c>
      <c r="D624" t="s">
        <v>897</v>
      </c>
      <c r="E624" t="str">
        <f>IF(CKadeaTelcoClients_Churn[[#This Row],[Type_Forfait]]="pro monde","B2B","B2C")</f>
        <v>B2C</v>
      </c>
      <c r="F624">
        <v>43</v>
      </c>
      <c r="G624">
        <v>41.29</v>
      </c>
      <c r="H624">
        <v>4</v>
      </c>
      <c r="I624" s="8">
        <f>IF(AND(F624&gt;720,C624&gt;60),70%,
IF(CKadeaTelcoClients_Churn[[#This Row],[Type_Client]]="B2B",10%,
IF(OR(AND(F624&gt;=240,F624&lt;=720),AND(C624&lt;60,D624="Premium 5G 150Go")),45%,0%)))</f>
        <v>0</v>
      </c>
      <c r="J624" s="9">
        <f>CKadeaTelcoClients_Churn[[#This Row],[Remise]]*CKadeaTelcoClients_Churn[[#This Row],[Facture_Mensuelle]]</f>
        <v>0</v>
      </c>
      <c r="K624">
        <v>623</v>
      </c>
    </row>
    <row r="625" spans="1:11" x14ac:dyDescent="0.35">
      <c r="A625" t="s">
        <v>1518</v>
      </c>
      <c r="B625" t="s">
        <v>737</v>
      </c>
      <c r="C625">
        <v>34</v>
      </c>
      <c r="D625" t="s">
        <v>899</v>
      </c>
      <c r="E625" t="str">
        <f>IF(CKadeaTelcoClients_Churn[[#This Row],[Type_Forfait]]="pro monde","B2B","B2C")</f>
        <v>B2C</v>
      </c>
      <c r="F625">
        <v>181</v>
      </c>
      <c r="G625">
        <v>35.92</v>
      </c>
      <c r="H625">
        <v>2</v>
      </c>
      <c r="I625" s="8">
        <f>IF(AND(F625&gt;720,C625&gt;60),70%,
IF(CKadeaTelcoClients_Churn[[#This Row],[Type_Client]]="B2B",10%,
IF(OR(AND(F625&gt;=240,F625&lt;=720),AND(C625&lt;60,D625="Premium 5G 150Go")),45%,0%)))</f>
        <v>0</v>
      </c>
      <c r="J625" s="9">
        <f>CKadeaTelcoClients_Churn[[#This Row],[Remise]]*CKadeaTelcoClients_Churn[[#This Row],[Facture_Mensuelle]]</f>
        <v>0</v>
      </c>
      <c r="K625">
        <v>624</v>
      </c>
    </row>
    <row r="626" spans="1:11" x14ac:dyDescent="0.35">
      <c r="A626" t="s">
        <v>1519</v>
      </c>
      <c r="B626" t="s">
        <v>702</v>
      </c>
      <c r="C626">
        <v>114</v>
      </c>
      <c r="D626" t="s">
        <v>894</v>
      </c>
      <c r="E626" t="str">
        <f>IF(CKadeaTelcoClients_Churn[[#This Row],[Type_Forfait]]="pro monde","B2B","B2C")</f>
        <v>B2B</v>
      </c>
      <c r="F626">
        <v>220</v>
      </c>
      <c r="G626">
        <v>63.67</v>
      </c>
      <c r="H626">
        <v>5</v>
      </c>
      <c r="I626" s="8">
        <f>IF(AND(F626&gt;720,C626&gt;60),70%,
IF(CKadeaTelcoClients_Churn[[#This Row],[Type_Client]]="B2B",10%,
IF(OR(AND(F626&gt;=240,F626&lt;=720),AND(C626&lt;60,D626="Premium 5G 150Go")),45%,0%)))</f>
        <v>0.1</v>
      </c>
      <c r="J626" s="9">
        <f>CKadeaTelcoClients_Churn[[#This Row],[Remise]]*CKadeaTelcoClients_Churn[[#This Row],[Facture_Mensuelle]]</f>
        <v>6.3670000000000009</v>
      </c>
      <c r="K626">
        <v>625</v>
      </c>
    </row>
    <row r="627" spans="1:11" x14ac:dyDescent="0.35">
      <c r="A627" t="s">
        <v>1520</v>
      </c>
      <c r="B627" t="s">
        <v>688</v>
      </c>
      <c r="C627">
        <v>101</v>
      </c>
      <c r="D627" t="s">
        <v>894</v>
      </c>
      <c r="E627" t="str">
        <f>IF(CKadeaTelcoClients_Churn[[#This Row],[Type_Forfait]]="pro monde","B2B","B2C")</f>
        <v>B2B</v>
      </c>
      <c r="F627">
        <v>108</v>
      </c>
      <c r="G627">
        <v>76.05</v>
      </c>
      <c r="H627">
        <v>3</v>
      </c>
      <c r="I627" s="8">
        <f>IF(AND(F627&gt;720,C627&gt;60),70%,
IF(CKadeaTelcoClients_Churn[[#This Row],[Type_Client]]="B2B",10%,
IF(OR(AND(F627&gt;=240,F627&lt;=720),AND(C627&lt;60,D627="Premium 5G 150Go")),45%,0%)))</f>
        <v>0.1</v>
      </c>
      <c r="J627" s="9">
        <f>CKadeaTelcoClients_Churn[[#This Row],[Remise]]*CKadeaTelcoClients_Churn[[#This Row],[Facture_Mensuelle]]</f>
        <v>7.6050000000000004</v>
      </c>
      <c r="K627">
        <v>626</v>
      </c>
    </row>
    <row r="628" spans="1:11" x14ac:dyDescent="0.35">
      <c r="A628" t="s">
        <v>1521</v>
      </c>
      <c r="B628" t="s">
        <v>714</v>
      </c>
      <c r="C628">
        <v>6</v>
      </c>
      <c r="D628" t="s">
        <v>899</v>
      </c>
      <c r="E628" t="str">
        <f>IF(CKadeaTelcoClients_Churn[[#This Row],[Type_Forfait]]="pro monde","B2B","B2C")</f>
        <v>B2C</v>
      </c>
      <c r="F628">
        <v>77</v>
      </c>
      <c r="G628">
        <v>18.48</v>
      </c>
      <c r="H628">
        <v>2</v>
      </c>
      <c r="I628" s="8">
        <f>IF(AND(F628&gt;720,C628&gt;60),70%,
IF(CKadeaTelcoClients_Churn[[#This Row],[Type_Client]]="B2B",10%,
IF(OR(AND(F628&gt;=240,F628&lt;=720),AND(C628&lt;60,D628="Premium 5G 150Go")),45%,0%)))</f>
        <v>0</v>
      </c>
      <c r="J628" s="9">
        <f>CKadeaTelcoClients_Churn[[#This Row],[Remise]]*CKadeaTelcoClients_Churn[[#This Row],[Facture_Mensuelle]]</f>
        <v>0</v>
      </c>
      <c r="K628">
        <v>627</v>
      </c>
    </row>
    <row r="629" spans="1:11" x14ac:dyDescent="0.35">
      <c r="A629" t="s">
        <v>1522</v>
      </c>
      <c r="B629" t="s">
        <v>700</v>
      </c>
      <c r="C629">
        <v>15</v>
      </c>
      <c r="D629" t="s">
        <v>894</v>
      </c>
      <c r="E629" t="str">
        <f>IF(CKadeaTelcoClients_Churn[[#This Row],[Type_Forfait]]="pro monde","B2B","B2C")</f>
        <v>B2B</v>
      </c>
      <c r="F629">
        <v>203</v>
      </c>
      <c r="G629">
        <v>55.29</v>
      </c>
      <c r="H629">
        <v>2</v>
      </c>
      <c r="I629" s="8">
        <f>IF(AND(F629&gt;720,C629&gt;60),70%,
IF(CKadeaTelcoClients_Churn[[#This Row],[Type_Client]]="B2B",10%,
IF(OR(AND(F629&gt;=240,F629&lt;=720),AND(C629&lt;60,D629="Premium 5G 150Go")),45%,0%)))</f>
        <v>0.1</v>
      </c>
      <c r="J629" s="9">
        <f>CKadeaTelcoClients_Churn[[#This Row],[Remise]]*CKadeaTelcoClients_Churn[[#This Row],[Facture_Mensuelle]]</f>
        <v>5.5289999999999999</v>
      </c>
      <c r="K629">
        <v>628</v>
      </c>
    </row>
    <row r="630" spans="1:11" x14ac:dyDescent="0.35">
      <c r="A630" t="s">
        <v>1523</v>
      </c>
      <c r="B630" t="s">
        <v>696</v>
      </c>
      <c r="C630">
        <v>7</v>
      </c>
      <c r="D630" t="s">
        <v>897</v>
      </c>
      <c r="E630" t="str">
        <f>IF(CKadeaTelcoClients_Churn[[#This Row],[Type_Forfait]]="pro monde","B2B","B2C")</f>
        <v>B2C</v>
      </c>
      <c r="F630">
        <v>257</v>
      </c>
      <c r="G630">
        <v>73.040000000000006</v>
      </c>
      <c r="H630">
        <v>3</v>
      </c>
      <c r="I630" s="8">
        <f>IF(AND(F630&gt;720,C630&gt;60),70%,
IF(CKadeaTelcoClients_Churn[[#This Row],[Type_Client]]="B2B",10%,
IF(OR(AND(F630&gt;=240,F630&lt;=720),AND(C630&lt;60,D630="Premium 5G 150Go")),45%,0%)))</f>
        <v>0.45</v>
      </c>
      <c r="J630" s="9">
        <f>CKadeaTelcoClients_Churn[[#This Row],[Remise]]*CKadeaTelcoClients_Churn[[#This Row],[Facture_Mensuelle]]</f>
        <v>32.868000000000002</v>
      </c>
      <c r="K630">
        <v>629</v>
      </c>
    </row>
    <row r="631" spans="1:11" x14ac:dyDescent="0.35">
      <c r="A631" t="s">
        <v>1524</v>
      </c>
      <c r="B631" t="s">
        <v>726</v>
      </c>
      <c r="C631">
        <v>39</v>
      </c>
      <c r="D631" t="s">
        <v>892</v>
      </c>
      <c r="E631" t="str">
        <f>IF(CKadeaTelcoClients_Churn[[#This Row],[Type_Forfait]]="pro monde","B2B","B2C")</f>
        <v>B2C</v>
      </c>
      <c r="F631">
        <v>220</v>
      </c>
      <c r="G631">
        <v>52.91</v>
      </c>
      <c r="H631">
        <v>0</v>
      </c>
      <c r="I631" s="8">
        <f>IF(AND(F631&gt;720,C631&gt;60),70%,
IF(CKadeaTelcoClients_Churn[[#This Row],[Type_Client]]="B2B",10%,
IF(OR(AND(F631&gt;=240,F631&lt;=720),AND(C631&lt;60,D631="Premium 5G 150Go")),45%,0%)))</f>
        <v>0.45</v>
      </c>
      <c r="J631" s="9">
        <f>CKadeaTelcoClients_Churn[[#This Row],[Remise]]*CKadeaTelcoClients_Churn[[#This Row],[Facture_Mensuelle]]</f>
        <v>23.8095</v>
      </c>
      <c r="K631">
        <v>630</v>
      </c>
    </row>
    <row r="632" spans="1:11" x14ac:dyDescent="0.35">
      <c r="A632" t="s">
        <v>1525</v>
      </c>
      <c r="B632" t="s">
        <v>704</v>
      </c>
      <c r="C632">
        <v>10</v>
      </c>
      <c r="D632" t="s">
        <v>899</v>
      </c>
      <c r="E632" t="str">
        <f>IF(CKadeaTelcoClients_Churn[[#This Row],[Type_Forfait]]="pro monde","B2B","B2C")</f>
        <v>B2C</v>
      </c>
      <c r="F632">
        <v>260</v>
      </c>
      <c r="G632">
        <v>37.479999999999997</v>
      </c>
      <c r="H632">
        <v>2</v>
      </c>
      <c r="I632" s="8">
        <f>IF(AND(F632&gt;720,C632&gt;60),70%,
IF(CKadeaTelcoClients_Churn[[#This Row],[Type_Client]]="B2B",10%,
IF(OR(AND(F632&gt;=240,F632&lt;=720),AND(C632&lt;60,D632="Premium 5G 150Go")),45%,0%)))</f>
        <v>0.45</v>
      </c>
      <c r="J632" s="9">
        <f>CKadeaTelcoClients_Churn[[#This Row],[Remise]]*CKadeaTelcoClients_Churn[[#This Row],[Facture_Mensuelle]]</f>
        <v>16.866</v>
      </c>
      <c r="K632">
        <v>631</v>
      </c>
    </row>
    <row r="633" spans="1:11" x14ac:dyDescent="0.35">
      <c r="A633" t="s">
        <v>1526</v>
      </c>
      <c r="B633" t="s">
        <v>714</v>
      </c>
      <c r="C633">
        <v>34</v>
      </c>
      <c r="D633" t="s">
        <v>892</v>
      </c>
      <c r="E633" t="str">
        <f>IF(CKadeaTelcoClients_Churn[[#This Row],[Type_Forfait]]="pro monde","B2B","B2C")</f>
        <v>B2C</v>
      </c>
      <c r="F633">
        <v>170</v>
      </c>
      <c r="G633">
        <v>91.6</v>
      </c>
      <c r="H633">
        <v>2</v>
      </c>
      <c r="I633" s="8">
        <f>IF(AND(F633&gt;720,C633&gt;60),70%,
IF(CKadeaTelcoClients_Churn[[#This Row],[Type_Client]]="B2B",10%,
IF(OR(AND(F633&gt;=240,F633&lt;=720),AND(C633&lt;60,D633="Premium 5G 150Go")),45%,0%)))</f>
        <v>0.45</v>
      </c>
      <c r="J633" s="9">
        <f>CKadeaTelcoClients_Churn[[#This Row],[Remise]]*CKadeaTelcoClients_Churn[[#This Row],[Facture_Mensuelle]]</f>
        <v>41.22</v>
      </c>
      <c r="K633">
        <v>632</v>
      </c>
    </row>
    <row r="634" spans="1:11" x14ac:dyDescent="0.35">
      <c r="A634" t="s">
        <v>1527</v>
      </c>
      <c r="B634" t="s">
        <v>688</v>
      </c>
      <c r="C634">
        <v>43</v>
      </c>
      <c r="D634" t="s">
        <v>892</v>
      </c>
      <c r="E634" t="str">
        <f>IF(CKadeaTelcoClients_Churn[[#This Row],[Type_Forfait]]="pro monde","B2B","B2C")</f>
        <v>B2C</v>
      </c>
      <c r="F634">
        <v>27</v>
      </c>
      <c r="G634">
        <v>31.48</v>
      </c>
      <c r="H634">
        <v>5</v>
      </c>
      <c r="I634" s="8">
        <f>IF(AND(F634&gt;720,C634&gt;60),70%,
IF(CKadeaTelcoClients_Churn[[#This Row],[Type_Client]]="B2B",10%,
IF(OR(AND(F634&gt;=240,F634&lt;=720),AND(C634&lt;60,D634="Premium 5G 150Go")),45%,0%)))</f>
        <v>0.45</v>
      </c>
      <c r="J634" s="9">
        <f>CKadeaTelcoClients_Churn[[#This Row],[Remise]]*CKadeaTelcoClients_Churn[[#This Row],[Facture_Mensuelle]]</f>
        <v>14.166</v>
      </c>
      <c r="K634">
        <v>633</v>
      </c>
    </row>
    <row r="635" spans="1:11" x14ac:dyDescent="0.35">
      <c r="A635" t="s">
        <v>1528</v>
      </c>
      <c r="B635" t="s">
        <v>707</v>
      </c>
      <c r="C635">
        <v>89</v>
      </c>
      <c r="D635" t="s">
        <v>894</v>
      </c>
      <c r="E635" t="str">
        <f>IF(CKadeaTelcoClients_Churn[[#This Row],[Type_Forfait]]="pro monde","B2B","B2C")</f>
        <v>B2B</v>
      </c>
      <c r="F635">
        <v>225</v>
      </c>
      <c r="G635">
        <v>38.36</v>
      </c>
      <c r="H635">
        <v>2</v>
      </c>
      <c r="I635" s="8">
        <f>IF(AND(F635&gt;720,C635&gt;60),70%,
IF(CKadeaTelcoClients_Churn[[#This Row],[Type_Client]]="B2B",10%,
IF(OR(AND(F635&gt;=240,F635&lt;=720),AND(C635&lt;60,D635="Premium 5G 150Go")),45%,0%)))</f>
        <v>0.1</v>
      </c>
      <c r="J635" s="9">
        <f>CKadeaTelcoClients_Churn[[#This Row],[Remise]]*CKadeaTelcoClients_Churn[[#This Row],[Facture_Mensuelle]]</f>
        <v>3.8360000000000003</v>
      </c>
      <c r="K635">
        <v>634</v>
      </c>
    </row>
    <row r="636" spans="1:11" x14ac:dyDescent="0.35">
      <c r="A636" t="s">
        <v>1529</v>
      </c>
      <c r="B636" t="s">
        <v>701</v>
      </c>
      <c r="C636">
        <v>79</v>
      </c>
      <c r="D636" t="s">
        <v>899</v>
      </c>
      <c r="E636" t="str">
        <f>IF(CKadeaTelcoClients_Churn[[#This Row],[Type_Forfait]]="pro monde","B2B","B2C")</f>
        <v>B2C</v>
      </c>
      <c r="F636">
        <v>139</v>
      </c>
      <c r="G636">
        <v>16.25</v>
      </c>
      <c r="H636">
        <v>4</v>
      </c>
      <c r="I636" s="8">
        <f>IF(AND(F636&gt;720,C636&gt;60),70%,
IF(CKadeaTelcoClients_Churn[[#This Row],[Type_Client]]="B2B",10%,
IF(OR(AND(F636&gt;=240,F636&lt;=720),AND(C636&lt;60,D636="Premium 5G 150Go")),45%,0%)))</f>
        <v>0</v>
      </c>
      <c r="J636" s="9">
        <f>CKadeaTelcoClients_Churn[[#This Row],[Remise]]*CKadeaTelcoClients_Churn[[#This Row],[Facture_Mensuelle]]</f>
        <v>0</v>
      </c>
      <c r="K636">
        <v>635</v>
      </c>
    </row>
    <row r="637" spans="1:11" x14ac:dyDescent="0.35">
      <c r="A637" t="s">
        <v>1530</v>
      </c>
      <c r="B637" t="s">
        <v>725</v>
      </c>
      <c r="C637">
        <v>102</v>
      </c>
      <c r="D637" t="s">
        <v>897</v>
      </c>
      <c r="E637" t="str">
        <f>IF(CKadeaTelcoClients_Churn[[#This Row],[Type_Forfait]]="pro monde","B2B","B2C")</f>
        <v>B2C</v>
      </c>
      <c r="F637">
        <v>189</v>
      </c>
      <c r="G637">
        <v>26.86</v>
      </c>
      <c r="H637">
        <v>5</v>
      </c>
      <c r="I637" s="8">
        <f>IF(AND(F637&gt;720,C637&gt;60),70%,
IF(CKadeaTelcoClients_Churn[[#This Row],[Type_Client]]="B2B",10%,
IF(OR(AND(F637&gt;=240,F637&lt;=720),AND(C637&lt;60,D637="Premium 5G 150Go")),45%,0%)))</f>
        <v>0</v>
      </c>
      <c r="J637" s="9">
        <f>CKadeaTelcoClients_Churn[[#This Row],[Remise]]*CKadeaTelcoClients_Churn[[#This Row],[Facture_Mensuelle]]</f>
        <v>0</v>
      </c>
      <c r="K637">
        <v>636</v>
      </c>
    </row>
    <row r="638" spans="1:11" x14ac:dyDescent="0.35">
      <c r="A638" t="s">
        <v>1531</v>
      </c>
      <c r="B638" t="s">
        <v>696</v>
      </c>
      <c r="C638">
        <v>104</v>
      </c>
      <c r="D638" t="s">
        <v>899</v>
      </c>
      <c r="E638" t="str">
        <f>IF(CKadeaTelcoClients_Churn[[#This Row],[Type_Forfait]]="pro monde","B2B","B2C")</f>
        <v>B2C</v>
      </c>
      <c r="F638">
        <v>50</v>
      </c>
      <c r="G638">
        <v>90.99</v>
      </c>
      <c r="H638">
        <v>4</v>
      </c>
      <c r="I638" s="8">
        <f>IF(AND(F638&gt;720,C638&gt;60),70%,
IF(CKadeaTelcoClients_Churn[[#This Row],[Type_Client]]="B2B",10%,
IF(OR(AND(F638&gt;=240,F638&lt;=720),AND(C638&lt;60,D638="Premium 5G 150Go")),45%,0%)))</f>
        <v>0</v>
      </c>
      <c r="J638" s="9">
        <f>CKadeaTelcoClients_Churn[[#This Row],[Remise]]*CKadeaTelcoClients_Churn[[#This Row],[Facture_Mensuelle]]</f>
        <v>0</v>
      </c>
      <c r="K638">
        <v>637</v>
      </c>
    </row>
    <row r="639" spans="1:11" x14ac:dyDescent="0.35">
      <c r="A639" t="s">
        <v>1532</v>
      </c>
      <c r="B639" t="s">
        <v>737</v>
      </c>
      <c r="C639">
        <v>49</v>
      </c>
      <c r="D639" t="s">
        <v>899</v>
      </c>
      <c r="E639" t="str">
        <f>IF(CKadeaTelcoClients_Churn[[#This Row],[Type_Forfait]]="pro monde","B2B","B2C")</f>
        <v>B2C</v>
      </c>
      <c r="F639">
        <v>25</v>
      </c>
      <c r="G639">
        <v>22.77</v>
      </c>
      <c r="H639">
        <v>3</v>
      </c>
      <c r="I639" s="8">
        <f>IF(AND(F639&gt;720,C639&gt;60),70%,
IF(CKadeaTelcoClients_Churn[[#This Row],[Type_Client]]="B2B",10%,
IF(OR(AND(F639&gt;=240,F639&lt;=720),AND(C639&lt;60,D639="Premium 5G 150Go")),45%,0%)))</f>
        <v>0</v>
      </c>
      <c r="J639" s="9">
        <f>CKadeaTelcoClients_Churn[[#This Row],[Remise]]*CKadeaTelcoClients_Churn[[#This Row],[Facture_Mensuelle]]</f>
        <v>0</v>
      </c>
      <c r="K639">
        <v>638</v>
      </c>
    </row>
    <row r="640" spans="1:11" x14ac:dyDescent="0.35">
      <c r="A640" t="s">
        <v>1533</v>
      </c>
      <c r="B640" t="s">
        <v>682</v>
      </c>
      <c r="C640">
        <v>35</v>
      </c>
      <c r="D640" t="s">
        <v>892</v>
      </c>
      <c r="E640" t="str">
        <f>IF(CKadeaTelcoClients_Churn[[#This Row],[Type_Forfait]]="pro monde","B2B","B2C")</f>
        <v>B2C</v>
      </c>
      <c r="F640">
        <v>332</v>
      </c>
      <c r="G640">
        <v>11.15</v>
      </c>
      <c r="H640">
        <v>0</v>
      </c>
      <c r="I640" s="8">
        <f>IF(AND(F640&gt;720,C640&gt;60),70%,
IF(CKadeaTelcoClients_Churn[[#This Row],[Type_Client]]="B2B",10%,
IF(OR(AND(F640&gt;=240,F640&lt;=720),AND(C640&lt;60,D640="Premium 5G 150Go")),45%,0%)))</f>
        <v>0.45</v>
      </c>
      <c r="J640" s="9">
        <f>CKadeaTelcoClients_Churn[[#This Row],[Remise]]*CKadeaTelcoClients_Churn[[#This Row],[Facture_Mensuelle]]</f>
        <v>5.0175000000000001</v>
      </c>
      <c r="K640">
        <v>639</v>
      </c>
    </row>
    <row r="641" spans="1:11" x14ac:dyDescent="0.35">
      <c r="A641" t="s">
        <v>1534</v>
      </c>
      <c r="B641" t="s">
        <v>675</v>
      </c>
      <c r="C641">
        <v>90</v>
      </c>
      <c r="D641" t="s">
        <v>894</v>
      </c>
      <c r="E641" t="str">
        <f>IF(CKadeaTelcoClients_Churn[[#This Row],[Type_Forfait]]="pro monde","B2B","B2C")</f>
        <v>B2B</v>
      </c>
      <c r="F641">
        <v>195</v>
      </c>
      <c r="G641">
        <v>52.71</v>
      </c>
      <c r="H641">
        <v>2</v>
      </c>
      <c r="I641" s="8">
        <f>IF(AND(F641&gt;720,C641&gt;60),70%,
IF(CKadeaTelcoClients_Churn[[#This Row],[Type_Client]]="B2B",10%,
IF(OR(AND(F641&gt;=240,F641&lt;=720),AND(C641&lt;60,D641="Premium 5G 150Go")),45%,0%)))</f>
        <v>0.1</v>
      </c>
      <c r="J641" s="9">
        <f>CKadeaTelcoClients_Churn[[#This Row],[Remise]]*CKadeaTelcoClients_Churn[[#This Row],[Facture_Mensuelle]]</f>
        <v>5.2710000000000008</v>
      </c>
      <c r="K641">
        <v>640</v>
      </c>
    </row>
    <row r="642" spans="1:11" x14ac:dyDescent="0.35">
      <c r="A642" t="s">
        <v>1535</v>
      </c>
      <c r="B642" t="s">
        <v>707</v>
      </c>
      <c r="C642">
        <v>22</v>
      </c>
      <c r="D642" t="s">
        <v>894</v>
      </c>
      <c r="E642" t="str">
        <f>IF(CKadeaTelcoClients_Churn[[#This Row],[Type_Forfait]]="pro monde","B2B","B2C")</f>
        <v>B2B</v>
      </c>
      <c r="F642">
        <v>374</v>
      </c>
      <c r="G642">
        <v>40.06</v>
      </c>
      <c r="H642">
        <v>5</v>
      </c>
      <c r="I642" s="8">
        <f>IF(AND(F642&gt;720,C642&gt;60),70%,
IF(CKadeaTelcoClients_Churn[[#This Row],[Type_Client]]="B2B",10%,
IF(OR(AND(F642&gt;=240,F642&lt;=720),AND(C642&lt;60,D642="Premium 5G 150Go")),45%,0%)))</f>
        <v>0.1</v>
      </c>
      <c r="J642" s="9">
        <f>CKadeaTelcoClients_Churn[[#This Row],[Remise]]*CKadeaTelcoClients_Churn[[#This Row],[Facture_Mensuelle]]</f>
        <v>4.0060000000000002</v>
      </c>
      <c r="K642">
        <v>641</v>
      </c>
    </row>
    <row r="643" spans="1:11" x14ac:dyDescent="0.35">
      <c r="A643" t="s">
        <v>1536</v>
      </c>
      <c r="B643" t="s">
        <v>738</v>
      </c>
      <c r="C643">
        <v>119</v>
      </c>
      <c r="D643" t="s">
        <v>899</v>
      </c>
      <c r="E643" t="str">
        <f>IF(CKadeaTelcoClients_Churn[[#This Row],[Type_Forfait]]="pro monde","B2B","B2C")</f>
        <v>B2C</v>
      </c>
      <c r="F643">
        <v>475</v>
      </c>
      <c r="G643">
        <v>25.98</v>
      </c>
      <c r="H643">
        <v>4</v>
      </c>
      <c r="I643" s="8">
        <f>IF(AND(F643&gt;720,C643&gt;60),70%,
IF(CKadeaTelcoClients_Churn[[#This Row],[Type_Client]]="B2B",10%,
IF(OR(AND(F643&gt;=240,F643&lt;=720),AND(C643&lt;60,D643="Premium 5G 150Go")),45%,0%)))</f>
        <v>0.45</v>
      </c>
      <c r="J643" s="9">
        <f>CKadeaTelcoClients_Churn[[#This Row],[Remise]]*CKadeaTelcoClients_Churn[[#This Row],[Facture_Mensuelle]]</f>
        <v>11.691000000000001</v>
      </c>
      <c r="K643">
        <v>642</v>
      </c>
    </row>
    <row r="644" spans="1:11" x14ac:dyDescent="0.35">
      <c r="A644" t="s">
        <v>1537</v>
      </c>
      <c r="B644" t="s">
        <v>679</v>
      </c>
      <c r="C644">
        <v>18</v>
      </c>
      <c r="D644" t="s">
        <v>894</v>
      </c>
      <c r="E644" t="str">
        <f>IF(CKadeaTelcoClients_Churn[[#This Row],[Type_Forfait]]="pro monde","B2B","B2C")</f>
        <v>B2B</v>
      </c>
      <c r="F644">
        <v>216</v>
      </c>
      <c r="G644">
        <v>33.74</v>
      </c>
      <c r="H644">
        <v>5</v>
      </c>
      <c r="I644" s="8">
        <f>IF(AND(F644&gt;720,C644&gt;60),70%,
IF(CKadeaTelcoClients_Churn[[#This Row],[Type_Client]]="B2B",10%,
IF(OR(AND(F644&gt;=240,F644&lt;=720),AND(C644&lt;60,D644="Premium 5G 150Go")),45%,0%)))</f>
        <v>0.1</v>
      </c>
      <c r="J644" s="9">
        <f>CKadeaTelcoClients_Churn[[#This Row],[Remise]]*CKadeaTelcoClients_Churn[[#This Row],[Facture_Mensuelle]]</f>
        <v>3.3740000000000006</v>
      </c>
      <c r="K644">
        <v>643</v>
      </c>
    </row>
    <row r="645" spans="1:11" x14ac:dyDescent="0.35">
      <c r="A645" t="s">
        <v>1538</v>
      </c>
      <c r="B645" t="s">
        <v>700</v>
      </c>
      <c r="C645">
        <v>75</v>
      </c>
      <c r="D645" t="s">
        <v>899</v>
      </c>
      <c r="E645" t="str">
        <f>IF(CKadeaTelcoClients_Churn[[#This Row],[Type_Forfait]]="pro monde","B2B","B2C")</f>
        <v>B2C</v>
      </c>
      <c r="F645">
        <v>99</v>
      </c>
      <c r="G645">
        <v>16.93</v>
      </c>
      <c r="H645">
        <v>5</v>
      </c>
      <c r="I645" s="8">
        <f>IF(AND(F645&gt;720,C645&gt;60),70%,
IF(CKadeaTelcoClients_Churn[[#This Row],[Type_Client]]="B2B",10%,
IF(OR(AND(F645&gt;=240,F645&lt;=720),AND(C645&lt;60,D645="Premium 5G 150Go")),45%,0%)))</f>
        <v>0</v>
      </c>
      <c r="J645" s="9">
        <f>CKadeaTelcoClients_Churn[[#This Row],[Remise]]*CKadeaTelcoClients_Churn[[#This Row],[Facture_Mensuelle]]</f>
        <v>0</v>
      </c>
      <c r="K645">
        <v>644</v>
      </c>
    </row>
    <row r="646" spans="1:11" x14ac:dyDescent="0.35">
      <c r="A646" t="s">
        <v>1539</v>
      </c>
      <c r="B646" t="s">
        <v>701</v>
      </c>
      <c r="C646">
        <v>59</v>
      </c>
      <c r="D646" t="s">
        <v>897</v>
      </c>
      <c r="E646" t="str">
        <f>IF(CKadeaTelcoClients_Churn[[#This Row],[Type_Forfait]]="pro monde","B2B","B2C")</f>
        <v>B2C</v>
      </c>
      <c r="F646">
        <v>150</v>
      </c>
      <c r="G646">
        <v>71.13</v>
      </c>
      <c r="H646">
        <v>0</v>
      </c>
      <c r="I646" s="8">
        <f>IF(AND(F646&gt;720,C646&gt;60),70%,
IF(CKadeaTelcoClients_Churn[[#This Row],[Type_Client]]="B2B",10%,
IF(OR(AND(F646&gt;=240,F646&lt;=720),AND(C646&lt;60,D646="Premium 5G 150Go")),45%,0%)))</f>
        <v>0</v>
      </c>
      <c r="J646" s="9">
        <f>CKadeaTelcoClients_Churn[[#This Row],[Remise]]*CKadeaTelcoClients_Churn[[#This Row],[Facture_Mensuelle]]</f>
        <v>0</v>
      </c>
      <c r="K646">
        <v>645</v>
      </c>
    </row>
    <row r="647" spans="1:11" x14ac:dyDescent="0.35">
      <c r="A647" t="s">
        <v>1540</v>
      </c>
      <c r="B647" t="s">
        <v>679</v>
      </c>
      <c r="C647">
        <v>16</v>
      </c>
      <c r="D647" t="s">
        <v>892</v>
      </c>
      <c r="E647" t="str">
        <f>IF(CKadeaTelcoClients_Churn[[#This Row],[Type_Forfait]]="pro monde","B2B","B2C")</f>
        <v>B2C</v>
      </c>
      <c r="F647">
        <v>96</v>
      </c>
      <c r="G647">
        <v>86.78</v>
      </c>
      <c r="H647">
        <v>1</v>
      </c>
      <c r="I647" s="8">
        <f>IF(AND(F647&gt;720,C647&gt;60),70%,
IF(CKadeaTelcoClients_Churn[[#This Row],[Type_Client]]="B2B",10%,
IF(OR(AND(F647&gt;=240,F647&lt;=720),AND(C647&lt;60,D647="Premium 5G 150Go")),45%,0%)))</f>
        <v>0.45</v>
      </c>
      <c r="J647" s="9">
        <f>CKadeaTelcoClients_Churn[[#This Row],[Remise]]*CKadeaTelcoClients_Churn[[#This Row],[Facture_Mensuelle]]</f>
        <v>39.051000000000002</v>
      </c>
      <c r="K647">
        <v>646</v>
      </c>
    </row>
    <row r="648" spans="1:11" x14ac:dyDescent="0.35">
      <c r="A648" t="s">
        <v>1541</v>
      </c>
      <c r="B648" t="s">
        <v>690</v>
      </c>
      <c r="C648">
        <v>17</v>
      </c>
      <c r="D648" t="s">
        <v>894</v>
      </c>
      <c r="E648" t="str">
        <f>IF(CKadeaTelcoClients_Churn[[#This Row],[Type_Forfait]]="pro monde","B2B","B2C")</f>
        <v>B2B</v>
      </c>
      <c r="F648">
        <v>206</v>
      </c>
      <c r="G648">
        <v>63.46</v>
      </c>
      <c r="H648">
        <v>3</v>
      </c>
      <c r="I648" s="8">
        <f>IF(AND(F648&gt;720,C648&gt;60),70%,
IF(CKadeaTelcoClients_Churn[[#This Row],[Type_Client]]="B2B",10%,
IF(OR(AND(F648&gt;=240,F648&lt;=720),AND(C648&lt;60,D648="Premium 5G 150Go")),45%,0%)))</f>
        <v>0.1</v>
      </c>
      <c r="J648" s="9">
        <f>CKadeaTelcoClients_Churn[[#This Row],[Remise]]*CKadeaTelcoClients_Churn[[#This Row],[Facture_Mensuelle]]</f>
        <v>6.3460000000000001</v>
      </c>
      <c r="K648">
        <v>647</v>
      </c>
    </row>
    <row r="649" spans="1:11" x14ac:dyDescent="0.35">
      <c r="A649" t="s">
        <v>1542</v>
      </c>
      <c r="B649" t="s">
        <v>706</v>
      </c>
      <c r="C649">
        <v>41</v>
      </c>
      <c r="D649" t="s">
        <v>899</v>
      </c>
      <c r="E649" t="str">
        <f>IF(CKadeaTelcoClients_Churn[[#This Row],[Type_Forfait]]="pro monde","B2B","B2C")</f>
        <v>B2C</v>
      </c>
      <c r="F649">
        <v>90</v>
      </c>
      <c r="G649">
        <v>97.26</v>
      </c>
      <c r="H649">
        <v>1</v>
      </c>
      <c r="I649" s="8">
        <f>IF(AND(F649&gt;720,C649&gt;60),70%,
IF(CKadeaTelcoClients_Churn[[#This Row],[Type_Client]]="B2B",10%,
IF(OR(AND(F649&gt;=240,F649&lt;=720),AND(C649&lt;60,D649="Premium 5G 150Go")),45%,0%)))</f>
        <v>0</v>
      </c>
      <c r="J649" s="9">
        <f>CKadeaTelcoClients_Churn[[#This Row],[Remise]]*CKadeaTelcoClients_Churn[[#This Row],[Facture_Mensuelle]]</f>
        <v>0</v>
      </c>
      <c r="K649">
        <v>648</v>
      </c>
    </row>
    <row r="650" spans="1:11" x14ac:dyDescent="0.35">
      <c r="A650" t="s">
        <v>1543</v>
      </c>
      <c r="B650" t="s">
        <v>725</v>
      </c>
      <c r="C650">
        <v>111</v>
      </c>
      <c r="D650" t="s">
        <v>892</v>
      </c>
      <c r="E650" t="str">
        <f>IF(CKadeaTelcoClients_Churn[[#This Row],[Type_Forfait]]="pro monde","B2B","B2C")</f>
        <v>B2C</v>
      </c>
      <c r="F650">
        <v>304</v>
      </c>
      <c r="G650">
        <v>62.48</v>
      </c>
      <c r="H650">
        <v>5</v>
      </c>
      <c r="I650" s="8">
        <f>IF(AND(F650&gt;720,C650&gt;60),70%,
IF(CKadeaTelcoClients_Churn[[#This Row],[Type_Client]]="B2B",10%,
IF(OR(AND(F650&gt;=240,F650&lt;=720),AND(C650&lt;60,D650="Premium 5G 150Go")),45%,0%)))</f>
        <v>0.45</v>
      </c>
      <c r="J650" s="9">
        <f>CKadeaTelcoClients_Churn[[#This Row],[Remise]]*CKadeaTelcoClients_Churn[[#This Row],[Facture_Mensuelle]]</f>
        <v>28.116</v>
      </c>
      <c r="K650">
        <v>649</v>
      </c>
    </row>
    <row r="651" spans="1:11" x14ac:dyDescent="0.35">
      <c r="A651" t="s">
        <v>1544</v>
      </c>
      <c r="B651" t="s">
        <v>690</v>
      </c>
      <c r="C651">
        <v>19</v>
      </c>
      <c r="D651" t="s">
        <v>897</v>
      </c>
      <c r="E651" t="str">
        <f>IF(CKadeaTelcoClients_Churn[[#This Row],[Type_Forfait]]="pro monde","B2B","B2C")</f>
        <v>B2C</v>
      </c>
      <c r="F651">
        <v>141</v>
      </c>
      <c r="G651">
        <v>53.95</v>
      </c>
      <c r="H651">
        <v>1</v>
      </c>
      <c r="I651" s="8">
        <f>IF(AND(F651&gt;720,C651&gt;60),70%,
IF(CKadeaTelcoClients_Churn[[#This Row],[Type_Client]]="B2B",10%,
IF(OR(AND(F651&gt;=240,F651&lt;=720),AND(C651&lt;60,D651="Premium 5G 150Go")),45%,0%)))</f>
        <v>0</v>
      </c>
      <c r="J651" s="9">
        <f>CKadeaTelcoClients_Churn[[#This Row],[Remise]]*CKadeaTelcoClients_Churn[[#This Row],[Facture_Mensuelle]]</f>
        <v>0</v>
      </c>
      <c r="K651">
        <v>650</v>
      </c>
    </row>
    <row r="652" spans="1:11" x14ac:dyDescent="0.35">
      <c r="A652" t="s">
        <v>1545</v>
      </c>
      <c r="B652" t="s">
        <v>719</v>
      </c>
      <c r="C652">
        <v>20</v>
      </c>
      <c r="D652" t="s">
        <v>897</v>
      </c>
      <c r="E652" t="str">
        <f>IF(CKadeaTelcoClients_Churn[[#This Row],[Type_Forfait]]="pro monde","B2B","B2C")</f>
        <v>B2C</v>
      </c>
      <c r="F652">
        <v>297</v>
      </c>
      <c r="G652">
        <v>14.77</v>
      </c>
      <c r="H652">
        <v>0</v>
      </c>
      <c r="I652" s="8">
        <f>IF(AND(F652&gt;720,C652&gt;60),70%,
IF(CKadeaTelcoClients_Churn[[#This Row],[Type_Client]]="B2B",10%,
IF(OR(AND(F652&gt;=240,F652&lt;=720),AND(C652&lt;60,D652="Premium 5G 150Go")),45%,0%)))</f>
        <v>0.45</v>
      </c>
      <c r="J652" s="9">
        <f>CKadeaTelcoClients_Churn[[#This Row],[Remise]]*CKadeaTelcoClients_Churn[[#This Row],[Facture_Mensuelle]]</f>
        <v>6.6464999999999996</v>
      </c>
      <c r="K652">
        <v>651</v>
      </c>
    </row>
    <row r="653" spans="1:11" x14ac:dyDescent="0.35">
      <c r="A653" t="s">
        <v>1546</v>
      </c>
      <c r="B653" t="s">
        <v>682</v>
      </c>
      <c r="C653">
        <v>67</v>
      </c>
      <c r="D653" t="s">
        <v>892</v>
      </c>
      <c r="E653" t="str">
        <f>IF(CKadeaTelcoClients_Churn[[#This Row],[Type_Forfait]]="pro monde","B2B","B2C")</f>
        <v>B2C</v>
      </c>
      <c r="F653">
        <v>262</v>
      </c>
      <c r="G653">
        <v>28.46</v>
      </c>
      <c r="H653">
        <v>3</v>
      </c>
      <c r="I653" s="8">
        <f>IF(AND(F653&gt;720,C653&gt;60),70%,
IF(CKadeaTelcoClients_Churn[[#This Row],[Type_Client]]="B2B",10%,
IF(OR(AND(F653&gt;=240,F653&lt;=720),AND(C653&lt;60,D653="Premium 5G 150Go")),45%,0%)))</f>
        <v>0.45</v>
      </c>
      <c r="J653" s="9">
        <f>CKadeaTelcoClients_Churn[[#This Row],[Remise]]*CKadeaTelcoClients_Churn[[#This Row],[Facture_Mensuelle]]</f>
        <v>12.807</v>
      </c>
      <c r="K653">
        <v>652</v>
      </c>
    </row>
    <row r="654" spans="1:11" x14ac:dyDescent="0.35">
      <c r="A654" t="s">
        <v>1547</v>
      </c>
      <c r="B654" t="s">
        <v>711</v>
      </c>
      <c r="C654">
        <v>38</v>
      </c>
      <c r="D654" t="s">
        <v>899</v>
      </c>
      <c r="E654" t="str">
        <f>IF(CKadeaTelcoClients_Churn[[#This Row],[Type_Forfait]]="pro monde","B2B","B2C")</f>
        <v>B2C</v>
      </c>
      <c r="F654">
        <v>191</v>
      </c>
      <c r="G654">
        <v>22.97</v>
      </c>
      <c r="H654">
        <v>3</v>
      </c>
      <c r="I654" s="8">
        <f>IF(AND(F654&gt;720,C654&gt;60),70%,
IF(CKadeaTelcoClients_Churn[[#This Row],[Type_Client]]="B2B",10%,
IF(OR(AND(F654&gt;=240,F654&lt;=720),AND(C654&lt;60,D654="Premium 5G 150Go")),45%,0%)))</f>
        <v>0</v>
      </c>
      <c r="J654" s="9">
        <f>CKadeaTelcoClients_Churn[[#This Row],[Remise]]*CKadeaTelcoClients_Churn[[#This Row],[Facture_Mensuelle]]</f>
        <v>0</v>
      </c>
      <c r="K654">
        <v>653</v>
      </c>
    </row>
    <row r="655" spans="1:11" x14ac:dyDescent="0.35">
      <c r="A655" t="s">
        <v>1548</v>
      </c>
      <c r="B655" t="s">
        <v>700</v>
      </c>
      <c r="C655">
        <v>80</v>
      </c>
      <c r="D655" t="s">
        <v>897</v>
      </c>
      <c r="E655" t="str">
        <f>IF(CKadeaTelcoClients_Churn[[#This Row],[Type_Forfait]]="pro monde","B2B","B2C")</f>
        <v>B2C</v>
      </c>
      <c r="F655">
        <v>65</v>
      </c>
      <c r="G655">
        <v>76.64</v>
      </c>
      <c r="H655">
        <v>3</v>
      </c>
      <c r="I655" s="8">
        <f>IF(AND(F655&gt;720,C655&gt;60),70%,
IF(CKadeaTelcoClients_Churn[[#This Row],[Type_Client]]="B2B",10%,
IF(OR(AND(F655&gt;=240,F655&lt;=720),AND(C655&lt;60,D655="Premium 5G 150Go")),45%,0%)))</f>
        <v>0</v>
      </c>
      <c r="J655" s="9">
        <f>CKadeaTelcoClients_Churn[[#This Row],[Remise]]*CKadeaTelcoClients_Churn[[#This Row],[Facture_Mensuelle]]</f>
        <v>0</v>
      </c>
      <c r="K655">
        <v>654</v>
      </c>
    </row>
    <row r="656" spans="1:11" x14ac:dyDescent="0.35">
      <c r="A656" t="s">
        <v>1549</v>
      </c>
      <c r="B656" t="s">
        <v>694</v>
      </c>
      <c r="C656">
        <v>72</v>
      </c>
      <c r="D656" t="s">
        <v>894</v>
      </c>
      <c r="E656" t="str">
        <f>IF(CKadeaTelcoClients_Churn[[#This Row],[Type_Forfait]]="pro monde","B2B","B2C")</f>
        <v>B2B</v>
      </c>
      <c r="F656">
        <v>317</v>
      </c>
      <c r="G656">
        <v>54.58</v>
      </c>
      <c r="H656">
        <v>1</v>
      </c>
      <c r="I656" s="8">
        <f>IF(AND(F656&gt;720,C656&gt;60),70%,
IF(CKadeaTelcoClients_Churn[[#This Row],[Type_Client]]="B2B",10%,
IF(OR(AND(F656&gt;=240,F656&lt;=720),AND(C656&lt;60,D656="Premium 5G 150Go")),45%,0%)))</f>
        <v>0.1</v>
      </c>
      <c r="J656" s="9">
        <f>CKadeaTelcoClients_Churn[[#This Row],[Remise]]*CKadeaTelcoClients_Churn[[#This Row],[Facture_Mensuelle]]</f>
        <v>5.4580000000000002</v>
      </c>
      <c r="K656">
        <v>655</v>
      </c>
    </row>
    <row r="657" spans="1:11" x14ac:dyDescent="0.35">
      <c r="A657" t="s">
        <v>1550</v>
      </c>
      <c r="B657" t="s">
        <v>719</v>
      </c>
      <c r="C657">
        <v>86</v>
      </c>
      <c r="D657" t="s">
        <v>892</v>
      </c>
      <c r="E657" t="str">
        <f>IF(CKadeaTelcoClients_Churn[[#This Row],[Type_Forfait]]="pro monde","B2B","B2C")</f>
        <v>B2C</v>
      </c>
      <c r="F657">
        <v>278</v>
      </c>
      <c r="G657">
        <v>30.12</v>
      </c>
      <c r="H657">
        <v>0</v>
      </c>
      <c r="I657" s="8">
        <f>IF(AND(F657&gt;720,C657&gt;60),70%,
IF(CKadeaTelcoClients_Churn[[#This Row],[Type_Client]]="B2B",10%,
IF(OR(AND(F657&gt;=240,F657&lt;=720),AND(C657&lt;60,D657="Premium 5G 150Go")),45%,0%)))</f>
        <v>0.45</v>
      </c>
      <c r="J657" s="9">
        <f>CKadeaTelcoClients_Churn[[#This Row],[Remise]]*CKadeaTelcoClients_Churn[[#This Row],[Facture_Mensuelle]]</f>
        <v>13.554</v>
      </c>
      <c r="K657">
        <v>656</v>
      </c>
    </row>
    <row r="658" spans="1:11" x14ac:dyDescent="0.35">
      <c r="A658" t="s">
        <v>1551</v>
      </c>
      <c r="B658" t="s">
        <v>726</v>
      </c>
      <c r="C658">
        <v>21</v>
      </c>
      <c r="D658" t="s">
        <v>899</v>
      </c>
      <c r="E658" t="str">
        <f>IF(CKadeaTelcoClients_Churn[[#This Row],[Type_Forfait]]="pro monde","B2B","B2C")</f>
        <v>B2C</v>
      </c>
      <c r="F658">
        <v>460</v>
      </c>
      <c r="G658">
        <v>70.81</v>
      </c>
      <c r="H658">
        <v>2</v>
      </c>
      <c r="I658" s="8">
        <f>IF(AND(F658&gt;720,C658&gt;60),70%,
IF(CKadeaTelcoClients_Churn[[#This Row],[Type_Client]]="B2B",10%,
IF(OR(AND(F658&gt;=240,F658&lt;=720),AND(C658&lt;60,D658="Premium 5G 150Go")),45%,0%)))</f>
        <v>0.45</v>
      </c>
      <c r="J658" s="9">
        <f>CKadeaTelcoClients_Churn[[#This Row],[Remise]]*CKadeaTelcoClients_Churn[[#This Row],[Facture_Mensuelle]]</f>
        <v>31.864500000000003</v>
      </c>
      <c r="K658">
        <v>657</v>
      </c>
    </row>
    <row r="659" spans="1:11" x14ac:dyDescent="0.35">
      <c r="A659" t="s">
        <v>1552</v>
      </c>
      <c r="B659" t="s">
        <v>694</v>
      </c>
      <c r="C659">
        <v>39</v>
      </c>
      <c r="D659" t="s">
        <v>894</v>
      </c>
      <c r="E659" t="str">
        <f>IF(CKadeaTelcoClients_Churn[[#This Row],[Type_Forfait]]="pro monde","B2B","B2C")</f>
        <v>B2B</v>
      </c>
      <c r="F659">
        <v>289</v>
      </c>
      <c r="G659">
        <v>86.7</v>
      </c>
      <c r="H659">
        <v>3</v>
      </c>
      <c r="I659" s="8">
        <f>IF(AND(F659&gt;720,C659&gt;60),70%,
IF(CKadeaTelcoClients_Churn[[#This Row],[Type_Client]]="B2B",10%,
IF(OR(AND(F659&gt;=240,F659&lt;=720),AND(C659&lt;60,D659="Premium 5G 150Go")),45%,0%)))</f>
        <v>0.1</v>
      </c>
      <c r="J659" s="9">
        <f>CKadeaTelcoClients_Churn[[#This Row],[Remise]]*CKadeaTelcoClients_Churn[[#This Row],[Facture_Mensuelle]]</f>
        <v>8.67</v>
      </c>
      <c r="K659">
        <v>658</v>
      </c>
    </row>
    <row r="660" spans="1:11" x14ac:dyDescent="0.35">
      <c r="A660" t="s">
        <v>1553</v>
      </c>
      <c r="B660" t="s">
        <v>696</v>
      </c>
      <c r="C660">
        <v>63</v>
      </c>
      <c r="D660" t="s">
        <v>894</v>
      </c>
      <c r="E660" t="str">
        <f>IF(CKadeaTelcoClients_Churn[[#This Row],[Type_Forfait]]="pro monde","B2B","B2C")</f>
        <v>B2B</v>
      </c>
      <c r="F660">
        <v>449</v>
      </c>
      <c r="G660">
        <v>37.08</v>
      </c>
      <c r="H660">
        <v>0</v>
      </c>
      <c r="I660" s="8">
        <f>IF(AND(F660&gt;720,C660&gt;60),70%,
IF(CKadeaTelcoClients_Churn[[#This Row],[Type_Client]]="B2B",10%,
IF(OR(AND(F660&gt;=240,F660&lt;=720),AND(C660&lt;60,D660="Premium 5G 150Go")),45%,0%)))</f>
        <v>0.1</v>
      </c>
      <c r="J660" s="9">
        <f>CKadeaTelcoClients_Churn[[#This Row],[Remise]]*CKadeaTelcoClients_Churn[[#This Row],[Facture_Mensuelle]]</f>
        <v>3.7080000000000002</v>
      </c>
      <c r="K660">
        <v>659</v>
      </c>
    </row>
    <row r="661" spans="1:11" x14ac:dyDescent="0.35">
      <c r="A661" t="s">
        <v>1554</v>
      </c>
      <c r="B661" t="s">
        <v>738</v>
      </c>
      <c r="C661">
        <v>37</v>
      </c>
      <c r="D661" t="s">
        <v>894</v>
      </c>
      <c r="E661" t="str">
        <f>IF(CKadeaTelcoClients_Churn[[#This Row],[Type_Forfait]]="pro monde","B2B","B2C")</f>
        <v>B2B</v>
      </c>
      <c r="F661">
        <v>150</v>
      </c>
      <c r="G661">
        <v>37.979999999999997</v>
      </c>
      <c r="H661">
        <v>4</v>
      </c>
      <c r="I661" s="8">
        <f>IF(AND(F661&gt;720,C661&gt;60),70%,
IF(CKadeaTelcoClients_Churn[[#This Row],[Type_Client]]="B2B",10%,
IF(OR(AND(F661&gt;=240,F661&lt;=720),AND(C661&lt;60,D661="Premium 5G 150Go")),45%,0%)))</f>
        <v>0.1</v>
      </c>
      <c r="J661" s="9">
        <f>CKadeaTelcoClients_Churn[[#This Row],[Remise]]*CKadeaTelcoClients_Churn[[#This Row],[Facture_Mensuelle]]</f>
        <v>3.798</v>
      </c>
      <c r="K661">
        <v>660</v>
      </c>
    </row>
    <row r="662" spans="1:11" x14ac:dyDescent="0.35">
      <c r="A662" t="s">
        <v>1555</v>
      </c>
      <c r="B662" t="s">
        <v>679</v>
      </c>
      <c r="C662">
        <v>9</v>
      </c>
      <c r="D662" t="s">
        <v>897</v>
      </c>
      <c r="E662" t="str">
        <f>IF(CKadeaTelcoClients_Churn[[#This Row],[Type_Forfait]]="pro monde","B2B","B2C")</f>
        <v>B2C</v>
      </c>
      <c r="F662">
        <v>27</v>
      </c>
      <c r="G662">
        <v>99.02</v>
      </c>
      <c r="H662">
        <v>3</v>
      </c>
      <c r="I662" s="8">
        <f>IF(AND(F662&gt;720,C662&gt;60),70%,
IF(CKadeaTelcoClients_Churn[[#This Row],[Type_Client]]="B2B",10%,
IF(OR(AND(F662&gt;=240,F662&lt;=720),AND(C662&lt;60,D662="Premium 5G 150Go")),45%,0%)))</f>
        <v>0</v>
      </c>
      <c r="J662" s="9">
        <f>CKadeaTelcoClients_Churn[[#This Row],[Remise]]*CKadeaTelcoClients_Churn[[#This Row],[Facture_Mensuelle]]</f>
        <v>0</v>
      </c>
      <c r="K662">
        <v>661</v>
      </c>
    </row>
    <row r="663" spans="1:11" x14ac:dyDescent="0.35">
      <c r="A663" t="s">
        <v>1556</v>
      </c>
      <c r="B663" t="s">
        <v>702</v>
      </c>
      <c r="C663">
        <v>103</v>
      </c>
      <c r="D663" t="s">
        <v>892</v>
      </c>
      <c r="E663" t="str">
        <f>IF(CKadeaTelcoClients_Churn[[#This Row],[Type_Forfait]]="pro monde","B2B","B2C")</f>
        <v>B2C</v>
      </c>
      <c r="F663">
        <v>386</v>
      </c>
      <c r="G663">
        <v>10.58</v>
      </c>
      <c r="H663">
        <v>0</v>
      </c>
      <c r="I663" s="8">
        <f>IF(AND(F663&gt;720,C663&gt;60),70%,
IF(CKadeaTelcoClients_Churn[[#This Row],[Type_Client]]="B2B",10%,
IF(OR(AND(F663&gt;=240,F663&lt;=720),AND(C663&lt;60,D663="Premium 5G 150Go")),45%,0%)))</f>
        <v>0.45</v>
      </c>
      <c r="J663" s="9">
        <f>CKadeaTelcoClients_Churn[[#This Row],[Remise]]*CKadeaTelcoClients_Churn[[#This Row],[Facture_Mensuelle]]</f>
        <v>4.7610000000000001</v>
      </c>
      <c r="K663">
        <v>662</v>
      </c>
    </row>
    <row r="664" spans="1:11" x14ac:dyDescent="0.35">
      <c r="A664" t="s">
        <v>1557</v>
      </c>
      <c r="B664" t="s">
        <v>738</v>
      </c>
      <c r="C664">
        <v>38</v>
      </c>
      <c r="D664" t="s">
        <v>892</v>
      </c>
      <c r="E664" t="str">
        <f>IF(CKadeaTelcoClients_Churn[[#This Row],[Type_Forfait]]="pro monde","B2B","B2C")</f>
        <v>B2C</v>
      </c>
      <c r="F664">
        <v>432</v>
      </c>
      <c r="G664">
        <v>53.65</v>
      </c>
      <c r="H664">
        <v>4</v>
      </c>
      <c r="I664" s="8">
        <f>IF(AND(F664&gt;720,C664&gt;60),70%,
IF(CKadeaTelcoClients_Churn[[#This Row],[Type_Client]]="B2B",10%,
IF(OR(AND(F664&gt;=240,F664&lt;=720),AND(C664&lt;60,D664="Premium 5G 150Go")),45%,0%)))</f>
        <v>0.45</v>
      </c>
      <c r="J664" s="9">
        <f>CKadeaTelcoClients_Churn[[#This Row],[Remise]]*CKadeaTelcoClients_Churn[[#This Row],[Facture_Mensuelle]]</f>
        <v>24.142499999999998</v>
      </c>
      <c r="K664">
        <v>663</v>
      </c>
    </row>
    <row r="665" spans="1:11" x14ac:dyDescent="0.35">
      <c r="A665" t="s">
        <v>1558</v>
      </c>
      <c r="B665" t="s">
        <v>693</v>
      </c>
      <c r="C665">
        <v>2</v>
      </c>
      <c r="D665" t="s">
        <v>892</v>
      </c>
      <c r="E665" t="str">
        <f>IF(CKadeaTelcoClients_Churn[[#This Row],[Type_Forfait]]="pro monde","B2B","B2C")</f>
        <v>B2C</v>
      </c>
      <c r="F665">
        <v>201</v>
      </c>
      <c r="G665">
        <v>71.900000000000006</v>
      </c>
      <c r="H665">
        <v>2</v>
      </c>
      <c r="I665" s="8">
        <f>IF(AND(F665&gt;720,C665&gt;60),70%,
IF(CKadeaTelcoClients_Churn[[#This Row],[Type_Client]]="B2B",10%,
IF(OR(AND(F665&gt;=240,F665&lt;=720),AND(C665&lt;60,D665="Premium 5G 150Go")),45%,0%)))</f>
        <v>0.45</v>
      </c>
      <c r="J665" s="9">
        <f>CKadeaTelcoClients_Churn[[#This Row],[Remise]]*CKadeaTelcoClients_Churn[[#This Row],[Facture_Mensuelle]]</f>
        <v>32.355000000000004</v>
      </c>
      <c r="K665">
        <v>664</v>
      </c>
    </row>
    <row r="666" spans="1:11" x14ac:dyDescent="0.35">
      <c r="A666" t="s">
        <v>1559</v>
      </c>
      <c r="B666" t="s">
        <v>704</v>
      </c>
      <c r="C666">
        <v>59</v>
      </c>
      <c r="D666" t="s">
        <v>899</v>
      </c>
      <c r="E666" t="str">
        <f>IF(CKadeaTelcoClients_Churn[[#This Row],[Type_Forfait]]="pro monde","B2B","B2C")</f>
        <v>B2C</v>
      </c>
      <c r="F666">
        <v>64</v>
      </c>
      <c r="G666">
        <v>20.32</v>
      </c>
      <c r="H666">
        <v>0</v>
      </c>
      <c r="I666" s="8">
        <f>IF(AND(F666&gt;720,C666&gt;60),70%,
IF(CKadeaTelcoClients_Churn[[#This Row],[Type_Client]]="B2B",10%,
IF(OR(AND(F666&gt;=240,F666&lt;=720),AND(C666&lt;60,D666="Premium 5G 150Go")),45%,0%)))</f>
        <v>0</v>
      </c>
      <c r="J666" s="9">
        <f>CKadeaTelcoClients_Churn[[#This Row],[Remise]]*CKadeaTelcoClients_Churn[[#This Row],[Facture_Mensuelle]]</f>
        <v>0</v>
      </c>
      <c r="K666">
        <v>665</v>
      </c>
    </row>
    <row r="667" spans="1:11" x14ac:dyDescent="0.35">
      <c r="A667" t="s">
        <v>1560</v>
      </c>
      <c r="B667" t="s">
        <v>675</v>
      </c>
      <c r="C667">
        <v>6</v>
      </c>
      <c r="D667" t="s">
        <v>894</v>
      </c>
      <c r="E667" t="str">
        <f>IF(CKadeaTelcoClients_Churn[[#This Row],[Type_Forfait]]="pro monde","B2B","B2C")</f>
        <v>B2B</v>
      </c>
      <c r="F667">
        <v>206</v>
      </c>
      <c r="G667">
        <v>10</v>
      </c>
      <c r="H667">
        <v>5</v>
      </c>
      <c r="I667" s="8">
        <f>IF(AND(F667&gt;720,C667&gt;60),70%,
IF(CKadeaTelcoClients_Churn[[#This Row],[Type_Client]]="B2B",10%,
IF(OR(AND(F667&gt;=240,F667&lt;=720),AND(C667&lt;60,D667="Premium 5G 150Go")),45%,0%)))</f>
        <v>0.1</v>
      </c>
      <c r="J667" s="9">
        <f>CKadeaTelcoClients_Churn[[#This Row],[Remise]]*CKadeaTelcoClients_Churn[[#This Row],[Facture_Mensuelle]]</f>
        <v>1</v>
      </c>
      <c r="K667">
        <v>666</v>
      </c>
    </row>
    <row r="668" spans="1:11" x14ac:dyDescent="0.35">
      <c r="A668" t="s">
        <v>1561</v>
      </c>
      <c r="B668" t="s">
        <v>685</v>
      </c>
      <c r="C668">
        <v>28</v>
      </c>
      <c r="D668" t="s">
        <v>892</v>
      </c>
      <c r="E668" t="str">
        <f>IF(CKadeaTelcoClients_Churn[[#This Row],[Type_Forfait]]="pro monde","B2B","B2C")</f>
        <v>B2C</v>
      </c>
      <c r="F668">
        <v>343</v>
      </c>
      <c r="G668">
        <v>64.34</v>
      </c>
      <c r="H668">
        <v>5</v>
      </c>
      <c r="I668" s="8">
        <f>IF(AND(F668&gt;720,C668&gt;60),70%,
IF(CKadeaTelcoClients_Churn[[#This Row],[Type_Client]]="B2B",10%,
IF(OR(AND(F668&gt;=240,F668&lt;=720),AND(C668&lt;60,D668="Premium 5G 150Go")),45%,0%)))</f>
        <v>0.45</v>
      </c>
      <c r="J668" s="9">
        <f>CKadeaTelcoClients_Churn[[#This Row],[Remise]]*CKadeaTelcoClients_Churn[[#This Row],[Facture_Mensuelle]]</f>
        <v>28.953000000000003</v>
      </c>
      <c r="K668">
        <v>667</v>
      </c>
    </row>
    <row r="669" spans="1:11" x14ac:dyDescent="0.35">
      <c r="A669" t="s">
        <v>1562</v>
      </c>
      <c r="B669" t="s">
        <v>703</v>
      </c>
      <c r="C669">
        <v>37</v>
      </c>
      <c r="D669" t="s">
        <v>899</v>
      </c>
      <c r="E669" t="str">
        <f>IF(CKadeaTelcoClients_Churn[[#This Row],[Type_Forfait]]="pro monde","B2B","B2C")</f>
        <v>B2C</v>
      </c>
      <c r="F669">
        <v>3</v>
      </c>
      <c r="G669">
        <v>20.89</v>
      </c>
      <c r="H669">
        <v>5</v>
      </c>
      <c r="I669" s="8">
        <f>IF(AND(F669&gt;720,C669&gt;60),70%,
IF(CKadeaTelcoClients_Churn[[#This Row],[Type_Client]]="B2B",10%,
IF(OR(AND(F669&gt;=240,F669&lt;=720),AND(C669&lt;60,D669="Premium 5G 150Go")),45%,0%)))</f>
        <v>0</v>
      </c>
      <c r="J669" s="9">
        <f>CKadeaTelcoClients_Churn[[#This Row],[Remise]]*CKadeaTelcoClients_Churn[[#This Row],[Facture_Mensuelle]]</f>
        <v>0</v>
      </c>
      <c r="K669">
        <v>668</v>
      </c>
    </row>
    <row r="670" spans="1:11" x14ac:dyDescent="0.35">
      <c r="A670" t="s">
        <v>1563</v>
      </c>
      <c r="B670" t="s">
        <v>702</v>
      </c>
      <c r="C670">
        <v>106</v>
      </c>
      <c r="D670" t="s">
        <v>899</v>
      </c>
      <c r="E670" t="str">
        <f>IF(CKadeaTelcoClients_Churn[[#This Row],[Type_Forfait]]="pro monde","B2B","B2C")</f>
        <v>B2C</v>
      </c>
      <c r="F670">
        <v>236</v>
      </c>
      <c r="G670">
        <v>18.72</v>
      </c>
      <c r="H670">
        <v>4</v>
      </c>
      <c r="I670" s="8">
        <f>IF(AND(F670&gt;720,C670&gt;60),70%,
IF(CKadeaTelcoClients_Churn[[#This Row],[Type_Client]]="B2B",10%,
IF(OR(AND(F670&gt;=240,F670&lt;=720),AND(C670&lt;60,D670="Premium 5G 150Go")),45%,0%)))</f>
        <v>0</v>
      </c>
      <c r="J670" s="9">
        <f>CKadeaTelcoClients_Churn[[#This Row],[Remise]]*CKadeaTelcoClients_Churn[[#This Row],[Facture_Mensuelle]]</f>
        <v>0</v>
      </c>
      <c r="K670">
        <v>669</v>
      </c>
    </row>
    <row r="671" spans="1:11" x14ac:dyDescent="0.35">
      <c r="A671" t="s">
        <v>1564</v>
      </c>
      <c r="B671" t="s">
        <v>693</v>
      </c>
      <c r="C671">
        <v>76</v>
      </c>
      <c r="D671" t="s">
        <v>892</v>
      </c>
      <c r="E671" t="str">
        <f>IF(CKadeaTelcoClients_Churn[[#This Row],[Type_Forfait]]="pro monde","B2B","B2C")</f>
        <v>B2C</v>
      </c>
      <c r="F671">
        <v>413</v>
      </c>
      <c r="G671">
        <v>28.39</v>
      </c>
      <c r="H671">
        <v>3</v>
      </c>
      <c r="I671" s="8">
        <f>IF(AND(F671&gt;720,C671&gt;60),70%,
IF(CKadeaTelcoClients_Churn[[#This Row],[Type_Client]]="B2B",10%,
IF(OR(AND(F671&gt;=240,F671&lt;=720),AND(C671&lt;60,D671="Premium 5G 150Go")),45%,0%)))</f>
        <v>0.45</v>
      </c>
      <c r="J671" s="9">
        <f>CKadeaTelcoClients_Churn[[#This Row],[Remise]]*CKadeaTelcoClients_Churn[[#This Row],[Facture_Mensuelle]]</f>
        <v>12.775500000000001</v>
      </c>
      <c r="K671">
        <v>670</v>
      </c>
    </row>
    <row r="672" spans="1:11" x14ac:dyDescent="0.35">
      <c r="A672" t="s">
        <v>1565</v>
      </c>
      <c r="B672" t="s">
        <v>700</v>
      </c>
      <c r="C672">
        <v>16</v>
      </c>
      <c r="D672" t="s">
        <v>899</v>
      </c>
      <c r="E672" t="str">
        <f>IF(CKadeaTelcoClients_Churn[[#This Row],[Type_Forfait]]="pro monde","B2B","B2C")</f>
        <v>B2C</v>
      </c>
      <c r="F672">
        <v>390</v>
      </c>
      <c r="G672">
        <v>52.64</v>
      </c>
      <c r="H672">
        <v>0</v>
      </c>
      <c r="I672" s="8">
        <f>IF(AND(F672&gt;720,C672&gt;60),70%,
IF(CKadeaTelcoClients_Churn[[#This Row],[Type_Client]]="B2B",10%,
IF(OR(AND(F672&gt;=240,F672&lt;=720),AND(C672&lt;60,D672="Premium 5G 150Go")),45%,0%)))</f>
        <v>0.45</v>
      </c>
      <c r="J672" s="9">
        <f>CKadeaTelcoClients_Churn[[#This Row],[Remise]]*CKadeaTelcoClients_Churn[[#This Row],[Facture_Mensuelle]]</f>
        <v>23.688000000000002</v>
      </c>
      <c r="K672">
        <v>671</v>
      </c>
    </row>
    <row r="673" spans="1:11" x14ac:dyDescent="0.35">
      <c r="A673" t="s">
        <v>1566</v>
      </c>
      <c r="B673" t="s">
        <v>688</v>
      </c>
      <c r="C673">
        <v>7</v>
      </c>
      <c r="D673" t="s">
        <v>894</v>
      </c>
      <c r="E673" t="str">
        <f>IF(CKadeaTelcoClients_Churn[[#This Row],[Type_Forfait]]="pro monde","B2B","B2C")</f>
        <v>B2B</v>
      </c>
      <c r="F673">
        <v>447</v>
      </c>
      <c r="G673">
        <v>84.95</v>
      </c>
      <c r="H673">
        <v>2</v>
      </c>
      <c r="I673" s="8">
        <f>IF(AND(F673&gt;720,C673&gt;60),70%,
IF(CKadeaTelcoClients_Churn[[#This Row],[Type_Client]]="B2B",10%,
IF(OR(AND(F673&gt;=240,F673&lt;=720),AND(C673&lt;60,D673="Premium 5G 150Go")),45%,0%)))</f>
        <v>0.1</v>
      </c>
      <c r="J673" s="9">
        <f>CKadeaTelcoClients_Churn[[#This Row],[Remise]]*CKadeaTelcoClients_Churn[[#This Row],[Facture_Mensuelle]]</f>
        <v>8.495000000000001</v>
      </c>
      <c r="K673">
        <v>672</v>
      </c>
    </row>
    <row r="674" spans="1:11" x14ac:dyDescent="0.35">
      <c r="A674" t="s">
        <v>1567</v>
      </c>
      <c r="B674" t="s">
        <v>696</v>
      </c>
      <c r="C674">
        <v>63</v>
      </c>
      <c r="D674" t="s">
        <v>899</v>
      </c>
      <c r="E674" t="str">
        <f>IF(CKadeaTelcoClients_Churn[[#This Row],[Type_Forfait]]="pro monde","B2B","B2C")</f>
        <v>B2C</v>
      </c>
      <c r="F674">
        <v>265</v>
      </c>
      <c r="G674">
        <v>49.94</v>
      </c>
      <c r="H674">
        <v>1</v>
      </c>
      <c r="I674" s="8">
        <f>IF(AND(F674&gt;720,C674&gt;60),70%,
IF(CKadeaTelcoClients_Churn[[#This Row],[Type_Client]]="B2B",10%,
IF(OR(AND(F674&gt;=240,F674&lt;=720),AND(C674&lt;60,D674="Premium 5G 150Go")),45%,0%)))</f>
        <v>0.45</v>
      </c>
      <c r="J674" s="9">
        <f>CKadeaTelcoClients_Churn[[#This Row],[Remise]]*CKadeaTelcoClients_Churn[[#This Row],[Facture_Mensuelle]]</f>
        <v>22.472999999999999</v>
      </c>
      <c r="K674">
        <v>673</v>
      </c>
    </row>
    <row r="675" spans="1:11" x14ac:dyDescent="0.35">
      <c r="A675" t="s">
        <v>1568</v>
      </c>
      <c r="B675" t="s">
        <v>699</v>
      </c>
      <c r="C675">
        <v>40</v>
      </c>
      <c r="D675" t="s">
        <v>892</v>
      </c>
      <c r="E675" t="str">
        <f>IF(CKadeaTelcoClients_Churn[[#This Row],[Type_Forfait]]="pro monde","B2B","B2C")</f>
        <v>B2C</v>
      </c>
      <c r="F675">
        <v>235</v>
      </c>
      <c r="G675">
        <v>15.01</v>
      </c>
      <c r="H675">
        <v>3</v>
      </c>
      <c r="I675" s="8">
        <f>IF(AND(F675&gt;720,C675&gt;60),70%,
IF(CKadeaTelcoClients_Churn[[#This Row],[Type_Client]]="B2B",10%,
IF(OR(AND(F675&gt;=240,F675&lt;=720),AND(C675&lt;60,D675="Premium 5G 150Go")),45%,0%)))</f>
        <v>0.45</v>
      </c>
      <c r="J675" s="9">
        <f>CKadeaTelcoClients_Churn[[#This Row],[Remise]]*CKadeaTelcoClients_Churn[[#This Row],[Facture_Mensuelle]]</f>
        <v>6.7545000000000002</v>
      </c>
      <c r="K675">
        <v>674</v>
      </c>
    </row>
    <row r="676" spans="1:11" x14ac:dyDescent="0.35">
      <c r="A676" t="s">
        <v>1569</v>
      </c>
      <c r="B676" t="s">
        <v>711</v>
      </c>
      <c r="C676">
        <v>1</v>
      </c>
      <c r="D676" t="s">
        <v>892</v>
      </c>
      <c r="E676" t="str">
        <f>IF(CKadeaTelcoClients_Churn[[#This Row],[Type_Forfait]]="pro monde","B2B","B2C")</f>
        <v>B2C</v>
      </c>
      <c r="F676">
        <v>429</v>
      </c>
      <c r="G676">
        <v>20.96</v>
      </c>
      <c r="H676">
        <v>5</v>
      </c>
      <c r="I676" s="8">
        <f>IF(AND(F676&gt;720,C676&gt;60),70%,
IF(CKadeaTelcoClients_Churn[[#This Row],[Type_Client]]="B2B",10%,
IF(OR(AND(F676&gt;=240,F676&lt;=720),AND(C676&lt;60,D676="Premium 5G 150Go")),45%,0%)))</f>
        <v>0.45</v>
      </c>
      <c r="J676" s="9">
        <f>CKadeaTelcoClients_Churn[[#This Row],[Remise]]*CKadeaTelcoClients_Churn[[#This Row],[Facture_Mensuelle]]</f>
        <v>9.4320000000000004</v>
      </c>
      <c r="K676">
        <v>675</v>
      </c>
    </row>
    <row r="677" spans="1:11" x14ac:dyDescent="0.35">
      <c r="A677" t="s">
        <v>1570</v>
      </c>
      <c r="B677" t="s">
        <v>702</v>
      </c>
      <c r="C677">
        <v>56</v>
      </c>
      <c r="D677" t="s">
        <v>897</v>
      </c>
      <c r="E677" t="str">
        <f>IF(CKadeaTelcoClients_Churn[[#This Row],[Type_Forfait]]="pro monde","B2B","B2C")</f>
        <v>B2C</v>
      </c>
      <c r="F677">
        <v>27</v>
      </c>
      <c r="G677">
        <v>46.41</v>
      </c>
      <c r="H677">
        <v>3</v>
      </c>
      <c r="I677" s="8">
        <f>IF(AND(F677&gt;720,C677&gt;60),70%,
IF(CKadeaTelcoClients_Churn[[#This Row],[Type_Client]]="B2B",10%,
IF(OR(AND(F677&gt;=240,F677&lt;=720),AND(C677&lt;60,D677="Premium 5G 150Go")),45%,0%)))</f>
        <v>0</v>
      </c>
      <c r="J677" s="9">
        <f>CKadeaTelcoClients_Churn[[#This Row],[Remise]]*CKadeaTelcoClients_Churn[[#This Row],[Facture_Mensuelle]]</f>
        <v>0</v>
      </c>
      <c r="K677">
        <v>676</v>
      </c>
    </row>
    <row r="678" spans="1:11" x14ac:dyDescent="0.35">
      <c r="A678" t="s">
        <v>1571</v>
      </c>
      <c r="B678" t="s">
        <v>737</v>
      </c>
      <c r="C678">
        <v>46</v>
      </c>
      <c r="D678" t="s">
        <v>892</v>
      </c>
      <c r="E678" t="str">
        <f>IF(CKadeaTelcoClients_Churn[[#This Row],[Type_Forfait]]="pro monde","B2B","B2C")</f>
        <v>B2C</v>
      </c>
      <c r="F678">
        <v>43</v>
      </c>
      <c r="G678">
        <v>98.44</v>
      </c>
      <c r="H678">
        <v>2</v>
      </c>
      <c r="I678" s="8">
        <f>IF(AND(F678&gt;720,C678&gt;60),70%,
IF(CKadeaTelcoClients_Churn[[#This Row],[Type_Client]]="B2B",10%,
IF(OR(AND(F678&gt;=240,F678&lt;=720),AND(C678&lt;60,D678="Premium 5G 150Go")),45%,0%)))</f>
        <v>0.45</v>
      </c>
      <c r="J678" s="9">
        <f>CKadeaTelcoClients_Churn[[#This Row],[Remise]]*CKadeaTelcoClients_Churn[[#This Row],[Facture_Mensuelle]]</f>
        <v>44.298000000000002</v>
      </c>
      <c r="K678">
        <v>677</v>
      </c>
    </row>
    <row r="679" spans="1:11" x14ac:dyDescent="0.35">
      <c r="A679" t="s">
        <v>1572</v>
      </c>
      <c r="B679" t="s">
        <v>694</v>
      </c>
      <c r="C679">
        <v>85</v>
      </c>
      <c r="D679" t="s">
        <v>894</v>
      </c>
      <c r="E679" t="str">
        <f>IF(CKadeaTelcoClients_Churn[[#This Row],[Type_Forfait]]="pro monde","B2B","B2C")</f>
        <v>B2B</v>
      </c>
      <c r="F679">
        <v>28</v>
      </c>
      <c r="G679">
        <v>83.82</v>
      </c>
      <c r="H679">
        <v>0</v>
      </c>
      <c r="I679" s="8">
        <f>IF(AND(F679&gt;720,C679&gt;60),70%,
IF(CKadeaTelcoClients_Churn[[#This Row],[Type_Client]]="B2B",10%,
IF(OR(AND(F679&gt;=240,F679&lt;=720),AND(C679&lt;60,D679="Premium 5G 150Go")),45%,0%)))</f>
        <v>0.1</v>
      </c>
      <c r="J679" s="9">
        <f>CKadeaTelcoClients_Churn[[#This Row],[Remise]]*CKadeaTelcoClients_Churn[[#This Row],[Facture_Mensuelle]]</f>
        <v>8.3819999999999997</v>
      </c>
      <c r="K679">
        <v>678</v>
      </c>
    </row>
    <row r="680" spans="1:11" x14ac:dyDescent="0.35">
      <c r="A680" t="s">
        <v>1573</v>
      </c>
      <c r="B680" t="s">
        <v>725</v>
      </c>
      <c r="C680">
        <v>107</v>
      </c>
      <c r="D680" t="s">
        <v>899</v>
      </c>
      <c r="E680" t="str">
        <f>IF(CKadeaTelcoClients_Churn[[#This Row],[Type_Forfait]]="pro monde","B2B","B2C")</f>
        <v>B2C</v>
      </c>
      <c r="F680">
        <v>138</v>
      </c>
      <c r="G680">
        <v>85.75</v>
      </c>
      <c r="H680">
        <v>1</v>
      </c>
      <c r="I680" s="8">
        <f>IF(AND(F680&gt;720,C680&gt;60),70%,
IF(CKadeaTelcoClients_Churn[[#This Row],[Type_Client]]="B2B",10%,
IF(OR(AND(F680&gt;=240,F680&lt;=720),AND(C680&lt;60,D680="Premium 5G 150Go")),45%,0%)))</f>
        <v>0</v>
      </c>
      <c r="J680" s="9">
        <f>CKadeaTelcoClients_Churn[[#This Row],[Remise]]*CKadeaTelcoClients_Churn[[#This Row],[Facture_Mensuelle]]</f>
        <v>0</v>
      </c>
      <c r="K680">
        <v>679</v>
      </c>
    </row>
    <row r="681" spans="1:11" x14ac:dyDescent="0.35">
      <c r="A681" t="s">
        <v>1574</v>
      </c>
      <c r="B681" t="s">
        <v>699</v>
      </c>
      <c r="C681">
        <v>1</v>
      </c>
      <c r="D681" t="s">
        <v>894</v>
      </c>
      <c r="E681" t="str">
        <f>IF(CKadeaTelcoClients_Churn[[#This Row],[Type_Forfait]]="pro monde","B2B","B2C")</f>
        <v>B2B</v>
      </c>
      <c r="F681">
        <v>424</v>
      </c>
      <c r="G681">
        <v>59.2</v>
      </c>
      <c r="H681">
        <v>2</v>
      </c>
      <c r="I681" s="8">
        <f>IF(AND(F681&gt;720,C681&gt;60),70%,
IF(CKadeaTelcoClients_Churn[[#This Row],[Type_Client]]="B2B",10%,
IF(OR(AND(F681&gt;=240,F681&lt;=720),AND(C681&lt;60,D681="Premium 5G 150Go")),45%,0%)))</f>
        <v>0.1</v>
      </c>
      <c r="J681" s="9">
        <f>CKadeaTelcoClients_Churn[[#This Row],[Remise]]*CKadeaTelcoClients_Churn[[#This Row],[Facture_Mensuelle]]</f>
        <v>5.9200000000000008</v>
      </c>
      <c r="K681">
        <v>680</v>
      </c>
    </row>
    <row r="682" spans="1:11" x14ac:dyDescent="0.35">
      <c r="A682" t="s">
        <v>1575</v>
      </c>
      <c r="B682" t="s">
        <v>685</v>
      </c>
      <c r="C682">
        <v>7</v>
      </c>
      <c r="D682" t="s">
        <v>894</v>
      </c>
      <c r="E682" t="str">
        <f>IF(CKadeaTelcoClients_Churn[[#This Row],[Type_Forfait]]="pro monde","B2B","B2C")</f>
        <v>B2B</v>
      </c>
      <c r="F682">
        <v>332</v>
      </c>
      <c r="G682">
        <v>83.95</v>
      </c>
      <c r="H682">
        <v>4</v>
      </c>
      <c r="I682" s="8">
        <f>IF(AND(F682&gt;720,C682&gt;60),70%,
IF(CKadeaTelcoClients_Churn[[#This Row],[Type_Client]]="B2B",10%,
IF(OR(AND(F682&gt;=240,F682&lt;=720),AND(C682&lt;60,D682="Premium 5G 150Go")),45%,0%)))</f>
        <v>0.1</v>
      </c>
      <c r="J682" s="9">
        <f>CKadeaTelcoClients_Churn[[#This Row],[Remise]]*CKadeaTelcoClients_Churn[[#This Row],[Facture_Mensuelle]]</f>
        <v>8.3950000000000014</v>
      </c>
      <c r="K682">
        <v>681</v>
      </c>
    </row>
    <row r="683" spans="1:11" x14ac:dyDescent="0.35">
      <c r="A683" t="s">
        <v>1576</v>
      </c>
      <c r="B683" t="s">
        <v>682</v>
      </c>
      <c r="C683">
        <v>33</v>
      </c>
      <c r="D683" t="s">
        <v>897</v>
      </c>
      <c r="E683" t="str">
        <f>IF(CKadeaTelcoClients_Churn[[#This Row],[Type_Forfait]]="pro monde","B2B","B2C")</f>
        <v>B2C</v>
      </c>
      <c r="F683">
        <v>54</v>
      </c>
      <c r="G683">
        <v>71.319999999999993</v>
      </c>
      <c r="H683">
        <v>4</v>
      </c>
      <c r="I683" s="8">
        <f>IF(AND(F683&gt;720,C683&gt;60),70%,
IF(CKadeaTelcoClients_Churn[[#This Row],[Type_Client]]="B2B",10%,
IF(OR(AND(F683&gt;=240,F683&lt;=720),AND(C683&lt;60,D683="Premium 5G 150Go")),45%,0%)))</f>
        <v>0</v>
      </c>
      <c r="J683" s="9">
        <f>CKadeaTelcoClients_Churn[[#This Row],[Remise]]*CKadeaTelcoClients_Churn[[#This Row],[Facture_Mensuelle]]</f>
        <v>0</v>
      </c>
      <c r="K683">
        <v>682</v>
      </c>
    </row>
    <row r="684" spans="1:11" x14ac:dyDescent="0.35">
      <c r="A684" t="s">
        <v>1577</v>
      </c>
      <c r="B684" t="s">
        <v>688</v>
      </c>
      <c r="C684">
        <v>18</v>
      </c>
      <c r="D684" t="s">
        <v>899</v>
      </c>
      <c r="E684" t="str">
        <f>IF(CKadeaTelcoClients_Churn[[#This Row],[Type_Forfait]]="pro monde","B2B","B2C")</f>
        <v>B2C</v>
      </c>
      <c r="F684">
        <v>170</v>
      </c>
      <c r="G684">
        <v>87.34</v>
      </c>
      <c r="H684">
        <v>1</v>
      </c>
      <c r="I684" s="8">
        <f>IF(AND(F684&gt;720,C684&gt;60),70%,
IF(CKadeaTelcoClients_Churn[[#This Row],[Type_Client]]="B2B",10%,
IF(OR(AND(F684&gt;=240,F684&lt;=720),AND(C684&lt;60,D684="Premium 5G 150Go")),45%,0%)))</f>
        <v>0</v>
      </c>
      <c r="J684" s="9">
        <f>CKadeaTelcoClients_Churn[[#This Row],[Remise]]*CKadeaTelcoClients_Churn[[#This Row],[Facture_Mensuelle]]</f>
        <v>0</v>
      </c>
      <c r="K684">
        <v>683</v>
      </c>
    </row>
    <row r="685" spans="1:11" x14ac:dyDescent="0.35">
      <c r="A685" t="s">
        <v>1578</v>
      </c>
      <c r="B685" t="s">
        <v>701</v>
      </c>
      <c r="C685">
        <v>45</v>
      </c>
      <c r="D685" t="s">
        <v>894</v>
      </c>
      <c r="E685" t="str">
        <f>IF(CKadeaTelcoClients_Churn[[#This Row],[Type_Forfait]]="pro monde","B2B","B2C")</f>
        <v>B2B</v>
      </c>
      <c r="F685">
        <v>304</v>
      </c>
      <c r="G685">
        <v>65.540000000000006</v>
      </c>
      <c r="H685">
        <v>2</v>
      </c>
      <c r="I685" s="8">
        <f>IF(AND(F685&gt;720,C685&gt;60),70%,
IF(CKadeaTelcoClients_Churn[[#This Row],[Type_Client]]="B2B",10%,
IF(OR(AND(F685&gt;=240,F685&lt;=720),AND(C685&lt;60,D685="Premium 5G 150Go")),45%,0%)))</f>
        <v>0.1</v>
      </c>
      <c r="J685" s="9">
        <f>CKadeaTelcoClients_Churn[[#This Row],[Remise]]*CKadeaTelcoClients_Churn[[#This Row],[Facture_Mensuelle]]</f>
        <v>6.5540000000000012</v>
      </c>
      <c r="K685">
        <v>684</v>
      </c>
    </row>
    <row r="686" spans="1:11" x14ac:dyDescent="0.35">
      <c r="A686" t="s">
        <v>1579</v>
      </c>
      <c r="B686" t="s">
        <v>679</v>
      </c>
      <c r="C686">
        <v>113</v>
      </c>
      <c r="D686" t="s">
        <v>892</v>
      </c>
      <c r="E686" t="str">
        <f>IF(CKadeaTelcoClients_Churn[[#This Row],[Type_Forfait]]="pro monde","B2B","B2C")</f>
        <v>B2C</v>
      </c>
      <c r="F686">
        <v>49</v>
      </c>
      <c r="G686">
        <v>48.91</v>
      </c>
      <c r="H686">
        <v>5</v>
      </c>
      <c r="I686" s="8">
        <f>IF(AND(F686&gt;720,C686&gt;60),70%,
IF(CKadeaTelcoClients_Churn[[#This Row],[Type_Client]]="B2B",10%,
IF(OR(AND(F686&gt;=240,F686&lt;=720),AND(C686&lt;60,D686="Premium 5G 150Go")),45%,0%)))</f>
        <v>0</v>
      </c>
      <c r="J686" s="9">
        <f>CKadeaTelcoClients_Churn[[#This Row],[Remise]]*CKadeaTelcoClients_Churn[[#This Row],[Facture_Mensuelle]]</f>
        <v>0</v>
      </c>
      <c r="K686">
        <v>685</v>
      </c>
    </row>
    <row r="687" spans="1:11" x14ac:dyDescent="0.35">
      <c r="A687" t="s">
        <v>1580</v>
      </c>
      <c r="B687" t="s">
        <v>711</v>
      </c>
      <c r="C687">
        <v>37</v>
      </c>
      <c r="D687" t="s">
        <v>892</v>
      </c>
      <c r="E687" t="str">
        <f>IF(CKadeaTelcoClients_Churn[[#This Row],[Type_Forfait]]="pro monde","B2B","B2C")</f>
        <v>B2C</v>
      </c>
      <c r="F687">
        <v>420</v>
      </c>
      <c r="G687">
        <v>67.260000000000005</v>
      </c>
      <c r="H687">
        <v>4</v>
      </c>
      <c r="I687" s="8">
        <f>IF(AND(F687&gt;720,C687&gt;60),70%,
IF(CKadeaTelcoClients_Churn[[#This Row],[Type_Client]]="B2B",10%,
IF(OR(AND(F687&gt;=240,F687&lt;=720),AND(C687&lt;60,D687="Premium 5G 150Go")),45%,0%)))</f>
        <v>0.45</v>
      </c>
      <c r="J687" s="9">
        <f>CKadeaTelcoClients_Churn[[#This Row],[Remise]]*CKadeaTelcoClients_Churn[[#This Row],[Facture_Mensuelle]]</f>
        <v>30.267000000000003</v>
      </c>
      <c r="K687">
        <v>686</v>
      </c>
    </row>
    <row r="688" spans="1:11" x14ac:dyDescent="0.35">
      <c r="A688" t="s">
        <v>1581</v>
      </c>
      <c r="B688" t="s">
        <v>722</v>
      </c>
      <c r="C688">
        <v>101</v>
      </c>
      <c r="D688" t="s">
        <v>894</v>
      </c>
      <c r="E688" t="str">
        <f>IF(CKadeaTelcoClients_Churn[[#This Row],[Type_Forfait]]="pro monde","B2B","B2C")</f>
        <v>B2B</v>
      </c>
      <c r="F688">
        <v>148</v>
      </c>
      <c r="G688">
        <v>26.63</v>
      </c>
      <c r="H688">
        <v>3</v>
      </c>
      <c r="I688" s="8">
        <f>IF(AND(F688&gt;720,C688&gt;60),70%,
IF(CKadeaTelcoClients_Churn[[#This Row],[Type_Client]]="B2B",10%,
IF(OR(AND(F688&gt;=240,F688&lt;=720),AND(C688&lt;60,D688="Premium 5G 150Go")),45%,0%)))</f>
        <v>0.1</v>
      </c>
      <c r="J688" s="9">
        <f>CKadeaTelcoClients_Churn[[#This Row],[Remise]]*CKadeaTelcoClients_Churn[[#This Row],[Facture_Mensuelle]]</f>
        <v>2.6630000000000003</v>
      </c>
      <c r="K688">
        <v>687</v>
      </c>
    </row>
    <row r="689" spans="1:11" x14ac:dyDescent="0.35">
      <c r="A689" t="s">
        <v>1582</v>
      </c>
      <c r="B689" t="s">
        <v>675</v>
      </c>
      <c r="C689">
        <v>110</v>
      </c>
      <c r="D689" t="s">
        <v>892</v>
      </c>
      <c r="E689" t="str">
        <f>IF(CKadeaTelcoClients_Churn[[#This Row],[Type_Forfait]]="pro monde","B2B","B2C")</f>
        <v>B2C</v>
      </c>
      <c r="F689">
        <v>289</v>
      </c>
      <c r="G689">
        <v>83.67</v>
      </c>
      <c r="H689">
        <v>4</v>
      </c>
      <c r="I689" s="8">
        <f>IF(AND(F689&gt;720,C689&gt;60),70%,
IF(CKadeaTelcoClients_Churn[[#This Row],[Type_Client]]="B2B",10%,
IF(OR(AND(F689&gt;=240,F689&lt;=720),AND(C689&lt;60,D689="Premium 5G 150Go")),45%,0%)))</f>
        <v>0.45</v>
      </c>
      <c r="J689" s="9">
        <f>CKadeaTelcoClients_Churn[[#This Row],[Remise]]*CKadeaTelcoClients_Churn[[#This Row],[Facture_Mensuelle]]</f>
        <v>37.651499999999999</v>
      </c>
      <c r="K689">
        <v>688</v>
      </c>
    </row>
    <row r="690" spans="1:11" x14ac:dyDescent="0.35">
      <c r="A690" t="s">
        <v>1583</v>
      </c>
      <c r="B690" t="s">
        <v>699</v>
      </c>
      <c r="C690">
        <v>65</v>
      </c>
      <c r="D690" t="s">
        <v>894</v>
      </c>
      <c r="E690" t="str">
        <f>IF(CKadeaTelcoClients_Churn[[#This Row],[Type_Forfait]]="pro monde","B2B","B2C")</f>
        <v>B2B</v>
      </c>
      <c r="F690">
        <v>246</v>
      </c>
      <c r="G690">
        <v>69.17</v>
      </c>
      <c r="H690">
        <v>0</v>
      </c>
      <c r="I690" s="8">
        <f>IF(AND(F690&gt;720,C690&gt;60),70%,
IF(CKadeaTelcoClients_Churn[[#This Row],[Type_Client]]="B2B",10%,
IF(OR(AND(F690&gt;=240,F690&lt;=720),AND(C690&lt;60,D690="Premium 5G 150Go")),45%,0%)))</f>
        <v>0.1</v>
      </c>
      <c r="J690" s="9">
        <f>CKadeaTelcoClients_Churn[[#This Row],[Remise]]*CKadeaTelcoClients_Churn[[#This Row],[Facture_Mensuelle]]</f>
        <v>6.9170000000000007</v>
      </c>
      <c r="K690">
        <v>689</v>
      </c>
    </row>
    <row r="691" spans="1:11" x14ac:dyDescent="0.35">
      <c r="A691" t="s">
        <v>1584</v>
      </c>
      <c r="B691" t="s">
        <v>722</v>
      </c>
      <c r="C691">
        <v>86</v>
      </c>
      <c r="D691" t="s">
        <v>894</v>
      </c>
      <c r="E691" t="str">
        <f>IF(CKadeaTelcoClients_Churn[[#This Row],[Type_Forfait]]="pro monde","B2B","B2C")</f>
        <v>B2B</v>
      </c>
      <c r="F691">
        <v>353</v>
      </c>
      <c r="G691">
        <v>25.37</v>
      </c>
      <c r="H691">
        <v>1</v>
      </c>
      <c r="I691" s="8">
        <f>IF(AND(F691&gt;720,C691&gt;60),70%,
IF(CKadeaTelcoClients_Churn[[#This Row],[Type_Client]]="B2B",10%,
IF(OR(AND(F691&gt;=240,F691&lt;=720),AND(C691&lt;60,D691="Premium 5G 150Go")),45%,0%)))</f>
        <v>0.1</v>
      </c>
      <c r="J691" s="9">
        <f>CKadeaTelcoClients_Churn[[#This Row],[Remise]]*CKadeaTelcoClients_Churn[[#This Row],[Facture_Mensuelle]]</f>
        <v>2.5370000000000004</v>
      </c>
      <c r="K691">
        <v>690</v>
      </c>
    </row>
    <row r="692" spans="1:11" x14ac:dyDescent="0.35">
      <c r="A692" t="s">
        <v>1585</v>
      </c>
      <c r="B692" t="s">
        <v>722</v>
      </c>
      <c r="C692">
        <v>99</v>
      </c>
      <c r="D692" t="s">
        <v>894</v>
      </c>
      <c r="E692" t="str">
        <f>IF(CKadeaTelcoClients_Churn[[#This Row],[Type_Forfait]]="pro monde","B2B","B2C")</f>
        <v>B2B</v>
      </c>
      <c r="F692">
        <v>169</v>
      </c>
      <c r="G692">
        <v>76.75</v>
      </c>
      <c r="H692">
        <v>5</v>
      </c>
      <c r="I692" s="8">
        <f>IF(AND(F692&gt;720,C692&gt;60),70%,
IF(CKadeaTelcoClients_Churn[[#This Row],[Type_Client]]="B2B",10%,
IF(OR(AND(F692&gt;=240,F692&lt;=720),AND(C692&lt;60,D692="Premium 5G 150Go")),45%,0%)))</f>
        <v>0.1</v>
      </c>
      <c r="J692" s="9">
        <f>CKadeaTelcoClients_Churn[[#This Row],[Remise]]*CKadeaTelcoClients_Churn[[#This Row],[Facture_Mensuelle]]</f>
        <v>7.6750000000000007</v>
      </c>
      <c r="K692">
        <v>691</v>
      </c>
    </row>
    <row r="693" spans="1:11" x14ac:dyDescent="0.35">
      <c r="A693" t="s">
        <v>1586</v>
      </c>
      <c r="B693" t="s">
        <v>700</v>
      </c>
      <c r="C693">
        <v>72</v>
      </c>
      <c r="D693" t="s">
        <v>894</v>
      </c>
      <c r="E693" t="str">
        <f>IF(CKadeaTelcoClients_Churn[[#This Row],[Type_Forfait]]="pro monde","B2B","B2C")</f>
        <v>B2B</v>
      </c>
      <c r="F693">
        <v>442</v>
      </c>
      <c r="G693">
        <v>59.2</v>
      </c>
      <c r="H693">
        <v>1</v>
      </c>
      <c r="I693" s="8">
        <f>IF(AND(F693&gt;720,C693&gt;60),70%,
IF(CKadeaTelcoClients_Churn[[#This Row],[Type_Client]]="B2B",10%,
IF(OR(AND(F693&gt;=240,F693&lt;=720),AND(C693&lt;60,D693="Premium 5G 150Go")),45%,0%)))</f>
        <v>0.1</v>
      </c>
      <c r="J693" s="9">
        <f>CKadeaTelcoClients_Churn[[#This Row],[Remise]]*CKadeaTelcoClients_Churn[[#This Row],[Facture_Mensuelle]]</f>
        <v>5.9200000000000008</v>
      </c>
      <c r="K693">
        <v>692</v>
      </c>
    </row>
    <row r="694" spans="1:11" x14ac:dyDescent="0.35">
      <c r="A694" t="s">
        <v>1587</v>
      </c>
      <c r="B694" t="s">
        <v>737</v>
      </c>
      <c r="C694">
        <v>20</v>
      </c>
      <c r="D694" t="s">
        <v>894</v>
      </c>
      <c r="E694" t="str">
        <f>IF(CKadeaTelcoClients_Churn[[#This Row],[Type_Forfait]]="pro monde","B2B","B2C")</f>
        <v>B2B</v>
      </c>
      <c r="F694">
        <v>31</v>
      </c>
      <c r="G694">
        <v>52.85</v>
      </c>
      <c r="H694">
        <v>2</v>
      </c>
      <c r="I694" s="8">
        <f>IF(AND(F694&gt;720,C694&gt;60),70%,
IF(CKadeaTelcoClients_Churn[[#This Row],[Type_Client]]="B2B",10%,
IF(OR(AND(F694&gt;=240,F694&lt;=720),AND(C694&lt;60,D694="Premium 5G 150Go")),45%,0%)))</f>
        <v>0.1</v>
      </c>
      <c r="J694" s="9">
        <f>CKadeaTelcoClients_Churn[[#This Row],[Remise]]*CKadeaTelcoClients_Churn[[#This Row],[Facture_Mensuelle]]</f>
        <v>5.2850000000000001</v>
      </c>
      <c r="K694">
        <v>693</v>
      </c>
    </row>
    <row r="695" spans="1:11" x14ac:dyDescent="0.35">
      <c r="A695" t="s">
        <v>1588</v>
      </c>
      <c r="B695" t="s">
        <v>679</v>
      </c>
      <c r="C695">
        <v>12</v>
      </c>
      <c r="D695" t="s">
        <v>897</v>
      </c>
      <c r="E695" t="str">
        <f>IF(CKadeaTelcoClients_Churn[[#This Row],[Type_Forfait]]="pro monde","B2B","B2C")</f>
        <v>B2C</v>
      </c>
      <c r="F695">
        <v>62</v>
      </c>
      <c r="G695">
        <v>36.1</v>
      </c>
      <c r="H695">
        <v>5</v>
      </c>
      <c r="I695" s="8">
        <f>IF(AND(F695&gt;720,C695&gt;60),70%,
IF(CKadeaTelcoClients_Churn[[#This Row],[Type_Client]]="B2B",10%,
IF(OR(AND(F695&gt;=240,F695&lt;=720),AND(C695&lt;60,D695="Premium 5G 150Go")),45%,0%)))</f>
        <v>0</v>
      </c>
      <c r="J695" s="9">
        <f>CKadeaTelcoClients_Churn[[#This Row],[Remise]]*CKadeaTelcoClients_Churn[[#This Row],[Facture_Mensuelle]]</f>
        <v>0</v>
      </c>
      <c r="K695">
        <v>694</v>
      </c>
    </row>
    <row r="696" spans="1:11" x14ac:dyDescent="0.35">
      <c r="A696" t="s">
        <v>1589</v>
      </c>
      <c r="B696" t="s">
        <v>690</v>
      </c>
      <c r="C696">
        <v>92</v>
      </c>
      <c r="D696" t="s">
        <v>897</v>
      </c>
      <c r="E696" t="str">
        <f>IF(CKadeaTelcoClients_Churn[[#This Row],[Type_Forfait]]="pro monde","B2B","B2C")</f>
        <v>B2C</v>
      </c>
      <c r="F696">
        <v>379</v>
      </c>
      <c r="G696">
        <v>70.08</v>
      </c>
      <c r="H696">
        <v>5</v>
      </c>
      <c r="I696" s="8">
        <f>IF(AND(F696&gt;720,C696&gt;60),70%,
IF(CKadeaTelcoClients_Churn[[#This Row],[Type_Client]]="B2B",10%,
IF(OR(AND(F696&gt;=240,F696&lt;=720),AND(C696&lt;60,D696="Premium 5G 150Go")),45%,0%)))</f>
        <v>0.45</v>
      </c>
      <c r="J696" s="9">
        <f>CKadeaTelcoClients_Churn[[#This Row],[Remise]]*CKadeaTelcoClients_Churn[[#This Row],[Facture_Mensuelle]]</f>
        <v>31.536000000000001</v>
      </c>
      <c r="K696">
        <v>695</v>
      </c>
    </row>
    <row r="697" spans="1:11" x14ac:dyDescent="0.35">
      <c r="A697" t="s">
        <v>1590</v>
      </c>
      <c r="B697" t="s">
        <v>707</v>
      </c>
      <c r="C697">
        <v>35</v>
      </c>
      <c r="D697" t="s">
        <v>894</v>
      </c>
      <c r="E697" t="str">
        <f>IF(CKadeaTelcoClients_Churn[[#This Row],[Type_Forfait]]="pro monde","B2B","B2C")</f>
        <v>B2B</v>
      </c>
      <c r="F697">
        <v>299</v>
      </c>
      <c r="G697">
        <v>96.32</v>
      </c>
      <c r="H697">
        <v>4</v>
      </c>
      <c r="I697" s="8">
        <f>IF(AND(F697&gt;720,C697&gt;60),70%,
IF(CKadeaTelcoClients_Churn[[#This Row],[Type_Client]]="B2B",10%,
IF(OR(AND(F697&gt;=240,F697&lt;=720),AND(C697&lt;60,D697="Premium 5G 150Go")),45%,0%)))</f>
        <v>0.1</v>
      </c>
      <c r="J697" s="9">
        <f>CKadeaTelcoClients_Churn[[#This Row],[Remise]]*CKadeaTelcoClients_Churn[[#This Row],[Facture_Mensuelle]]</f>
        <v>9.6319999999999997</v>
      </c>
      <c r="K697">
        <v>696</v>
      </c>
    </row>
    <row r="698" spans="1:11" x14ac:dyDescent="0.35">
      <c r="A698" t="s">
        <v>1591</v>
      </c>
      <c r="B698" t="s">
        <v>693</v>
      </c>
      <c r="C698">
        <v>19</v>
      </c>
      <c r="D698" t="s">
        <v>897</v>
      </c>
      <c r="E698" t="str">
        <f>IF(CKadeaTelcoClients_Churn[[#This Row],[Type_Forfait]]="pro monde","B2B","B2C")</f>
        <v>B2C</v>
      </c>
      <c r="F698">
        <v>345</v>
      </c>
      <c r="G698">
        <v>54.37</v>
      </c>
      <c r="H698">
        <v>2</v>
      </c>
      <c r="I698" s="8">
        <f>IF(AND(F698&gt;720,C698&gt;60),70%,
IF(CKadeaTelcoClients_Churn[[#This Row],[Type_Client]]="B2B",10%,
IF(OR(AND(F698&gt;=240,F698&lt;=720),AND(C698&lt;60,D698="Premium 5G 150Go")),45%,0%)))</f>
        <v>0.45</v>
      </c>
      <c r="J698" s="9">
        <f>CKadeaTelcoClients_Churn[[#This Row],[Remise]]*CKadeaTelcoClients_Churn[[#This Row],[Facture_Mensuelle]]</f>
        <v>24.4665</v>
      </c>
      <c r="K698">
        <v>697</v>
      </c>
    </row>
    <row r="699" spans="1:11" x14ac:dyDescent="0.35">
      <c r="A699" t="s">
        <v>1592</v>
      </c>
      <c r="B699" t="s">
        <v>716</v>
      </c>
      <c r="C699">
        <v>94</v>
      </c>
      <c r="D699" t="s">
        <v>899</v>
      </c>
      <c r="E699" t="str">
        <f>IF(CKadeaTelcoClients_Churn[[#This Row],[Type_Forfait]]="pro monde","B2B","B2C")</f>
        <v>B2C</v>
      </c>
      <c r="F699">
        <v>261</v>
      </c>
      <c r="G699">
        <v>70.09</v>
      </c>
      <c r="H699">
        <v>3</v>
      </c>
      <c r="I699" s="8">
        <f>IF(AND(F699&gt;720,C699&gt;60),70%,
IF(CKadeaTelcoClients_Churn[[#This Row],[Type_Client]]="B2B",10%,
IF(OR(AND(F699&gt;=240,F699&lt;=720),AND(C699&lt;60,D699="Premium 5G 150Go")),45%,0%)))</f>
        <v>0.45</v>
      </c>
      <c r="J699" s="9">
        <f>CKadeaTelcoClients_Churn[[#This Row],[Remise]]*CKadeaTelcoClients_Churn[[#This Row],[Facture_Mensuelle]]</f>
        <v>31.540500000000002</v>
      </c>
      <c r="K699">
        <v>698</v>
      </c>
    </row>
    <row r="700" spans="1:11" x14ac:dyDescent="0.35">
      <c r="A700" t="s">
        <v>1593</v>
      </c>
      <c r="B700" t="s">
        <v>675</v>
      </c>
      <c r="C700">
        <v>26</v>
      </c>
      <c r="D700" t="s">
        <v>892</v>
      </c>
      <c r="E700" t="str">
        <f>IF(CKadeaTelcoClients_Churn[[#This Row],[Type_Forfait]]="pro monde","B2B","B2C")</f>
        <v>B2C</v>
      </c>
      <c r="F700">
        <v>378</v>
      </c>
      <c r="G700">
        <v>45.21</v>
      </c>
      <c r="H700">
        <v>5</v>
      </c>
      <c r="I700" s="8">
        <f>IF(AND(F700&gt;720,C700&gt;60),70%,
IF(CKadeaTelcoClients_Churn[[#This Row],[Type_Client]]="B2B",10%,
IF(OR(AND(F700&gt;=240,F700&lt;=720),AND(C700&lt;60,D700="Premium 5G 150Go")),45%,0%)))</f>
        <v>0.45</v>
      </c>
      <c r="J700" s="9">
        <f>CKadeaTelcoClients_Churn[[#This Row],[Remise]]*CKadeaTelcoClients_Churn[[#This Row],[Facture_Mensuelle]]</f>
        <v>20.3445</v>
      </c>
      <c r="K700">
        <v>699</v>
      </c>
    </row>
    <row r="701" spans="1:11" x14ac:dyDescent="0.35">
      <c r="A701" t="s">
        <v>1594</v>
      </c>
      <c r="B701" t="s">
        <v>693</v>
      </c>
      <c r="C701">
        <v>56</v>
      </c>
      <c r="D701" t="s">
        <v>899</v>
      </c>
      <c r="E701" t="str">
        <f>IF(CKadeaTelcoClients_Churn[[#This Row],[Type_Forfait]]="pro monde","B2B","B2C")</f>
        <v>B2C</v>
      </c>
      <c r="F701">
        <v>367</v>
      </c>
      <c r="G701">
        <v>72.790000000000006</v>
      </c>
      <c r="H701">
        <v>1</v>
      </c>
      <c r="I701" s="8">
        <f>IF(AND(F701&gt;720,C701&gt;60),70%,
IF(CKadeaTelcoClients_Churn[[#This Row],[Type_Client]]="B2B",10%,
IF(OR(AND(F701&gt;=240,F701&lt;=720),AND(C701&lt;60,D701="Premium 5G 150Go")),45%,0%)))</f>
        <v>0.45</v>
      </c>
      <c r="J701" s="9">
        <f>CKadeaTelcoClients_Churn[[#This Row],[Remise]]*CKadeaTelcoClients_Churn[[#This Row],[Facture_Mensuelle]]</f>
        <v>32.755500000000005</v>
      </c>
      <c r="K701">
        <v>700</v>
      </c>
    </row>
    <row r="702" spans="1:11" x14ac:dyDescent="0.35">
      <c r="A702" t="s">
        <v>1595</v>
      </c>
      <c r="B702" t="s">
        <v>737</v>
      </c>
      <c r="C702">
        <v>97</v>
      </c>
      <c r="D702" t="s">
        <v>897</v>
      </c>
      <c r="E702" t="str">
        <f>IF(CKadeaTelcoClients_Churn[[#This Row],[Type_Forfait]]="pro monde","B2B","B2C")</f>
        <v>B2C</v>
      </c>
      <c r="F702">
        <v>173</v>
      </c>
      <c r="G702">
        <v>19.37</v>
      </c>
      <c r="H702">
        <v>5</v>
      </c>
      <c r="I702" s="8">
        <f>IF(AND(F702&gt;720,C702&gt;60),70%,
IF(CKadeaTelcoClients_Churn[[#This Row],[Type_Client]]="B2B",10%,
IF(OR(AND(F702&gt;=240,F702&lt;=720),AND(C702&lt;60,D702="Premium 5G 150Go")),45%,0%)))</f>
        <v>0</v>
      </c>
      <c r="J702" s="9">
        <f>CKadeaTelcoClients_Churn[[#This Row],[Remise]]*CKadeaTelcoClients_Churn[[#This Row],[Facture_Mensuelle]]</f>
        <v>0</v>
      </c>
      <c r="K702">
        <v>701</v>
      </c>
    </row>
    <row r="703" spans="1:11" x14ac:dyDescent="0.35">
      <c r="A703" t="s">
        <v>1596</v>
      </c>
      <c r="B703" t="s">
        <v>696</v>
      </c>
      <c r="C703">
        <v>54</v>
      </c>
      <c r="D703" t="s">
        <v>899</v>
      </c>
      <c r="E703" t="str">
        <f>IF(CKadeaTelcoClients_Churn[[#This Row],[Type_Forfait]]="pro monde","B2B","B2C")</f>
        <v>B2C</v>
      </c>
      <c r="F703">
        <v>215</v>
      </c>
      <c r="G703">
        <v>54.69</v>
      </c>
      <c r="H703">
        <v>0</v>
      </c>
      <c r="I703" s="8">
        <f>IF(AND(F703&gt;720,C703&gt;60),70%,
IF(CKadeaTelcoClients_Churn[[#This Row],[Type_Client]]="B2B",10%,
IF(OR(AND(F703&gt;=240,F703&lt;=720),AND(C703&lt;60,D703="Premium 5G 150Go")),45%,0%)))</f>
        <v>0</v>
      </c>
      <c r="J703" s="9">
        <f>CKadeaTelcoClients_Churn[[#This Row],[Remise]]*CKadeaTelcoClients_Churn[[#This Row],[Facture_Mensuelle]]</f>
        <v>0</v>
      </c>
      <c r="K703">
        <v>702</v>
      </c>
    </row>
    <row r="704" spans="1:11" x14ac:dyDescent="0.35">
      <c r="A704" t="s">
        <v>1597</v>
      </c>
      <c r="B704" t="s">
        <v>726</v>
      </c>
      <c r="C704">
        <v>119</v>
      </c>
      <c r="D704" t="s">
        <v>897</v>
      </c>
      <c r="E704" t="str">
        <f>IF(CKadeaTelcoClients_Churn[[#This Row],[Type_Forfait]]="pro monde","B2B","B2C")</f>
        <v>B2C</v>
      </c>
      <c r="F704">
        <v>133</v>
      </c>
      <c r="G704">
        <v>30.27</v>
      </c>
      <c r="H704">
        <v>5</v>
      </c>
      <c r="I704" s="8">
        <f>IF(AND(F704&gt;720,C704&gt;60),70%,
IF(CKadeaTelcoClients_Churn[[#This Row],[Type_Client]]="B2B",10%,
IF(OR(AND(F704&gt;=240,F704&lt;=720),AND(C704&lt;60,D704="Premium 5G 150Go")),45%,0%)))</f>
        <v>0</v>
      </c>
      <c r="J704" s="9">
        <f>CKadeaTelcoClients_Churn[[#This Row],[Remise]]*CKadeaTelcoClients_Churn[[#This Row],[Facture_Mensuelle]]</f>
        <v>0</v>
      </c>
      <c r="K704">
        <v>703</v>
      </c>
    </row>
    <row r="705" spans="1:11" x14ac:dyDescent="0.35">
      <c r="A705" t="s">
        <v>1598</v>
      </c>
      <c r="B705" t="s">
        <v>738</v>
      </c>
      <c r="C705">
        <v>9</v>
      </c>
      <c r="D705" t="s">
        <v>899</v>
      </c>
      <c r="E705" t="str">
        <f>IF(CKadeaTelcoClients_Churn[[#This Row],[Type_Forfait]]="pro monde","B2B","B2C")</f>
        <v>B2C</v>
      </c>
      <c r="F705">
        <v>102</v>
      </c>
      <c r="G705">
        <v>41.52</v>
      </c>
      <c r="H705">
        <v>0</v>
      </c>
      <c r="I705" s="8">
        <f>IF(AND(F705&gt;720,C705&gt;60),70%,
IF(CKadeaTelcoClients_Churn[[#This Row],[Type_Client]]="B2B",10%,
IF(OR(AND(F705&gt;=240,F705&lt;=720),AND(C705&lt;60,D705="Premium 5G 150Go")),45%,0%)))</f>
        <v>0</v>
      </c>
      <c r="J705" s="9">
        <f>CKadeaTelcoClients_Churn[[#This Row],[Remise]]*CKadeaTelcoClients_Churn[[#This Row],[Facture_Mensuelle]]</f>
        <v>0</v>
      </c>
      <c r="K705">
        <v>704</v>
      </c>
    </row>
    <row r="706" spans="1:11" x14ac:dyDescent="0.35">
      <c r="A706" t="s">
        <v>1599</v>
      </c>
      <c r="B706" t="s">
        <v>707</v>
      </c>
      <c r="C706">
        <v>8</v>
      </c>
      <c r="D706" t="s">
        <v>897</v>
      </c>
      <c r="E706" t="str">
        <f>IF(CKadeaTelcoClients_Churn[[#This Row],[Type_Forfait]]="pro monde","B2B","B2C")</f>
        <v>B2C</v>
      </c>
      <c r="F706">
        <v>171</v>
      </c>
      <c r="G706">
        <v>52.98</v>
      </c>
      <c r="H706">
        <v>0</v>
      </c>
      <c r="I706" s="8">
        <f>IF(AND(F706&gt;720,C706&gt;60),70%,
IF(CKadeaTelcoClients_Churn[[#This Row],[Type_Client]]="B2B",10%,
IF(OR(AND(F706&gt;=240,F706&lt;=720),AND(C706&lt;60,D706="Premium 5G 150Go")),45%,0%)))</f>
        <v>0</v>
      </c>
      <c r="J706" s="9">
        <f>CKadeaTelcoClients_Churn[[#This Row],[Remise]]*CKadeaTelcoClients_Churn[[#This Row],[Facture_Mensuelle]]</f>
        <v>0</v>
      </c>
      <c r="K706">
        <v>705</v>
      </c>
    </row>
    <row r="707" spans="1:11" x14ac:dyDescent="0.35">
      <c r="A707" t="s">
        <v>1600</v>
      </c>
      <c r="B707" t="s">
        <v>696</v>
      </c>
      <c r="C707">
        <v>79</v>
      </c>
      <c r="D707" t="s">
        <v>892</v>
      </c>
      <c r="E707" t="str">
        <f>IF(CKadeaTelcoClients_Churn[[#This Row],[Type_Forfait]]="pro monde","B2B","B2C")</f>
        <v>B2C</v>
      </c>
      <c r="F707">
        <v>454</v>
      </c>
      <c r="G707">
        <v>80.34</v>
      </c>
      <c r="H707">
        <v>2</v>
      </c>
      <c r="I707" s="8">
        <f>IF(AND(F707&gt;720,C707&gt;60),70%,
IF(CKadeaTelcoClients_Churn[[#This Row],[Type_Client]]="B2B",10%,
IF(OR(AND(F707&gt;=240,F707&lt;=720),AND(C707&lt;60,D707="Premium 5G 150Go")),45%,0%)))</f>
        <v>0.45</v>
      </c>
      <c r="J707" s="9">
        <f>CKadeaTelcoClients_Churn[[#This Row],[Remise]]*CKadeaTelcoClients_Churn[[#This Row],[Facture_Mensuelle]]</f>
        <v>36.153000000000006</v>
      </c>
      <c r="K707">
        <v>706</v>
      </c>
    </row>
    <row r="708" spans="1:11" x14ac:dyDescent="0.35">
      <c r="A708" t="s">
        <v>1601</v>
      </c>
      <c r="B708" t="s">
        <v>707</v>
      </c>
      <c r="C708">
        <v>33</v>
      </c>
      <c r="D708" t="s">
        <v>894</v>
      </c>
      <c r="E708" t="str">
        <f>IF(CKadeaTelcoClients_Churn[[#This Row],[Type_Forfait]]="pro monde","B2B","B2C")</f>
        <v>B2B</v>
      </c>
      <c r="F708">
        <v>391</v>
      </c>
      <c r="G708">
        <v>88.88</v>
      </c>
      <c r="H708">
        <v>4</v>
      </c>
      <c r="I708" s="8">
        <f>IF(AND(F708&gt;720,C708&gt;60),70%,
IF(CKadeaTelcoClients_Churn[[#This Row],[Type_Client]]="B2B",10%,
IF(OR(AND(F708&gt;=240,F708&lt;=720),AND(C708&lt;60,D708="Premium 5G 150Go")),45%,0%)))</f>
        <v>0.1</v>
      </c>
      <c r="J708" s="9">
        <f>CKadeaTelcoClients_Churn[[#This Row],[Remise]]*CKadeaTelcoClients_Churn[[#This Row],[Facture_Mensuelle]]</f>
        <v>8.8879999999999999</v>
      </c>
      <c r="K708">
        <v>707</v>
      </c>
    </row>
    <row r="709" spans="1:11" x14ac:dyDescent="0.35">
      <c r="A709" t="s">
        <v>1602</v>
      </c>
      <c r="B709" t="s">
        <v>701</v>
      </c>
      <c r="C709">
        <v>15</v>
      </c>
      <c r="D709" t="s">
        <v>897</v>
      </c>
      <c r="E709" t="str">
        <f>IF(CKadeaTelcoClients_Churn[[#This Row],[Type_Forfait]]="pro monde","B2B","B2C")</f>
        <v>B2C</v>
      </c>
      <c r="F709">
        <v>30</v>
      </c>
      <c r="G709">
        <v>30.5</v>
      </c>
      <c r="H709">
        <v>1</v>
      </c>
      <c r="I709" s="8">
        <f>IF(AND(F709&gt;720,C709&gt;60),70%,
IF(CKadeaTelcoClients_Churn[[#This Row],[Type_Client]]="B2B",10%,
IF(OR(AND(F709&gt;=240,F709&lt;=720),AND(C709&lt;60,D709="Premium 5G 150Go")),45%,0%)))</f>
        <v>0</v>
      </c>
      <c r="J709" s="9">
        <f>CKadeaTelcoClients_Churn[[#This Row],[Remise]]*CKadeaTelcoClients_Churn[[#This Row],[Facture_Mensuelle]]</f>
        <v>0</v>
      </c>
      <c r="K709">
        <v>708</v>
      </c>
    </row>
    <row r="710" spans="1:11" x14ac:dyDescent="0.35">
      <c r="A710" t="s">
        <v>1603</v>
      </c>
      <c r="B710" t="s">
        <v>693</v>
      </c>
      <c r="C710">
        <v>5</v>
      </c>
      <c r="D710" t="s">
        <v>892</v>
      </c>
      <c r="E710" t="str">
        <f>IF(CKadeaTelcoClients_Churn[[#This Row],[Type_Forfait]]="pro monde","B2B","B2C")</f>
        <v>B2C</v>
      </c>
      <c r="F710">
        <v>71</v>
      </c>
      <c r="G710">
        <v>93.81</v>
      </c>
      <c r="H710">
        <v>3</v>
      </c>
      <c r="I710" s="8">
        <f>IF(AND(F710&gt;720,C710&gt;60),70%,
IF(CKadeaTelcoClients_Churn[[#This Row],[Type_Client]]="B2B",10%,
IF(OR(AND(F710&gt;=240,F710&lt;=720),AND(C710&lt;60,D710="Premium 5G 150Go")),45%,0%)))</f>
        <v>0.45</v>
      </c>
      <c r="J710" s="9">
        <f>CKadeaTelcoClients_Churn[[#This Row],[Remise]]*CKadeaTelcoClients_Churn[[#This Row],[Facture_Mensuelle]]</f>
        <v>42.214500000000001</v>
      </c>
      <c r="K710">
        <v>709</v>
      </c>
    </row>
    <row r="711" spans="1:11" x14ac:dyDescent="0.35">
      <c r="A711" t="s">
        <v>1604</v>
      </c>
      <c r="B711" t="s">
        <v>703</v>
      </c>
      <c r="C711">
        <v>109</v>
      </c>
      <c r="D711" t="s">
        <v>899</v>
      </c>
      <c r="E711" t="str">
        <f>IF(CKadeaTelcoClients_Churn[[#This Row],[Type_Forfait]]="pro monde","B2B","B2C")</f>
        <v>B2C</v>
      </c>
      <c r="F711">
        <v>104</v>
      </c>
      <c r="G711">
        <v>12.37</v>
      </c>
      <c r="H711">
        <v>5</v>
      </c>
      <c r="I711" s="8">
        <f>IF(AND(F711&gt;720,C711&gt;60),70%,
IF(CKadeaTelcoClients_Churn[[#This Row],[Type_Client]]="B2B",10%,
IF(OR(AND(F711&gt;=240,F711&lt;=720),AND(C711&lt;60,D711="Premium 5G 150Go")),45%,0%)))</f>
        <v>0</v>
      </c>
      <c r="J711" s="9">
        <f>CKadeaTelcoClients_Churn[[#This Row],[Remise]]*CKadeaTelcoClients_Churn[[#This Row],[Facture_Mensuelle]]</f>
        <v>0</v>
      </c>
      <c r="K711">
        <v>710</v>
      </c>
    </row>
    <row r="712" spans="1:11" x14ac:dyDescent="0.35">
      <c r="A712" t="s">
        <v>1605</v>
      </c>
      <c r="B712" t="s">
        <v>699</v>
      </c>
      <c r="C712">
        <v>96</v>
      </c>
      <c r="D712" t="s">
        <v>894</v>
      </c>
      <c r="E712" t="str">
        <f>IF(CKadeaTelcoClients_Churn[[#This Row],[Type_Forfait]]="pro monde","B2B","B2C")</f>
        <v>B2B</v>
      </c>
      <c r="F712">
        <v>280</v>
      </c>
      <c r="G712">
        <v>80.36</v>
      </c>
      <c r="H712">
        <v>5</v>
      </c>
      <c r="I712" s="8">
        <f>IF(AND(F712&gt;720,C712&gt;60),70%,
IF(CKadeaTelcoClients_Churn[[#This Row],[Type_Client]]="B2B",10%,
IF(OR(AND(F712&gt;=240,F712&lt;=720),AND(C712&lt;60,D712="Premium 5G 150Go")),45%,0%)))</f>
        <v>0.1</v>
      </c>
      <c r="J712" s="9">
        <f>CKadeaTelcoClients_Churn[[#This Row],[Remise]]*CKadeaTelcoClients_Churn[[#This Row],[Facture_Mensuelle]]</f>
        <v>8.0359999999999996</v>
      </c>
      <c r="K712">
        <v>711</v>
      </c>
    </row>
    <row r="713" spans="1:11" x14ac:dyDescent="0.35">
      <c r="A713" t="s">
        <v>1606</v>
      </c>
      <c r="B713" t="s">
        <v>682</v>
      </c>
      <c r="C713">
        <v>10</v>
      </c>
      <c r="D713" t="s">
        <v>899</v>
      </c>
      <c r="E713" t="str">
        <f>IF(CKadeaTelcoClients_Churn[[#This Row],[Type_Forfait]]="pro monde","B2B","B2C")</f>
        <v>B2C</v>
      </c>
      <c r="F713">
        <v>418</v>
      </c>
      <c r="G713">
        <v>27.66</v>
      </c>
      <c r="H713">
        <v>2</v>
      </c>
      <c r="I713" s="8">
        <f>IF(AND(F713&gt;720,C713&gt;60),70%,
IF(CKadeaTelcoClients_Churn[[#This Row],[Type_Client]]="B2B",10%,
IF(OR(AND(F713&gt;=240,F713&lt;=720),AND(C713&lt;60,D713="Premium 5G 150Go")),45%,0%)))</f>
        <v>0.45</v>
      </c>
      <c r="J713" s="9">
        <f>CKadeaTelcoClients_Churn[[#This Row],[Remise]]*CKadeaTelcoClients_Churn[[#This Row],[Facture_Mensuelle]]</f>
        <v>12.447000000000001</v>
      </c>
      <c r="K713">
        <v>712</v>
      </c>
    </row>
    <row r="714" spans="1:11" x14ac:dyDescent="0.35">
      <c r="A714" t="s">
        <v>1607</v>
      </c>
      <c r="B714" t="s">
        <v>685</v>
      </c>
      <c r="C714">
        <v>57</v>
      </c>
      <c r="D714" t="s">
        <v>899</v>
      </c>
      <c r="E714" t="str">
        <f>IF(CKadeaTelcoClients_Churn[[#This Row],[Type_Forfait]]="pro monde","B2B","B2C")</f>
        <v>B2C</v>
      </c>
      <c r="F714">
        <v>375</v>
      </c>
      <c r="G714">
        <v>64.73</v>
      </c>
      <c r="H714">
        <v>1</v>
      </c>
      <c r="I714" s="8">
        <f>IF(AND(F714&gt;720,C714&gt;60),70%,
IF(CKadeaTelcoClients_Churn[[#This Row],[Type_Client]]="B2B",10%,
IF(OR(AND(F714&gt;=240,F714&lt;=720),AND(C714&lt;60,D714="Premium 5G 150Go")),45%,0%)))</f>
        <v>0.45</v>
      </c>
      <c r="J714" s="9">
        <f>CKadeaTelcoClients_Churn[[#This Row],[Remise]]*CKadeaTelcoClients_Churn[[#This Row],[Facture_Mensuelle]]</f>
        <v>29.128500000000003</v>
      </c>
      <c r="K714">
        <v>713</v>
      </c>
    </row>
    <row r="715" spans="1:11" x14ac:dyDescent="0.35">
      <c r="A715" t="s">
        <v>1608</v>
      </c>
      <c r="B715" t="s">
        <v>714</v>
      </c>
      <c r="C715">
        <v>98</v>
      </c>
      <c r="D715" t="s">
        <v>894</v>
      </c>
      <c r="E715" t="str">
        <f>IF(CKadeaTelcoClients_Churn[[#This Row],[Type_Forfait]]="pro monde","B2B","B2C")</f>
        <v>B2B</v>
      </c>
      <c r="F715">
        <v>168</v>
      </c>
      <c r="G715">
        <v>44.14</v>
      </c>
      <c r="H715">
        <v>3</v>
      </c>
      <c r="I715" s="8">
        <f>IF(AND(F715&gt;720,C715&gt;60),70%,
IF(CKadeaTelcoClients_Churn[[#This Row],[Type_Client]]="B2B",10%,
IF(OR(AND(F715&gt;=240,F715&lt;=720),AND(C715&lt;60,D715="Premium 5G 150Go")),45%,0%)))</f>
        <v>0.1</v>
      </c>
      <c r="J715" s="9">
        <f>CKadeaTelcoClients_Churn[[#This Row],[Remise]]*CKadeaTelcoClients_Churn[[#This Row],[Facture_Mensuelle]]</f>
        <v>4.4140000000000006</v>
      </c>
      <c r="K715">
        <v>714</v>
      </c>
    </row>
    <row r="716" spans="1:11" x14ac:dyDescent="0.35">
      <c r="A716" t="s">
        <v>1609</v>
      </c>
      <c r="B716" t="s">
        <v>693</v>
      </c>
      <c r="C716">
        <v>48</v>
      </c>
      <c r="D716" t="s">
        <v>892</v>
      </c>
      <c r="E716" t="str">
        <f>IF(CKadeaTelcoClients_Churn[[#This Row],[Type_Forfait]]="pro monde","B2B","B2C")</f>
        <v>B2C</v>
      </c>
      <c r="F716">
        <v>473</v>
      </c>
      <c r="G716">
        <v>71.52</v>
      </c>
      <c r="H716">
        <v>5</v>
      </c>
      <c r="I716" s="8">
        <f>IF(AND(F716&gt;720,C716&gt;60),70%,
IF(CKadeaTelcoClients_Churn[[#This Row],[Type_Client]]="B2B",10%,
IF(OR(AND(F716&gt;=240,F716&lt;=720),AND(C716&lt;60,D716="Premium 5G 150Go")),45%,0%)))</f>
        <v>0.45</v>
      </c>
      <c r="J716" s="9">
        <f>CKadeaTelcoClients_Churn[[#This Row],[Remise]]*CKadeaTelcoClients_Churn[[#This Row],[Facture_Mensuelle]]</f>
        <v>32.183999999999997</v>
      </c>
      <c r="K716">
        <v>715</v>
      </c>
    </row>
    <row r="717" spans="1:11" x14ac:dyDescent="0.35">
      <c r="A717" t="s">
        <v>1610</v>
      </c>
      <c r="B717" t="s">
        <v>685</v>
      </c>
      <c r="C717">
        <v>78</v>
      </c>
      <c r="D717" t="s">
        <v>892</v>
      </c>
      <c r="E717" t="str">
        <f>IF(CKadeaTelcoClients_Churn[[#This Row],[Type_Forfait]]="pro monde","B2B","B2C")</f>
        <v>B2C</v>
      </c>
      <c r="F717">
        <v>387</v>
      </c>
      <c r="G717">
        <v>11.63</v>
      </c>
      <c r="H717">
        <v>2</v>
      </c>
      <c r="I717" s="8">
        <f>IF(AND(F717&gt;720,C717&gt;60),70%,
IF(CKadeaTelcoClients_Churn[[#This Row],[Type_Client]]="B2B",10%,
IF(OR(AND(F717&gt;=240,F717&lt;=720),AND(C717&lt;60,D717="Premium 5G 150Go")),45%,0%)))</f>
        <v>0.45</v>
      </c>
      <c r="J717" s="9">
        <f>CKadeaTelcoClients_Churn[[#This Row],[Remise]]*CKadeaTelcoClients_Churn[[#This Row],[Facture_Mensuelle]]</f>
        <v>5.2335000000000003</v>
      </c>
      <c r="K717">
        <v>716</v>
      </c>
    </row>
    <row r="718" spans="1:11" x14ac:dyDescent="0.35">
      <c r="A718" t="s">
        <v>1611</v>
      </c>
      <c r="B718" t="s">
        <v>702</v>
      </c>
      <c r="C718">
        <v>81</v>
      </c>
      <c r="D718" t="s">
        <v>899</v>
      </c>
      <c r="E718" t="str">
        <f>IF(CKadeaTelcoClients_Churn[[#This Row],[Type_Forfait]]="pro monde","B2B","B2C")</f>
        <v>B2C</v>
      </c>
      <c r="F718">
        <v>339</v>
      </c>
      <c r="G718">
        <v>53.4</v>
      </c>
      <c r="H718">
        <v>2</v>
      </c>
      <c r="I718" s="8">
        <f>IF(AND(F718&gt;720,C718&gt;60),70%,
IF(CKadeaTelcoClients_Churn[[#This Row],[Type_Client]]="B2B",10%,
IF(OR(AND(F718&gt;=240,F718&lt;=720),AND(C718&lt;60,D718="Premium 5G 150Go")),45%,0%)))</f>
        <v>0.45</v>
      </c>
      <c r="J718" s="9">
        <f>CKadeaTelcoClients_Churn[[#This Row],[Remise]]*CKadeaTelcoClients_Churn[[#This Row],[Facture_Mensuelle]]</f>
        <v>24.03</v>
      </c>
      <c r="K718">
        <v>717</v>
      </c>
    </row>
    <row r="719" spans="1:11" x14ac:dyDescent="0.35">
      <c r="A719" t="s">
        <v>1612</v>
      </c>
      <c r="B719" t="s">
        <v>716</v>
      </c>
      <c r="C719">
        <v>108</v>
      </c>
      <c r="D719" t="s">
        <v>897</v>
      </c>
      <c r="E719" t="str">
        <f>IF(CKadeaTelcoClients_Churn[[#This Row],[Type_Forfait]]="pro monde","B2B","B2C")</f>
        <v>B2C</v>
      </c>
      <c r="F719">
        <v>467</v>
      </c>
      <c r="G719">
        <v>44.84</v>
      </c>
      <c r="H719">
        <v>4</v>
      </c>
      <c r="I719" s="8">
        <f>IF(AND(F719&gt;720,C719&gt;60),70%,
IF(CKadeaTelcoClients_Churn[[#This Row],[Type_Client]]="B2B",10%,
IF(OR(AND(F719&gt;=240,F719&lt;=720),AND(C719&lt;60,D719="Premium 5G 150Go")),45%,0%)))</f>
        <v>0.45</v>
      </c>
      <c r="J719" s="9">
        <f>CKadeaTelcoClients_Churn[[#This Row],[Remise]]*CKadeaTelcoClients_Churn[[#This Row],[Facture_Mensuelle]]</f>
        <v>20.178000000000001</v>
      </c>
      <c r="K719">
        <v>718</v>
      </c>
    </row>
    <row r="720" spans="1:11" x14ac:dyDescent="0.35">
      <c r="A720" t="s">
        <v>1613</v>
      </c>
      <c r="B720" t="s">
        <v>682</v>
      </c>
      <c r="C720">
        <v>4</v>
      </c>
      <c r="D720" t="s">
        <v>894</v>
      </c>
      <c r="E720" t="str">
        <f>IF(CKadeaTelcoClients_Churn[[#This Row],[Type_Forfait]]="pro monde","B2B","B2C")</f>
        <v>B2B</v>
      </c>
      <c r="F720">
        <v>449</v>
      </c>
      <c r="G720">
        <v>43.95</v>
      </c>
      <c r="H720">
        <v>2</v>
      </c>
      <c r="I720" s="8">
        <f>IF(AND(F720&gt;720,C720&gt;60),70%,
IF(CKadeaTelcoClients_Churn[[#This Row],[Type_Client]]="B2B",10%,
IF(OR(AND(F720&gt;=240,F720&lt;=720),AND(C720&lt;60,D720="Premium 5G 150Go")),45%,0%)))</f>
        <v>0.1</v>
      </c>
      <c r="J720" s="9">
        <f>CKadeaTelcoClients_Churn[[#This Row],[Remise]]*CKadeaTelcoClients_Churn[[#This Row],[Facture_Mensuelle]]</f>
        <v>4.3950000000000005</v>
      </c>
      <c r="K720">
        <v>719</v>
      </c>
    </row>
    <row r="721" spans="1:11" x14ac:dyDescent="0.35">
      <c r="A721" t="s">
        <v>1614</v>
      </c>
      <c r="B721" t="s">
        <v>688</v>
      </c>
      <c r="C721">
        <v>119</v>
      </c>
      <c r="D721" t="s">
        <v>894</v>
      </c>
      <c r="E721" t="str">
        <f>IF(CKadeaTelcoClients_Churn[[#This Row],[Type_Forfait]]="pro monde","B2B","B2C")</f>
        <v>B2B</v>
      </c>
      <c r="F721">
        <v>31</v>
      </c>
      <c r="G721">
        <v>21.27</v>
      </c>
      <c r="H721">
        <v>5</v>
      </c>
      <c r="I721" s="8">
        <f>IF(AND(F721&gt;720,C721&gt;60),70%,
IF(CKadeaTelcoClients_Churn[[#This Row],[Type_Client]]="B2B",10%,
IF(OR(AND(F721&gt;=240,F721&lt;=720),AND(C721&lt;60,D721="Premium 5G 150Go")),45%,0%)))</f>
        <v>0.1</v>
      </c>
      <c r="J721" s="9">
        <f>CKadeaTelcoClients_Churn[[#This Row],[Remise]]*CKadeaTelcoClients_Churn[[#This Row],[Facture_Mensuelle]]</f>
        <v>2.1270000000000002</v>
      </c>
      <c r="K721">
        <v>720</v>
      </c>
    </row>
    <row r="722" spans="1:11" x14ac:dyDescent="0.35">
      <c r="A722" t="s">
        <v>1615</v>
      </c>
      <c r="B722" t="s">
        <v>699</v>
      </c>
      <c r="C722">
        <v>23</v>
      </c>
      <c r="D722" t="s">
        <v>894</v>
      </c>
      <c r="E722" t="str">
        <f>IF(CKadeaTelcoClients_Churn[[#This Row],[Type_Forfait]]="pro monde","B2B","B2C")</f>
        <v>B2B</v>
      </c>
      <c r="F722">
        <v>120</v>
      </c>
      <c r="G722">
        <v>73.12</v>
      </c>
      <c r="H722">
        <v>1</v>
      </c>
      <c r="I722" s="8">
        <f>IF(AND(F722&gt;720,C722&gt;60),70%,
IF(CKadeaTelcoClients_Churn[[#This Row],[Type_Client]]="B2B",10%,
IF(OR(AND(F722&gt;=240,F722&lt;=720),AND(C722&lt;60,D722="Premium 5G 150Go")),45%,0%)))</f>
        <v>0.1</v>
      </c>
      <c r="J722" s="9">
        <f>CKadeaTelcoClients_Churn[[#This Row],[Remise]]*CKadeaTelcoClients_Churn[[#This Row],[Facture_Mensuelle]]</f>
        <v>7.3120000000000012</v>
      </c>
      <c r="K722">
        <v>721</v>
      </c>
    </row>
    <row r="723" spans="1:11" x14ac:dyDescent="0.35">
      <c r="A723" t="s">
        <v>1616</v>
      </c>
      <c r="B723" t="s">
        <v>699</v>
      </c>
      <c r="C723">
        <v>42</v>
      </c>
      <c r="D723" t="s">
        <v>897</v>
      </c>
      <c r="E723" t="str">
        <f>IF(CKadeaTelcoClients_Churn[[#This Row],[Type_Forfait]]="pro monde","B2B","B2C")</f>
        <v>B2C</v>
      </c>
      <c r="F723">
        <v>252</v>
      </c>
      <c r="G723">
        <v>59.46</v>
      </c>
      <c r="H723">
        <v>4</v>
      </c>
      <c r="I723" s="8">
        <f>IF(AND(F723&gt;720,C723&gt;60),70%,
IF(CKadeaTelcoClients_Churn[[#This Row],[Type_Client]]="B2B",10%,
IF(OR(AND(F723&gt;=240,F723&lt;=720),AND(C723&lt;60,D723="Premium 5G 150Go")),45%,0%)))</f>
        <v>0.45</v>
      </c>
      <c r="J723" s="9">
        <f>CKadeaTelcoClients_Churn[[#This Row],[Remise]]*CKadeaTelcoClients_Churn[[#This Row],[Facture_Mensuelle]]</f>
        <v>26.757000000000001</v>
      </c>
      <c r="K723">
        <v>722</v>
      </c>
    </row>
    <row r="724" spans="1:11" x14ac:dyDescent="0.35">
      <c r="A724" t="s">
        <v>1617</v>
      </c>
      <c r="B724" t="s">
        <v>700</v>
      </c>
      <c r="C724">
        <v>14</v>
      </c>
      <c r="D724" t="s">
        <v>897</v>
      </c>
      <c r="E724" t="str">
        <f>IF(CKadeaTelcoClients_Churn[[#This Row],[Type_Forfait]]="pro monde","B2B","B2C")</f>
        <v>B2C</v>
      </c>
      <c r="F724">
        <v>37</v>
      </c>
      <c r="G724">
        <v>20.399999999999999</v>
      </c>
      <c r="H724">
        <v>2</v>
      </c>
      <c r="I724" s="8">
        <f>IF(AND(F724&gt;720,C724&gt;60),70%,
IF(CKadeaTelcoClients_Churn[[#This Row],[Type_Client]]="B2B",10%,
IF(OR(AND(F724&gt;=240,F724&lt;=720),AND(C724&lt;60,D724="Premium 5G 150Go")),45%,0%)))</f>
        <v>0</v>
      </c>
      <c r="J724" s="9">
        <f>CKadeaTelcoClients_Churn[[#This Row],[Remise]]*CKadeaTelcoClients_Churn[[#This Row],[Facture_Mensuelle]]</f>
        <v>0</v>
      </c>
      <c r="K724">
        <v>723</v>
      </c>
    </row>
    <row r="725" spans="1:11" x14ac:dyDescent="0.35">
      <c r="A725" t="s">
        <v>1618</v>
      </c>
      <c r="B725" t="s">
        <v>699</v>
      </c>
      <c r="C725">
        <v>90</v>
      </c>
      <c r="D725" t="s">
        <v>899</v>
      </c>
      <c r="E725" t="str">
        <f>IF(CKadeaTelcoClients_Churn[[#This Row],[Type_Forfait]]="pro monde","B2B","B2C")</f>
        <v>B2C</v>
      </c>
      <c r="F725">
        <v>412</v>
      </c>
      <c r="G725">
        <v>20.62</v>
      </c>
      <c r="H725">
        <v>2</v>
      </c>
      <c r="I725" s="8">
        <f>IF(AND(F725&gt;720,C725&gt;60),70%,
IF(CKadeaTelcoClients_Churn[[#This Row],[Type_Client]]="B2B",10%,
IF(OR(AND(F725&gt;=240,F725&lt;=720),AND(C725&lt;60,D725="Premium 5G 150Go")),45%,0%)))</f>
        <v>0.45</v>
      </c>
      <c r="J725" s="9">
        <f>CKadeaTelcoClients_Churn[[#This Row],[Remise]]*CKadeaTelcoClients_Churn[[#This Row],[Facture_Mensuelle]]</f>
        <v>9.2789999999999999</v>
      </c>
      <c r="K725">
        <v>724</v>
      </c>
    </row>
    <row r="726" spans="1:11" x14ac:dyDescent="0.35">
      <c r="A726" t="s">
        <v>1619</v>
      </c>
      <c r="B726" t="s">
        <v>701</v>
      </c>
      <c r="C726">
        <v>58</v>
      </c>
      <c r="D726" t="s">
        <v>892</v>
      </c>
      <c r="E726" t="str">
        <f>IF(CKadeaTelcoClients_Churn[[#This Row],[Type_Forfait]]="pro monde","B2B","B2C")</f>
        <v>B2C</v>
      </c>
      <c r="F726">
        <v>485</v>
      </c>
      <c r="G726">
        <v>65.41</v>
      </c>
      <c r="H726">
        <v>5</v>
      </c>
      <c r="I726" s="8">
        <f>IF(AND(F726&gt;720,C726&gt;60),70%,
IF(CKadeaTelcoClients_Churn[[#This Row],[Type_Client]]="B2B",10%,
IF(OR(AND(F726&gt;=240,F726&lt;=720),AND(C726&lt;60,D726="Premium 5G 150Go")),45%,0%)))</f>
        <v>0.45</v>
      </c>
      <c r="J726" s="9">
        <f>CKadeaTelcoClients_Churn[[#This Row],[Remise]]*CKadeaTelcoClients_Churn[[#This Row],[Facture_Mensuelle]]</f>
        <v>29.4345</v>
      </c>
      <c r="K726">
        <v>725</v>
      </c>
    </row>
    <row r="727" spans="1:11" x14ac:dyDescent="0.35">
      <c r="A727" t="s">
        <v>1620</v>
      </c>
      <c r="B727" t="s">
        <v>696</v>
      </c>
      <c r="C727">
        <v>49</v>
      </c>
      <c r="D727" t="s">
        <v>897</v>
      </c>
      <c r="E727" t="str">
        <f>IF(CKadeaTelcoClients_Churn[[#This Row],[Type_Forfait]]="pro monde","B2B","B2C")</f>
        <v>B2C</v>
      </c>
      <c r="F727">
        <v>288</v>
      </c>
      <c r="G727">
        <v>91.32</v>
      </c>
      <c r="H727">
        <v>4</v>
      </c>
      <c r="I727" s="8">
        <f>IF(AND(F727&gt;720,C727&gt;60),70%,
IF(CKadeaTelcoClients_Churn[[#This Row],[Type_Client]]="B2B",10%,
IF(OR(AND(F727&gt;=240,F727&lt;=720),AND(C727&lt;60,D727="Premium 5G 150Go")),45%,0%)))</f>
        <v>0.45</v>
      </c>
      <c r="J727" s="9">
        <f>CKadeaTelcoClients_Churn[[#This Row],[Remise]]*CKadeaTelcoClients_Churn[[#This Row],[Facture_Mensuelle]]</f>
        <v>41.094000000000001</v>
      </c>
      <c r="K727">
        <v>726</v>
      </c>
    </row>
    <row r="728" spans="1:11" x14ac:dyDescent="0.35">
      <c r="A728" t="s">
        <v>1621</v>
      </c>
      <c r="B728" t="s">
        <v>726</v>
      </c>
      <c r="C728">
        <v>18</v>
      </c>
      <c r="D728" t="s">
        <v>897</v>
      </c>
      <c r="E728" t="str">
        <f>IF(CKadeaTelcoClients_Churn[[#This Row],[Type_Forfait]]="pro monde","B2B","B2C")</f>
        <v>B2C</v>
      </c>
      <c r="F728">
        <v>463</v>
      </c>
      <c r="G728">
        <v>41.66</v>
      </c>
      <c r="H728">
        <v>4</v>
      </c>
      <c r="I728" s="8">
        <f>IF(AND(F728&gt;720,C728&gt;60),70%,
IF(CKadeaTelcoClients_Churn[[#This Row],[Type_Client]]="B2B",10%,
IF(OR(AND(F728&gt;=240,F728&lt;=720),AND(C728&lt;60,D728="Premium 5G 150Go")),45%,0%)))</f>
        <v>0.45</v>
      </c>
      <c r="J728" s="9">
        <f>CKadeaTelcoClients_Churn[[#This Row],[Remise]]*CKadeaTelcoClients_Churn[[#This Row],[Facture_Mensuelle]]</f>
        <v>18.747</v>
      </c>
      <c r="K728">
        <v>727</v>
      </c>
    </row>
    <row r="729" spans="1:11" x14ac:dyDescent="0.35">
      <c r="A729" t="s">
        <v>1622</v>
      </c>
      <c r="B729" t="s">
        <v>725</v>
      </c>
      <c r="C729">
        <v>82</v>
      </c>
      <c r="D729" t="s">
        <v>894</v>
      </c>
      <c r="E729" t="str">
        <f>IF(CKadeaTelcoClients_Churn[[#This Row],[Type_Forfait]]="pro monde","B2B","B2C")</f>
        <v>B2B</v>
      </c>
      <c r="F729">
        <v>312</v>
      </c>
      <c r="G729">
        <v>40.880000000000003</v>
      </c>
      <c r="H729">
        <v>0</v>
      </c>
      <c r="I729" s="8">
        <f>IF(AND(F729&gt;720,C729&gt;60),70%,
IF(CKadeaTelcoClients_Churn[[#This Row],[Type_Client]]="B2B",10%,
IF(OR(AND(F729&gt;=240,F729&lt;=720),AND(C729&lt;60,D729="Premium 5G 150Go")),45%,0%)))</f>
        <v>0.1</v>
      </c>
      <c r="J729" s="9">
        <f>CKadeaTelcoClients_Churn[[#This Row],[Remise]]*CKadeaTelcoClients_Churn[[#This Row],[Facture_Mensuelle]]</f>
        <v>4.0880000000000001</v>
      </c>
      <c r="K729">
        <v>728</v>
      </c>
    </row>
    <row r="730" spans="1:11" x14ac:dyDescent="0.35">
      <c r="A730" t="s">
        <v>1623</v>
      </c>
      <c r="B730" t="s">
        <v>690</v>
      </c>
      <c r="C730">
        <v>74</v>
      </c>
      <c r="D730" t="s">
        <v>899</v>
      </c>
      <c r="E730" t="str">
        <f>IF(CKadeaTelcoClients_Churn[[#This Row],[Type_Forfait]]="pro monde","B2B","B2C")</f>
        <v>B2C</v>
      </c>
      <c r="F730">
        <v>359</v>
      </c>
      <c r="G730">
        <v>92.63</v>
      </c>
      <c r="H730">
        <v>0</v>
      </c>
      <c r="I730" s="8">
        <f>IF(AND(F730&gt;720,C730&gt;60),70%,
IF(CKadeaTelcoClients_Churn[[#This Row],[Type_Client]]="B2B",10%,
IF(OR(AND(F730&gt;=240,F730&lt;=720),AND(C730&lt;60,D730="Premium 5G 150Go")),45%,0%)))</f>
        <v>0.45</v>
      </c>
      <c r="J730" s="9">
        <f>CKadeaTelcoClients_Churn[[#This Row],[Remise]]*CKadeaTelcoClients_Churn[[#This Row],[Facture_Mensuelle]]</f>
        <v>41.683500000000002</v>
      </c>
      <c r="K730">
        <v>729</v>
      </c>
    </row>
    <row r="731" spans="1:11" x14ac:dyDescent="0.35">
      <c r="A731" t="s">
        <v>1624</v>
      </c>
      <c r="B731" t="s">
        <v>719</v>
      </c>
      <c r="C731">
        <v>72</v>
      </c>
      <c r="D731" t="s">
        <v>897</v>
      </c>
      <c r="E731" t="str">
        <f>IF(CKadeaTelcoClients_Churn[[#This Row],[Type_Forfait]]="pro monde","B2B","B2C")</f>
        <v>B2C</v>
      </c>
      <c r="F731">
        <v>427</v>
      </c>
      <c r="G731">
        <v>31.44</v>
      </c>
      <c r="H731">
        <v>2</v>
      </c>
      <c r="I731" s="8">
        <f>IF(AND(F731&gt;720,C731&gt;60),70%,
IF(CKadeaTelcoClients_Churn[[#This Row],[Type_Client]]="B2B",10%,
IF(OR(AND(F731&gt;=240,F731&lt;=720),AND(C731&lt;60,D731="Premium 5G 150Go")),45%,0%)))</f>
        <v>0.45</v>
      </c>
      <c r="J731" s="9">
        <f>CKadeaTelcoClients_Churn[[#This Row],[Remise]]*CKadeaTelcoClients_Churn[[#This Row],[Facture_Mensuelle]]</f>
        <v>14.148000000000001</v>
      </c>
      <c r="K731">
        <v>730</v>
      </c>
    </row>
    <row r="732" spans="1:11" x14ac:dyDescent="0.35">
      <c r="A732" t="s">
        <v>1625</v>
      </c>
      <c r="B732" t="s">
        <v>703</v>
      </c>
      <c r="C732">
        <v>26</v>
      </c>
      <c r="D732" t="s">
        <v>892</v>
      </c>
      <c r="E732" t="str">
        <f>IF(CKadeaTelcoClients_Churn[[#This Row],[Type_Forfait]]="pro monde","B2B","B2C")</f>
        <v>B2C</v>
      </c>
      <c r="F732">
        <v>391</v>
      </c>
      <c r="G732">
        <v>18.28</v>
      </c>
      <c r="H732">
        <v>3</v>
      </c>
      <c r="I732" s="8">
        <f>IF(AND(F732&gt;720,C732&gt;60),70%,
IF(CKadeaTelcoClients_Churn[[#This Row],[Type_Client]]="B2B",10%,
IF(OR(AND(F732&gt;=240,F732&lt;=720),AND(C732&lt;60,D732="Premium 5G 150Go")),45%,0%)))</f>
        <v>0.45</v>
      </c>
      <c r="J732" s="9">
        <f>CKadeaTelcoClients_Churn[[#This Row],[Remise]]*CKadeaTelcoClients_Churn[[#This Row],[Facture_Mensuelle]]</f>
        <v>8.2260000000000009</v>
      </c>
      <c r="K732">
        <v>731</v>
      </c>
    </row>
    <row r="733" spans="1:11" x14ac:dyDescent="0.35">
      <c r="A733" t="s">
        <v>1626</v>
      </c>
      <c r="B733" t="s">
        <v>706</v>
      </c>
      <c r="C733">
        <v>26</v>
      </c>
      <c r="D733" t="s">
        <v>897</v>
      </c>
      <c r="E733" t="str">
        <f>IF(CKadeaTelcoClients_Churn[[#This Row],[Type_Forfait]]="pro monde","B2B","B2C")</f>
        <v>B2C</v>
      </c>
      <c r="F733">
        <v>413</v>
      </c>
      <c r="G733">
        <v>10.9</v>
      </c>
      <c r="H733">
        <v>5</v>
      </c>
      <c r="I733" s="8">
        <f>IF(AND(F733&gt;720,C733&gt;60),70%,
IF(CKadeaTelcoClients_Churn[[#This Row],[Type_Client]]="B2B",10%,
IF(OR(AND(F733&gt;=240,F733&lt;=720),AND(C733&lt;60,D733="Premium 5G 150Go")),45%,0%)))</f>
        <v>0.45</v>
      </c>
      <c r="J733" s="9">
        <f>CKadeaTelcoClients_Churn[[#This Row],[Remise]]*CKadeaTelcoClients_Churn[[#This Row],[Facture_Mensuelle]]</f>
        <v>4.9050000000000002</v>
      </c>
      <c r="K733">
        <v>732</v>
      </c>
    </row>
    <row r="734" spans="1:11" x14ac:dyDescent="0.35">
      <c r="A734" t="s">
        <v>1627</v>
      </c>
      <c r="B734" t="s">
        <v>679</v>
      </c>
      <c r="C734">
        <v>33</v>
      </c>
      <c r="D734" t="s">
        <v>899</v>
      </c>
      <c r="E734" t="str">
        <f>IF(CKadeaTelcoClients_Churn[[#This Row],[Type_Forfait]]="pro monde","B2B","B2C")</f>
        <v>B2C</v>
      </c>
      <c r="F734">
        <v>18</v>
      </c>
      <c r="G734">
        <v>47.18</v>
      </c>
      <c r="H734">
        <v>4</v>
      </c>
      <c r="I734" s="8">
        <f>IF(AND(F734&gt;720,C734&gt;60),70%,
IF(CKadeaTelcoClients_Churn[[#This Row],[Type_Client]]="B2B",10%,
IF(OR(AND(F734&gt;=240,F734&lt;=720),AND(C734&lt;60,D734="Premium 5G 150Go")),45%,0%)))</f>
        <v>0</v>
      </c>
      <c r="J734" s="9">
        <f>CKadeaTelcoClients_Churn[[#This Row],[Remise]]*CKadeaTelcoClients_Churn[[#This Row],[Facture_Mensuelle]]</f>
        <v>0</v>
      </c>
      <c r="K734">
        <v>733</v>
      </c>
    </row>
    <row r="735" spans="1:11" x14ac:dyDescent="0.35">
      <c r="A735" t="s">
        <v>1628</v>
      </c>
      <c r="B735" t="s">
        <v>693</v>
      </c>
      <c r="C735">
        <v>63</v>
      </c>
      <c r="D735" t="s">
        <v>892</v>
      </c>
      <c r="E735" t="str">
        <f>IF(CKadeaTelcoClients_Churn[[#This Row],[Type_Forfait]]="pro monde","B2B","B2C")</f>
        <v>B2C</v>
      </c>
      <c r="F735">
        <v>177</v>
      </c>
      <c r="G735">
        <v>77.73</v>
      </c>
      <c r="H735">
        <v>3</v>
      </c>
      <c r="I735" s="8">
        <f>IF(AND(F735&gt;720,C735&gt;60),70%,
IF(CKadeaTelcoClients_Churn[[#This Row],[Type_Client]]="B2B",10%,
IF(OR(AND(F735&gt;=240,F735&lt;=720),AND(C735&lt;60,D735="Premium 5G 150Go")),45%,0%)))</f>
        <v>0</v>
      </c>
      <c r="J735" s="9">
        <f>CKadeaTelcoClients_Churn[[#This Row],[Remise]]*CKadeaTelcoClients_Churn[[#This Row],[Facture_Mensuelle]]</f>
        <v>0</v>
      </c>
      <c r="K735">
        <v>734</v>
      </c>
    </row>
    <row r="736" spans="1:11" x14ac:dyDescent="0.35">
      <c r="A736" t="s">
        <v>1629</v>
      </c>
      <c r="B736" t="s">
        <v>679</v>
      </c>
      <c r="C736">
        <v>57</v>
      </c>
      <c r="D736" t="s">
        <v>892</v>
      </c>
      <c r="E736" t="str">
        <f>IF(CKadeaTelcoClients_Churn[[#This Row],[Type_Forfait]]="pro monde","B2B","B2C")</f>
        <v>B2C</v>
      </c>
      <c r="F736">
        <v>36</v>
      </c>
      <c r="G736">
        <v>82.7</v>
      </c>
      <c r="H736">
        <v>2</v>
      </c>
      <c r="I736" s="8">
        <f>IF(AND(F736&gt;720,C736&gt;60),70%,
IF(CKadeaTelcoClients_Churn[[#This Row],[Type_Client]]="B2B",10%,
IF(OR(AND(F736&gt;=240,F736&lt;=720),AND(C736&lt;60,D736="Premium 5G 150Go")),45%,0%)))</f>
        <v>0.45</v>
      </c>
      <c r="J736" s="9">
        <f>CKadeaTelcoClients_Churn[[#This Row],[Remise]]*CKadeaTelcoClients_Churn[[#This Row],[Facture_Mensuelle]]</f>
        <v>37.215000000000003</v>
      </c>
      <c r="K736">
        <v>735</v>
      </c>
    </row>
    <row r="737" spans="1:11" x14ac:dyDescent="0.35">
      <c r="A737" t="s">
        <v>1630</v>
      </c>
      <c r="B737" t="s">
        <v>707</v>
      </c>
      <c r="C737">
        <v>87</v>
      </c>
      <c r="D737" t="s">
        <v>894</v>
      </c>
      <c r="E737" t="str">
        <f>IF(CKadeaTelcoClients_Churn[[#This Row],[Type_Forfait]]="pro monde","B2B","B2C")</f>
        <v>B2B</v>
      </c>
      <c r="F737">
        <v>486</v>
      </c>
      <c r="G737">
        <v>58.26</v>
      </c>
      <c r="H737">
        <v>0</v>
      </c>
      <c r="I737" s="8">
        <f>IF(AND(F737&gt;720,C737&gt;60),70%,
IF(CKadeaTelcoClients_Churn[[#This Row],[Type_Client]]="B2B",10%,
IF(OR(AND(F737&gt;=240,F737&lt;=720),AND(C737&lt;60,D737="Premium 5G 150Go")),45%,0%)))</f>
        <v>0.1</v>
      </c>
      <c r="J737" s="9">
        <f>CKadeaTelcoClients_Churn[[#This Row],[Remise]]*CKadeaTelcoClients_Churn[[#This Row],[Facture_Mensuelle]]</f>
        <v>5.8260000000000005</v>
      </c>
      <c r="K737">
        <v>736</v>
      </c>
    </row>
    <row r="738" spans="1:11" x14ac:dyDescent="0.35">
      <c r="A738" t="s">
        <v>1631</v>
      </c>
      <c r="B738" t="s">
        <v>693</v>
      </c>
      <c r="C738">
        <v>37</v>
      </c>
      <c r="D738" t="s">
        <v>892</v>
      </c>
      <c r="E738" t="str">
        <f>IF(CKadeaTelcoClients_Churn[[#This Row],[Type_Forfait]]="pro monde","B2B","B2C")</f>
        <v>B2C</v>
      </c>
      <c r="F738">
        <v>213</v>
      </c>
      <c r="G738">
        <v>14.12</v>
      </c>
      <c r="H738">
        <v>1</v>
      </c>
      <c r="I738" s="8">
        <f>IF(AND(F738&gt;720,C738&gt;60),70%,
IF(CKadeaTelcoClients_Churn[[#This Row],[Type_Client]]="B2B",10%,
IF(OR(AND(F738&gt;=240,F738&lt;=720),AND(C738&lt;60,D738="Premium 5G 150Go")),45%,0%)))</f>
        <v>0.45</v>
      </c>
      <c r="J738" s="9">
        <f>CKadeaTelcoClients_Churn[[#This Row],[Remise]]*CKadeaTelcoClients_Churn[[#This Row],[Facture_Mensuelle]]</f>
        <v>6.3540000000000001</v>
      </c>
      <c r="K738">
        <v>737</v>
      </c>
    </row>
    <row r="739" spans="1:11" x14ac:dyDescent="0.35">
      <c r="A739" t="s">
        <v>1632</v>
      </c>
      <c r="B739" t="s">
        <v>707</v>
      </c>
      <c r="C739">
        <v>29</v>
      </c>
      <c r="D739" t="s">
        <v>897</v>
      </c>
      <c r="E739" t="str">
        <f>IF(CKadeaTelcoClients_Churn[[#This Row],[Type_Forfait]]="pro monde","B2B","B2C")</f>
        <v>B2C</v>
      </c>
      <c r="F739">
        <v>306</v>
      </c>
      <c r="G739">
        <v>82.16</v>
      </c>
      <c r="H739">
        <v>1</v>
      </c>
      <c r="I739" s="8">
        <f>IF(AND(F739&gt;720,C739&gt;60),70%,
IF(CKadeaTelcoClients_Churn[[#This Row],[Type_Client]]="B2B",10%,
IF(OR(AND(F739&gt;=240,F739&lt;=720),AND(C739&lt;60,D739="Premium 5G 150Go")),45%,0%)))</f>
        <v>0.45</v>
      </c>
      <c r="J739" s="9">
        <f>CKadeaTelcoClients_Churn[[#This Row],[Remise]]*CKadeaTelcoClients_Churn[[#This Row],[Facture_Mensuelle]]</f>
        <v>36.972000000000001</v>
      </c>
      <c r="K739">
        <v>738</v>
      </c>
    </row>
    <row r="740" spans="1:11" x14ac:dyDescent="0.35">
      <c r="A740" t="s">
        <v>1633</v>
      </c>
      <c r="B740" t="s">
        <v>688</v>
      </c>
      <c r="C740">
        <v>26</v>
      </c>
      <c r="D740" t="s">
        <v>899</v>
      </c>
      <c r="E740" t="str">
        <f>IF(CKadeaTelcoClients_Churn[[#This Row],[Type_Forfait]]="pro monde","B2B","B2C")</f>
        <v>B2C</v>
      </c>
      <c r="F740">
        <v>378</v>
      </c>
      <c r="G740">
        <v>88.59</v>
      </c>
      <c r="H740">
        <v>4</v>
      </c>
      <c r="I740" s="8">
        <f>IF(AND(F740&gt;720,C740&gt;60),70%,
IF(CKadeaTelcoClients_Churn[[#This Row],[Type_Client]]="B2B",10%,
IF(OR(AND(F740&gt;=240,F740&lt;=720),AND(C740&lt;60,D740="Premium 5G 150Go")),45%,0%)))</f>
        <v>0.45</v>
      </c>
      <c r="J740" s="9">
        <f>CKadeaTelcoClients_Churn[[#This Row],[Remise]]*CKadeaTelcoClients_Churn[[#This Row],[Facture_Mensuelle]]</f>
        <v>39.865500000000004</v>
      </c>
      <c r="K740">
        <v>739</v>
      </c>
    </row>
    <row r="741" spans="1:11" x14ac:dyDescent="0.35">
      <c r="A741" t="s">
        <v>1634</v>
      </c>
      <c r="B741" t="s">
        <v>714</v>
      </c>
      <c r="C741">
        <v>95</v>
      </c>
      <c r="D741" t="s">
        <v>892</v>
      </c>
      <c r="E741" t="str">
        <f>IF(CKadeaTelcoClients_Churn[[#This Row],[Type_Forfait]]="pro monde","B2B","B2C")</f>
        <v>B2C</v>
      </c>
      <c r="F741">
        <v>313</v>
      </c>
      <c r="G741">
        <v>32.49</v>
      </c>
      <c r="H741">
        <v>1</v>
      </c>
      <c r="I741" s="8">
        <f>IF(AND(F741&gt;720,C741&gt;60),70%,
IF(CKadeaTelcoClients_Churn[[#This Row],[Type_Client]]="B2B",10%,
IF(OR(AND(F741&gt;=240,F741&lt;=720),AND(C741&lt;60,D741="Premium 5G 150Go")),45%,0%)))</f>
        <v>0.45</v>
      </c>
      <c r="J741" s="9">
        <f>CKadeaTelcoClients_Churn[[#This Row],[Remise]]*CKadeaTelcoClients_Churn[[#This Row],[Facture_Mensuelle]]</f>
        <v>14.620500000000002</v>
      </c>
      <c r="K741">
        <v>740</v>
      </c>
    </row>
    <row r="742" spans="1:11" x14ac:dyDescent="0.35">
      <c r="A742" t="s">
        <v>1635</v>
      </c>
      <c r="B742" t="s">
        <v>706</v>
      </c>
      <c r="C742">
        <v>21</v>
      </c>
      <c r="D742" t="s">
        <v>897</v>
      </c>
      <c r="E742" t="str">
        <f>IF(CKadeaTelcoClients_Churn[[#This Row],[Type_Forfait]]="pro monde","B2B","B2C")</f>
        <v>B2C</v>
      </c>
      <c r="F742">
        <v>475</v>
      </c>
      <c r="G742">
        <v>15.12</v>
      </c>
      <c r="H742">
        <v>2</v>
      </c>
      <c r="I742" s="8">
        <f>IF(AND(F742&gt;720,C742&gt;60),70%,
IF(CKadeaTelcoClients_Churn[[#This Row],[Type_Client]]="B2B",10%,
IF(OR(AND(F742&gt;=240,F742&lt;=720),AND(C742&lt;60,D742="Premium 5G 150Go")),45%,0%)))</f>
        <v>0.45</v>
      </c>
      <c r="J742" s="9">
        <f>CKadeaTelcoClients_Churn[[#This Row],[Remise]]*CKadeaTelcoClients_Churn[[#This Row],[Facture_Mensuelle]]</f>
        <v>6.8039999999999994</v>
      </c>
      <c r="K742">
        <v>741</v>
      </c>
    </row>
    <row r="743" spans="1:11" x14ac:dyDescent="0.35">
      <c r="A743" t="s">
        <v>1636</v>
      </c>
      <c r="B743" t="s">
        <v>714</v>
      </c>
      <c r="C743">
        <v>56</v>
      </c>
      <c r="D743" t="s">
        <v>899</v>
      </c>
      <c r="E743" t="str">
        <f>IF(CKadeaTelcoClients_Churn[[#This Row],[Type_Forfait]]="pro monde","B2B","B2C")</f>
        <v>B2C</v>
      </c>
      <c r="F743">
        <v>41</v>
      </c>
      <c r="G743">
        <v>15.1</v>
      </c>
      <c r="H743">
        <v>5</v>
      </c>
      <c r="I743" s="8">
        <f>IF(AND(F743&gt;720,C743&gt;60),70%,
IF(CKadeaTelcoClients_Churn[[#This Row],[Type_Client]]="B2B",10%,
IF(OR(AND(F743&gt;=240,F743&lt;=720),AND(C743&lt;60,D743="Premium 5G 150Go")),45%,0%)))</f>
        <v>0</v>
      </c>
      <c r="J743" s="9">
        <f>CKadeaTelcoClients_Churn[[#This Row],[Remise]]*CKadeaTelcoClients_Churn[[#This Row],[Facture_Mensuelle]]</f>
        <v>0</v>
      </c>
      <c r="K743">
        <v>742</v>
      </c>
    </row>
    <row r="744" spans="1:11" x14ac:dyDescent="0.35">
      <c r="A744" t="s">
        <v>1637</v>
      </c>
      <c r="B744" t="s">
        <v>722</v>
      </c>
      <c r="C744">
        <v>105</v>
      </c>
      <c r="D744" t="s">
        <v>892</v>
      </c>
      <c r="E744" t="str">
        <f>IF(CKadeaTelcoClients_Churn[[#This Row],[Type_Forfait]]="pro monde","B2B","B2C")</f>
        <v>B2C</v>
      </c>
      <c r="F744">
        <v>454</v>
      </c>
      <c r="G744">
        <v>49.47</v>
      </c>
      <c r="H744">
        <v>4</v>
      </c>
      <c r="I744" s="8">
        <f>IF(AND(F744&gt;720,C744&gt;60),70%,
IF(CKadeaTelcoClients_Churn[[#This Row],[Type_Client]]="B2B",10%,
IF(OR(AND(F744&gt;=240,F744&lt;=720),AND(C744&lt;60,D744="Premium 5G 150Go")),45%,0%)))</f>
        <v>0.45</v>
      </c>
      <c r="J744" s="9">
        <f>CKadeaTelcoClients_Churn[[#This Row],[Remise]]*CKadeaTelcoClients_Churn[[#This Row],[Facture_Mensuelle]]</f>
        <v>22.261500000000002</v>
      </c>
      <c r="K744">
        <v>743</v>
      </c>
    </row>
    <row r="745" spans="1:11" x14ac:dyDescent="0.35">
      <c r="A745" t="s">
        <v>1638</v>
      </c>
      <c r="B745" t="s">
        <v>719</v>
      </c>
      <c r="C745">
        <v>68</v>
      </c>
      <c r="D745" t="s">
        <v>894</v>
      </c>
      <c r="E745" t="str">
        <f>IF(CKadeaTelcoClients_Churn[[#This Row],[Type_Forfait]]="pro monde","B2B","B2C")</f>
        <v>B2B</v>
      </c>
      <c r="F745">
        <v>282</v>
      </c>
      <c r="G745">
        <v>35.43</v>
      </c>
      <c r="H745">
        <v>1</v>
      </c>
      <c r="I745" s="8">
        <f>IF(AND(F745&gt;720,C745&gt;60),70%,
IF(CKadeaTelcoClients_Churn[[#This Row],[Type_Client]]="B2B",10%,
IF(OR(AND(F745&gt;=240,F745&lt;=720),AND(C745&lt;60,D745="Premium 5G 150Go")),45%,0%)))</f>
        <v>0.1</v>
      </c>
      <c r="J745" s="9">
        <f>CKadeaTelcoClients_Churn[[#This Row],[Remise]]*CKadeaTelcoClients_Churn[[#This Row],[Facture_Mensuelle]]</f>
        <v>3.5430000000000001</v>
      </c>
      <c r="K745">
        <v>744</v>
      </c>
    </row>
    <row r="746" spans="1:11" x14ac:dyDescent="0.35">
      <c r="A746" t="s">
        <v>1639</v>
      </c>
      <c r="B746" t="s">
        <v>722</v>
      </c>
      <c r="C746">
        <v>104</v>
      </c>
      <c r="D746" t="s">
        <v>897</v>
      </c>
      <c r="E746" t="str">
        <f>IF(CKadeaTelcoClients_Churn[[#This Row],[Type_Forfait]]="pro monde","B2B","B2C")</f>
        <v>B2C</v>
      </c>
      <c r="F746">
        <v>245</v>
      </c>
      <c r="G746">
        <v>38.270000000000003</v>
      </c>
      <c r="H746">
        <v>0</v>
      </c>
      <c r="I746" s="8">
        <f>IF(AND(F746&gt;720,C746&gt;60),70%,
IF(CKadeaTelcoClients_Churn[[#This Row],[Type_Client]]="B2B",10%,
IF(OR(AND(F746&gt;=240,F746&lt;=720),AND(C746&lt;60,D746="Premium 5G 150Go")),45%,0%)))</f>
        <v>0.45</v>
      </c>
      <c r="J746" s="9">
        <f>CKadeaTelcoClients_Churn[[#This Row],[Remise]]*CKadeaTelcoClients_Churn[[#This Row],[Facture_Mensuelle]]</f>
        <v>17.221500000000002</v>
      </c>
      <c r="K746">
        <v>745</v>
      </c>
    </row>
    <row r="747" spans="1:11" x14ac:dyDescent="0.35">
      <c r="A747" t="s">
        <v>1640</v>
      </c>
      <c r="B747" t="s">
        <v>706</v>
      </c>
      <c r="C747">
        <v>102</v>
      </c>
      <c r="D747" t="s">
        <v>897</v>
      </c>
      <c r="E747" t="str">
        <f>IF(CKadeaTelcoClients_Churn[[#This Row],[Type_Forfait]]="pro monde","B2B","B2C")</f>
        <v>B2C</v>
      </c>
      <c r="F747">
        <v>484</v>
      </c>
      <c r="G747">
        <v>64.22</v>
      </c>
      <c r="H747">
        <v>2</v>
      </c>
      <c r="I747" s="8">
        <f>IF(AND(F747&gt;720,C747&gt;60),70%,
IF(CKadeaTelcoClients_Churn[[#This Row],[Type_Client]]="B2B",10%,
IF(OR(AND(F747&gt;=240,F747&lt;=720),AND(C747&lt;60,D747="Premium 5G 150Go")),45%,0%)))</f>
        <v>0.45</v>
      </c>
      <c r="J747" s="9">
        <f>CKadeaTelcoClients_Churn[[#This Row],[Remise]]*CKadeaTelcoClients_Churn[[#This Row],[Facture_Mensuelle]]</f>
        <v>28.899000000000001</v>
      </c>
      <c r="K747">
        <v>746</v>
      </c>
    </row>
    <row r="748" spans="1:11" x14ac:dyDescent="0.35">
      <c r="A748" t="s">
        <v>1641</v>
      </c>
      <c r="B748" t="s">
        <v>679</v>
      </c>
      <c r="C748">
        <v>25</v>
      </c>
      <c r="D748" t="s">
        <v>894</v>
      </c>
      <c r="E748" t="str">
        <f>IF(CKadeaTelcoClients_Churn[[#This Row],[Type_Forfait]]="pro monde","B2B","B2C")</f>
        <v>B2B</v>
      </c>
      <c r="F748">
        <v>66</v>
      </c>
      <c r="G748">
        <v>90.14</v>
      </c>
      <c r="H748">
        <v>5</v>
      </c>
      <c r="I748" s="8">
        <f>IF(AND(F748&gt;720,C748&gt;60),70%,
IF(CKadeaTelcoClients_Churn[[#This Row],[Type_Client]]="B2B",10%,
IF(OR(AND(F748&gt;=240,F748&lt;=720),AND(C748&lt;60,D748="Premium 5G 150Go")),45%,0%)))</f>
        <v>0.1</v>
      </c>
      <c r="J748" s="9">
        <f>CKadeaTelcoClients_Churn[[#This Row],[Remise]]*CKadeaTelcoClients_Churn[[#This Row],[Facture_Mensuelle]]</f>
        <v>9.0140000000000011</v>
      </c>
      <c r="K748">
        <v>747</v>
      </c>
    </row>
    <row r="749" spans="1:11" x14ac:dyDescent="0.35">
      <c r="A749" t="s">
        <v>1642</v>
      </c>
      <c r="B749" t="s">
        <v>703</v>
      </c>
      <c r="C749">
        <v>12</v>
      </c>
      <c r="D749" t="s">
        <v>892</v>
      </c>
      <c r="E749" t="str">
        <f>IF(CKadeaTelcoClients_Churn[[#This Row],[Type_Forfait]]="pro monde","B2B","B2C")</f>
        <v>B2C</v>
      </c>
      <c r="F749">
        <v>138</v>
      </c>
      <c r="G749">
        <v>99.83</v>
      </c>
      <c r="H749">
        <v>1</v>
      </c>
      <c r="I749" s="8">
        <f>IF(AND(F749&gt;720,C749&gt;60),70%,
IF(CKadeaTelcoClients_Churn[[#This Row],[Type_Client]]="B2B",10%,
IF(OR(AND(F749&gt;=240,F749&lt;=720),AND(C749&lt;60,D749="Premium 5G 150Go")),45%,0%)))</f>
        <v>0.45</v>
      </c>
      <c r="J749" s="9">
        <f>CKadeaTelcoClients_Churn[[#This Row],[Remise]]*CKadeaTelcoClients_Churn[[#This Row],[Facture_Mensuelle]]</f>
        <v>44.923499999999997</v>
      </c>
      <c r="K749">
        <v>748</v>
      </c>
    </row>
    <row r="750" spans="1:11" x14ac:dyDescent="0.35">
      <c r="A750" t="s">
        <v>1643</v>
      </c>
      <c r="B750" t="s">
        <v>719</v>
      </c>
      <c r="C750">
        <v>75</v>
      </c>
      <c r="D750" t="s">
        <v>897</v>
      </c>
      <c r="E750" t="str">
        <f>IF(CKadeaTelcoClients_Churn[[#This Row],[Type_Forfait]]="pro monde","B2B","B2C")</f>
        <v>B2C</v>
      </c>
      <c r="F750">
        <v>370</v>
      </c>
      <c r="G750">
        <v>21.67</v>
      </c>
      <c r="H750">
        <v>0</v>
      </c>
      <c r="I750" s="8">
        <f>IF(AND(F750&gt;720,C750&gt;60),70%,
IF(CKadeaTelcoClients_Churn[[#This Row],[Type_Client]]="B2B",10%,
IF(OR(AND(F750&gt;=240,F750&lt;=720),AND(C750&lt;60,D750="Premium 5G 150Go")),45%,0%)))</f>
        <v>0.45</v>
      </c>
      <c r="J750" s="9">
        <f>CKadeaTelcoClients_Churn[[#This Row],[Remise]]*CKadeaTelcoClients_Churn[[#This Row],[Facture_Mensuelle]]</f>
        <v>9.7515000000000018</v>
      </c>
      <c r="K750">
        <v>749</v>
      </c>
    </row>
    <row r="751" spans="1:11" x14ac:dyDescent="0.35">
      <c r="A751" t="s">
        <v>1644</v>
      </c>
      <c r="B751" t="s">
        <v>696</v>
      </c>
      <c r="C751">
        <v>4</v>
      </c>
      <c r="D751" t="s">
        <v>897</v>
      </c>
      <c r="E751" t="str">
        <f>IF(CKadeaTelcoClients_Churn[[#This Row],[Type_Forfait]]="pro monde","B2B","B2C")</f>
        <v>B2C</v>
      </c>
      <c r="F751">
        <v>21</v>
      </c>
      <c r="G751">
        <v>45.8</v>
      </c>
      <c r="H751">
        <v>1</v>
      </c>
      <c r="I751" s="8">
        <f>IF(AND(F751&gt;720,C751&gt;60),70%,
IF(CKadeaTelcoClients_Churn[[#This Row],[Type_Client]]="B2B",10%,
IF(OR(AND(F751&gt;=240,F751&lt;=720),AND(C751&lt;60,D751="Premium 5G 150Go")),45%,0%)))</f>
        <v>0</v>
      </c>
      <c r="J751" s="9">
        <f>CKadeaTelcoClients_Churn[[#This Row],[Remise]]*CKadeaTelcoClients_Churn[[#This Row],[Facture_Mensuelle]]</f>
        <v>0</v>
      </c>
      <c r="K751">
        <v>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E0BB-D503-49DB-A9B6-30BEC22B6E12}">
  <dimension ref="A1:F499"/>
  <sheetViews>
    <sheetView tabSelected="1" workbookViewId="0">
      <selection sqref="A1:A1048576"/>
    </sheetView>
  </sheetViews>
  <sheetFormatPr baseColWidth="10" defaultRowHeight="14.5" x14ac:dyDescent="0.35"/>
  <cols>
    <col min="1" max="1" width="12.7265625" bestFit="1" customWidth="1"/>
    <col min="2" max="2" width="14.90625" bestFit="1" customWidth="1"/>
    <col min="3" max="3" width="10.453125" bestFit="1" customWidth="1"/>
    <col min="4" max="4" width="11.36328125" bestFit="1" customWidth="1"/>
    <col min="5" max="5" width="13.1796875" bestFit="1" customWidth="1"/>
    <col min="6" max="6" width="15.453125" bestFit="1" customWidth="1"/>
  </cols>
  <sheetData>
    <row r="1" spans="1:6" x14ac:dyDescent="0.35">
      <c r="A1" t="s">
        <v>669</v>
      </c>
      <c r="B1" t="s">
        <v>670</v>
      </c>
      <c r="C1" t="s">
        <v>671</v>
      </c>
      <c r="D1" t="s">
        <v>672</v>
      </c>
      <c r="E1" t="s">
        <v>673</v>
      </c>
      <c r="F1" t="s">
        <v>674</v>
      </c>
    </row>
    <row r="2" spans="1:6" x14ac:dyDescent="0.35">
      <c r="A2" t="s">
        <v>506</v>
      </c>
      <c r="B2" t="s">
        <v>675</v>
      </c>
      <c r="C2">
        <v>-3.003879</v>
      </c>
      <c r="D2">
        <v>23.633893</v>
      </c>
      <c r="E2" t="s">
        <v>676</v>
      </c>
      <c r="F2" t="s">
        <v>677</v>
      </c>
    </row>
    <row r="3" spans="1:6" x14ac:dyDescent="0.35">
      <c r="A3" t="s">
        <v>678</v>
      </c>
      <c r="B3" t="s">
        <v>679</v>
      </c>
      <c r="C3">
        <v>2.413557</v>
      </c>
      <c r="D3">
        <v>19.690681999999999</v>
      </c>
      <c r="E3" t="s">
        <v>680</v>
      </c>
      <c r="F3" t="s">
        <v>681</v>
      </c>
    </row>
    <row r="4" spans="1:6" x14ac:dyDescent="0.35">
      <c r="A4" t="s">
        <v>24</v>
      </c>
      <c r="B4" t="s">
        <v>682</v>
      </c>
      <c r="C4">
        <v>-9.4708620000000003</v>
      </c>
      <c r="D4">
        <v>29.234387999999999</v>
      </c>
      <c r="E4" t="s">
        <v>683</v>
      </c>
      <c r="F4" t="s">
        <v>684</v>
      </c>
    </row>
    <row r="5" spans="1:6" x14ac:dyDescent="0.35">
      <c r="A5" t="s">
        <v>457</v>
      </c>
      <c r="B5" t="s">
        <v>685</v>
      </c>
      <c r="C5">
        <v>1.400674</v>
      </c>
      <c r="D5">
        <v>13.503126999999999</v>
      </c>
      <c r="E5" t="s">
        <v>676</v>
      </c>
      <c r="F5" t="s">
        <v>684</v>
      </c>
    </row>
    <row r="6" spans="1:6" x14ac:dyDescent="0.35">
      <c r="A6" t="s">
        <v>686</v>
      </c>
      <c r="B6" t="s">
        <v>675</v>
      </c>
      <c r="C6">
        <v>0.29375600000000002</v>
      </c>
      <c r="D6">
        <v>18.528884000000001</v>
      </c>
      <c r="E6" t="s">
        <v>676</v>
      </c>
      <c r="F6" t="s">
        <v>684</v>
      </c>
    </row>
    <row r="7" spans="1:6" x14ac:dyDescent="0.35">
      <c r="A7" t="s">
        <v>687</v>
      </c>
      <c r="B7" t="s">
        <v>688</v>
      </c>
      <c r="C7">
        <v>-4.4862339999999996</v>
      </c>
      <c r="D7">
        <v>17.956159</v>
      </c>
      <c r="E7" t="s">
        <v>683</v>
      </c>
      <c r="F7" t="s">
        <v>681</v>
      </c>
    </row>
    <row r="8" spans="1:6" x14ac:dyDescent="0.35">
      <c r="A8" t="s">
        <v>689</v>
      </c>
      <c r="B8" t="s">
        <v>682</v>
      </c>
      <c r="C8">
        <v>-12.824638999999999</v>
      </c>
      <c r="D8">
        <v>24.407249</v>
      </c>
      <c r="E8" t="s">
        <v>676</v>
      </c>
      <c r="F8" t="s">
        <v>681</v>
      </c>
    </row>
    <row r="9" spans="1:6" x14ac:dyDescent="0.35">
      <c r="A9" t="s">
        <v>100</v>
      </c>
      <c r="B9" t="s">
        <v>690</v>
      </c>
      <c r="C9">
        <v>-5.4126279999999998</v>
      </c>
      <c r="D9">
        <v>25.498235999999999</v>
      </c>
      <c r="E9" t="s">
        <v>676</v>
      </c>
      <c r="F9" t="s">
        <v>684</v>
      </c>
    </row>
    <row r="10" spans="1:6" x14ac:dyDescent="0.35">
      <c r="A10" t="s">
        <v>691</v>
      </c>
      <c r="B10" t="s">
        <v>690</v>
      </c>
      <c r="C10">
        <v>-10.579510000000001</v>
      </c>
      <c r="D10">
        <v>23.502313999999998</v>
      </c>
      <c r="E10" t="s">
        <v>680</v>
      </c>
      <c r="F10" t="s">
        <v>684</v>
      </c>
    </row>
    <row r="11" spans="1:6" x14ac:dyDescent="0.35">
      <c r="A11" t="s">
        <v>692</v>
      </c>
      <c r="B11" t="s">
        <v>693</v>
      </c>
      <c r="C11">
        <v>3.0788669999999998</v>
      </c>
      <c r="D11">
        <v>19.513650999999999</v>
      </c>
      <c r="E11" t="s">
        <v>676</v>
      </c>
      <c r="F11" t="s">
        <v>681</v>
      </c>
    </row>
    <row r="12" spans="1:6" x14ac:dyDescent="0.35">
      <c r="A12" t="s">
        <v>13</v>
      </c>
      <c r="B12" t="s">
        <v>694</v>
      </c>
      <c r="C12">
        <v>-1.648264</v>
      </c>
      <c r="D12">
        <v>28.866143999999998</v>
      </c>
      <c r="E12" t="s">
        <v>676</v>
      </c>
      <c r="F12" t="s">
        <v>677</v>
      </c>
    </row>
    <row r="13" spans="1:6" x14ac:dyDescent="0.35">
      <c r="A13" t="s">
        <v>695</v>
      </c>
      <c r="B13" t="s">
        <v>696</v>
      </c>
      <c r="C13">
        <v>-3.3883130000000001</v>
      </c>
      <c r="D13">
        <v>26.838507</v>
      </c>
      <c r="E13" t="s">
        <v>676</v>
      </c>
      <c r="F13" t="s">
        <v>697</v>
      </c>
    </row>
    <row r="14" spans="1:6" x14ac:dyDescent="0.35">
      <c r="A14" t="s">
        <v>698</v>
      </c>
      <c r="B14" t="s">
        <v>699</v>
      </c>
      <c r="C14">
        <v>-7.31691</v>
      </c>
      <c r="D14">
        <v>29.836627</v>
      </c>
      <c r="E14" t="s">
        <v>676</v>
      </c>
      <c r="F14" t="s">
        <v>684</v>
      </c>
    </row>
    <row r="15" spans="1:6" x14ac:dyDescent="0.35">
      <c r="A15" t="s">
        <v>125</v>
      </c>
      <c r="B15" t="s">
        <v>679</v>
      </c>
      <c r="C15">
        <v>-4.2408359999999998</v>
      </c>
      <c r="D15">
        <v>26.210014000000001</v>
      </c>
      <c r="E15" t="s">
        <v>680</v>
      </c>
      <c r="F15" t="s">
        <v>681</v>
      </c>
    </row>
    <row r="16" spans="1:6" x14ac:dyDescent="0.35">
      <c r="A16" t="s">
        <v>288</v>
      </c>
      <c r="B16" t="s">
        <v>688</v>
      </c>
      <c r="C16">
        <v>-8.4824669999999998</v>
      </c>
      <c r="D16">
        <v>21.897777999999999</v>
      </c>
      <c r="E16" t="s">
        <v>676</v>
      </c>
      <c r="F16" t="s">
        <v>677</v>
      </c>
    </row>
    <row r="17" spans="1:6" x14ac:dyDescent="0.35">
      <c r="A17" t="s">
        <v>467</v>
      </c>
      <c r="B17" t="s">
        <v>700</v>
      </c>
      <c r="C17">
        <v>2.453036</v>
      </c>
      <c r="D17">
        <v>20.555484</v>
      </c>
      <c r="E17" t="s">
        <v>676</v>
      </c>
      <c r="F17" t="s">
        <v>677</v>
      </c>
    </row>
    <row r="18" spans="1:6" x14ac:dyDescent="0.35">
      <c r="A18" t="s">
        <v>78</v>
      </c>
      <c r="B18" t="s">
        <v>701</v>
      </c>
      <c r="C18">
        <v>-12.141233</v>
      </c>
      <c r="D18">
        <v>15.179043999999999</v>
      </c>
      <c r="E18" t="s">
        <v>676</v>
      </c>
      <c r="F18" t="s">
        <v>677</v>
      </c>
    </row>
    <row r="19" spans="1:6" x14ac:dyDescent="0.35">
      <c r="A19" t="s">
        <v>104</v>
      </c>
      <c r="B19" t="s">
        <v>702</v>
      </c>
      <c r="C19">
        <v>-11.218453999999999</v>
      </c>
      <c r="D19">
        <v>28.230025000000001</v>
      </c>
      <c r="E19" t="s">
        <v>676</v>
      </c>
      <c r="F19" t="s">
        <v>684</v>
      </c>
    </row>
    <row r="20" spans="1:6" x14ac:dyDescent="0.35">
      <c r="A20" t="s">
        <v>40</v>
      </c>
      <c r="B20" t="s">
        <v>703</v>
      </c>
      <c r="C20">
        <v>-10.059846</v>
      </c>
      <c r="D20">
        <v>14.375757999999999</v>
      </c>
      <c r="E20" t="s">
        <v>680</v>
      </c>
      <c r="F20" t="s">
        <v>681</v>
      </c>
    </row>
    <row r="21" spans="1:6" x14ac:dyDescent="0.35">
      <c r="A21" t="s">
        <v>345</v>
      </c>
      <c r="B21" t="s">
        <v>704</v>
      </c>
      <c r="C21">
        <v>-9.1215879999999991</v>
      </c>
      <c r="D21">
        <v>16.457916999999998</v>
      </c>
      <c r="E21" t="s">
        <v>680</v>
      </c>
      <c r="F21" t="s">
        <v>697</v>
      </c>
    </row>
    <row r="22" spans="1:6" x14ac:dyDescent="0.35">
      <c r="A22" t="s">
        <v>18</v>
      </c>
      <c r="B22" t="s">
        <v>702</v>
      </c>
      <c r="C22">
        <v>-8.4227860000000003</v>
      </c>
      <c r="D22">
        <v>16.781293000000002</v>
      </c>
      <c r="E22" t="s">
        <v>680</v>
      </c>
      <c r="F22" t="s">
        <v>681</v>
      </c>
    </row>
    <row r="23" spans="1:6" x14ac:dyDescent="0.35">
      <c r="A23" t="s">
        <v>705</v>
      </c>
      <c r="B23" t="s">
        <v>706</v>
      </c>
      <c r="C23">
        <v>2.1014910000000002</v>
      </c>
      <c r="D23">
        <v>26.133631999999999</v>
      </c>
      <c r="E23" t="s">
        <v>676</v>
      </c>
      <c r="F23" t="s">
        <v>681</v>
      </c>
    </row>
    <row r="24" spans="1:6" x14ac:dyDescent="0.35">
      <c r="A24" t="s">
        <v>343</v>
      </c>
      <c r="B24" t="s">
        <v>702</v>
      </c>
      <c r="C24">
        <v>-11.266565999999999</v>
      </c>
      <c r="D24">
        <v>26.245055000000001</v>
      </c>
      <c r="E24" t="s">
        <v>683</v>
      </c>
      <c r="F24" t="s">
        <v>677</v>
      </c>
    </row>
    <row r="25" spans="1:6" x14ac:dyDescent="0.35">
      <c r="A25" t="s">
        <v>434</v>
      </c>
      <c r="B25" t="s">
        <v>707</v>
      </c>
      <c r="C25">
        <v>0.40267799999999998</v>
      </c>
      <c r="D25">
        <v>16.000858000000001</v>
      </c>
      <c r="E25" t="s">
        <v>683</v>
      </c>
      <c r="F25" t="s">
        <v>697</v>
      </c>
    </row>
    <row r="26" spans="1:6" x14ac:dyDescent="0.35">
      <c r="A26" t="s">
        <v>163</v>
      </c>
      <c r="B26" t="s">
        <v>701</v>
      </c>
      <c r="C26">
        <v>-8.3241560000000003</v>
      </c>
      <c r="D26">
        <v>19.543866000000001</v>
      </c>
      <c r="E26" t="s">
        <v>680</v>
      </c>
      <c r="F26" t="s">
        <v>684</v>
      </c>
    </row>
    <row r="27" spans="1:6" x14ac:dyDescent="0.35">
      <c r="A27" t="s">
        <v>708</v>
      </c>
      <c r="B27" t="s">
        <v>688</v>
      </c>
      <c r="C27">
        <v>-6.5144820000000001</v>
      </c>
      <c r="D27">
        <v>13.815521</v>
      </c>
      <c r="E27" t="s">
        <v>680</v>
      </c>
      <c r="F27" t="s">
        <v>684</v>
      </c>
    </row>
    <row r="28" spans="1:6" x14ac:dyDescent="0.35">
      <c r="A28" t="s">
        <v>158</v>
      </c>
      <c r="B28" t="s">
        <v>700</v>
      </c>
      <c r="C28">
        <v>-2.9651529999999999</v>
      </c>
      <c r="D28">
        <v>29.79908</v>
      </c>
      <c r="E28" t="s">
        <v>680</v>
      </c>
      <c r="F28" t="s">
        <v>677</v>
      </c>
    </row>
    <row r="29" spans="1:6" x14ac:dyDescent="0.35">
      <c r="A29" t="s">
        <v>300</v>
      </c>
      <c r="B29" t="s">
        <v>703</v>
      </c>
      <c r="C29">
        <v>1.5802860000000001</v>
      </c>
      <c r="D29">
        <v>20.99053</v>
      </c>
      <c r="E29" t="s">
        <v>680</v>
      </c>
      <c r="F29" t="s">
        <v>684</v>
      </c>
    </row>
    <row r="30" spans="1:6" x14ac:dyDescent="0.35">
      <c r="A30" t="s">
        <v>709</v>
      </c>
      <c r="B30" t="s">
        <v>707</v>
      </c>
      <c r="C30">
        <v>-6.8054750000000004</v>
      </c>
      <c r="D30">
        <v>13.022683000000001</v>
      </c>
      <c r="E30" t="s">
        <v>680</v>
      </c>
      <c r="F30" t="s">
        <v>681</v>
      </c>
    </row>
    <row r="31" spans="1:6" x14ac:dyDescent="0.35">
      <c r="A31" t="s">
        <v>710</v>
      </c>
      <c r="B31" t="s">
        <v>711</v>
      </c>
      <c r="C31">
        <v>-5.5883039999999999</v>
      </c>
      <c r="D31">
        <v>26.647739999999999</v>
      </c>
      <c r="E31" t="s">
        <v>683</v>
      </c>
      <c r="F31" t="s">
        <v>677</v>
      </c>
    </row>
    <row r="32" spans="1:6" x14ac:dyDescent="0.35">
      <c r="A32" t="s">
        <v>108</v>
      </c>
      <c r="B32" t="s">
        <v>694</v>
      </c>
      <c r="C32">
        <v>-6.6803710000000001</v>
      </c>
      <c r="D32">
        <v>21.955673000000001</v>
      </c>
      <c r="E32" t="s">
        <v>680</v>
      </c>
      <c r="F32" t="s">
        <v>697</v>
      </c>
    </row>
    <row r="33" spans="1:6" x14ac:dyDescent="0.35">
      <c r="A33" t="s">
        <v>712</v>
      </c>
      <c r="B33" t="s">
        <v>711</v>
      </c>
      <c r="C33">
        <v>-0.767455</v>
      </c>
      <c r="D33">
        <v>30.924261000000001</v>
      </c>
      <c r="E33" t="s">
        <v>683</v>
      </c>
      <c r="F33" t="s">
        <v>681</v>
      </c>
    </row>
    <row r="34" spans="1:6" x14ac:dyDescent="0.35">
      <c r="A34" t="s">
        <v>73</v>
      </c>
      <c r="B34" t="s">
        <v>682</v>
      </c>
      <c r="C34">
        <v>-2.099631</v>
      </c>
      <c r="D34">
        <v>13.974640000000001</v>
      </c>
      <c r="E34" t="s">
        <v>683</v>
      </c>
      <c r="F34" t="s">
        <v>697</v>
      </c>
    </row>
    <row r="35" spans="1:6" x14ac:dyDescent="0.35">
      <c r="A35" t="s">
        <v>713</v>
      </c>
      <c r="B35" t="s">
        <v>714</v>
      </c>
      <c r="C35">
        <v>-2.6166320000000001</v>
      </c>
      <c r="D35">
        <v>23.743941</v>
      </c>
      <c r="E35" t="s">
        <v>676</v>
      </c>
      <c r="F35" t="s">
        <v>697</v>
      </c>
    </row>
    <row r="36" spans="1:6" x14ac:dyDescent="0.35">
      <c r="A36" t="s">
        <v>490</v>
      </c>
      <c r="B36" t="s">
        <v>700</v>
      </c>
      <c r="C36">
        <v>-1.3024210000000001</v>
      </c>
      <c r="D36">
        <v>13.601914000000001</v>
      </c>
      <c r="E36" t="s">
        <v>683</v>
      </c>
      <c r="F36" t="s">
        <v>681</v>
      </c>
    </row>
    <row r="37" spans="1:6" x14ac:dyDescent="0.35">
      <c r="A37" t="s">
        <v>715</v>
      </c>
      <c r="B37" t="s">
        <v>700</v>
      </c>
      <c r="C37">
        <v>-3.3081109999999998</v>
      </c>
      <c r="D37">
        <v>29.700202000000001</v>
      </c>
      <c r="E37" t="s">
        <v>680</v>
      </c>
      <c r="F37" t="s">
        <v>697</v>
      </c>
    </row>
    <row r="38" spans="1:6" x14ac:dyDescent="0.35">
      <c r="A38" t="s">
        <v>31</v>
      </c>
      <c r="B38" t="s">
        <v>696</v>
      </c>
      <c r="C38">
        <v>4.6287159999999998</v>
      </c>
      <c r="D38">
        <v>19.407077999999998</v>
      </c>
      <c r="E38" t="s">
        <v>680</v>
      </c>
      <c r="F38" t="s">
        <v>677</v>
      </c>
    </row>
    <row r="39" spans="1:6" x14ac:dyDescent="0.35">
      <c r="A39" t="s">
        <v>386</v>
      </c>
      <c r="B39" t="s">
        <v>702</v>
      </c>
      <c r="C39">
        <v>-7.8770429999999996</v>
      </c>
      <c r="D39">
        <v>16.357762999999998</v>
      </c>
      <c r="E39" t="s">
        <v>680</v>
      </c>
      <c r="F39" t="s">
        <v>677</v>
      </c>
    </row>
    <row r="40" spans="1:6" x14ac:dyDescent="0.35">
      <c r="A40" t="s">
        <v>402</v>
      </c>
      <c r="B40" t="s">
        <v>675</v>
      </c>
      <c r="C40">
        <v>-7.1483749999999997</v>
      </c>
      <c r="D40">
        <v>26.014271000000001</v>
      </c>
      <c r="E40" t="s">
        <v>676</v>
      </c>
      <c r="F40" t="s">
        <v>681</v>
      </c>
    </row>
    <row r="41" spans="1:6" x14ac:dyDescent="0.35">
      <c r="A41" t="s">
        <v>489</v>
      </c>
      <c r="B41" t="s">
        <v>703</v>
      </c>
      <c r="C41">
        <v>-3.8119990000000001</v>
      </c>
      <c r="D41">
        <v>20.420048000000001</v>
      </c>
      <c r="E41" t="s">
        <v>683</v>
      </c>
      <c r="F41" t="s">
        <v>684</v>
      </c>
    </row>
    <row r="42" spans="1:6" x14ac:dyDescent="0.35">
      <c r="A42" t="s">
        <v>83</v>
      </c>
      <c r="B42" t="s">
        <v>699</v>
      </c>
      <c r="C42">
        <v>0.94539899999999999</v>
      </c>
      <c r="D42">
        <v>14.401821999999999</v>
      </c>
      <c r="E42" t="s">
        <v>676</v>
      </c>
      <c r="F42" t="s">
        <v>697</v>
      </c>
    </row>
    <row r="43" spans="1:6" x14ac:dyDescent="0.35">
      <c r="A43" t="s">
        <v>236</v>
      </c>
      <c r="B43" t="s">
        <v>716</v>
      </c>
      <c r="C43">
        <v>-4.9552579999999997</v>
      </c>
      <c r="D43">
        <v>22.008103999999999</v>
      </c>
      <c r="E43" t="s">
        <v>680</v>
      </c>
      <c r="F43" t="s">
        <v>681</v>
      </c>
    </row>
    <row r="44" spans="1:6" x14ac:dyDescent="0.35">
      <c r="A44" t="s">
        <v>508</v>
      </c>
      <c r="B44" t="s">
        <v>699</v>
      </c>
      <c r="C44">
        <v>-11.588665000000001</v>
      </c>
      <c r="D44">
        <v>15.241552</v>
      </c>
      <c r="E44" t="s">
        <v>680</v>
      </c>
      <c r="F44" t="s">
        <v>697</v>
      </c>
    </row>
    <row r="45" spans="1:6" x14ac:dyDescent="0.35">
      <c r="A45" t="s">
        <v>409</v>
      </c>
      <c r="B45" t="s">
        <v>693</v>
      </c>
      <c r="C45">
        <v>-1.9540519999999999</v>
      </c>
      <c r="D45">
        <v>12.667945</v>
      </c>
      <c r="E45" t="s">
        <v>680</v>
      </c>
      <c r="F45" t="s">
        <v>681</v>
      </c>
    </row>
    <row r="46" spans="1:6" x14ac:dyDescent="0.35">
      <c r="A46" t="s">
        <v>717</v>
      </c>
      <c r="B46" t="s">
        <v>706</v>
      </c>
      <c r="C46">
        <v>-4.652463</v>
      </c>
      <c r="D46">
        <v>18.779983999999999</v>
      </c>
      <c r="E46" t="s">
        <v>683</v>
      </c>
      <c r="F46" t="s">
        <v>697</v>
      </c>
    </row>
    <row r="47" spans="1:6" x14ac:dyDescent="0.35">
      <c r="A47" t="s">
        <v>718</v>
      </c>
      <c r="B47" t="s">
        <v>679</v>
      </c>
      <c r="C47">
        <v>4.2187000000000001</v>
      </c>
      <c r="D47">
        <v>29.390174999999999</v>
      </c>
      <c r="E47" t="s">
        <v>680</v>
      </c>
      <c r="F47" t="s">
        <v>684</v>
      </c>
    </row>
    <row r="48" spans="1:6" x14ac:dyDescent="0.35">
      <c r="A48" t="s">
        <v>280</v>
      </c>
      <c r="B48" t="s">
        <v>719</v>
      </c>
      <c r="C48">
        <v>2.628638</v>
      </c>
      <c r="D48">
        <v>28.420582</v>
      </c>
      <c r="E48" t="s">
        <v>680</v>
      </c>
      <c r="F48" t="s">
        <v>681</v>
      </c>
    </row>
    <row r="49" spans="1:6" x14ac:dyDescent="0.35">
      <c r="A49" t="s">
        <v>720</v>
      </c>
      <c r="B49" t="s">
        <v>702</v>
      </c>
      <c r="C49">
        <v>-1.4695480000000001</v>
      </c>
      <c r="D49">
        <v>20.876676</v>
      </c>
      <c r="E49" t="s">
        <v>676</v>
      </c>
      <c r="F49" t="s">
        <v>677</v>
      </c>
    </row>
    <row r="50" spans="1:6" x14ac:dyDescent="0.35">
      <c r="A50" t="s">
        <v>721</v>
      </c>
      <c r="B50" t="s">
        <v>722</v>
      </c>
      <c r="C50">
        <v>3.7141999999999999</v>
      </c>
      <c r="D50">
        <v>28.547066999999998</v>
      </c>
      <c r="E50" t="s">
        <v>683</v>
      </c>
      <c r="F50" t="s">
        <v>684</v>
      </c>
    </row>
    <row r="51" spans="1:6" x14ac:dyDescent="0.35">
      <c r="A51" t="s">
        <v>354</v>
      </c>
      <c r="B51" t="s">
        <v>706</v>
      </c>
      <c r="C51">
        <v>-5.4073029999999997</v>
      </c>
      <c r="D51">
        <v>29.762294000000001</v>
      </c>
      <c r="E51" t="s">
        <v>683</v>
      </c>
      <c r="F51" t="s">
        <v>677</v>
      </c>
    </row>
    <row r="52" spans="1:6" x14ac:dyDescent="0.35">
      <c r="A52" t="s">
        <v>723</v>
      </c>
      <c r="B52" t="s">
        <v>700</v>
      </c>
      <c r="C52">
        <v>-3.6233270000000002</v>
      </c>
      <c r="D52">
        <v>25.915645999999999</v>
      </c>
      <c r="E52" t="s">
        <v>683</v>
      </c>
      <c r="F52" t="s">
        <v>681</v>
      </c>
    </row>
    <row r="53" spans="1:6" x14ac:dyDescent="0.35">
      <c r="A53" t="s">
        <v>724</v>
      </c>
      <c r="B53" t="s">
        <v>675</v>
      </c>
      <c r="C53">
        <v>-8.4403710000000007</v>
      </c>
      <c r="D53">
        <v>17.231165000000001</v>
      </c>
      <c r="E53" t="s">
        <v>680</v>
      </c>
      <c r="F53" t="s">
        <v>681</v>
      </c>
    </row>
    <row r="54" spans="1:6" x14ac:dyDescent="0.35">
      <c r="A54" t="s">
        <v>237</v>
      </c>
      <c r="B54" t="s">
        <v>682</v>
      </c>
      <c r="C54">
        <v>-1.50664</v>
      </c>
      <c r="D54">
        <v>27.795642000000001</v>
      </c>
      <c r="E54" t="s">
        <v>676</v>
      </c>
      <c r="F54" t="s">
        <v>684</v>
      </c>
    </row>
    <row r="55" spans="1:6" x14ac:dyDescent="0.35">
      <c r="A55" t="s">
        <v>289</v>
      </c>
      <c r="B55" t="s">
        <v>722</v>
      </c>
      <c r="C55">
        <v>-9.4229749999999992</v>
      </c>
      <c r="D55">
        <v>29.375005999999999</v>
      </c>
      <c r="E55" t="s">
        <v>683</v>
      </c>
      <c r="F55" t="s">
        <v>677</v>
      </c>
    </row>
    <row r="56" spans="1:6" x14ac:dyDescent="0.35">
      <c r="A56" t="s">
        <v>224</v>
      </c>
      <c r="B56" t="s">
        <v>725</v>
      </c>
      <c r="C56">
        <v>2.975352</v>
      </c>
      <c r="D56">
        <v>22.535886000000001</v>
      </c>
      <c r="E56" t="s">
        <v>680</v>
      </c>
      <c r="F56" t="s">
        <v>681</v>
      </c>
    </row>
    <row r="57" spans="1:6" x14ac:dyDescent="0.35">
      <c r="A57" t="s">
        <v>446</v>
      </c>
      <c r="B57" t="s">
        <v>688</v>
      </c>
      <c r="C57">
        <v>2.5458379999999998</v>
      </c>
      <c r="D57">
        <v>13.308655</v>
      </c>
      <c r="E57" t="s">
        <v>676</v>
      </c>
      <c r="F57" t="s">
        <v>684</v>
      </c>
    </row>
    <row r="58" spans="1:6" x14ac:dyDescent="0.35">
      <c r="A58" t="s">
        <v>337</v>
      </c>
      <c r="B58" t="s">
        <v>726</v>
      </c>
      <c r="C58">
        <v>-9.0798120000000004</v>
      </c>
      <c r="D58">
        <v>14.945484</v>
      </c>
      <c r="E58" t="s">
        <v>676</v>
      </c>
      <c r="F58" t="s">
        <v>677</v>
      </c>
    </row>
    <row r="59" spans="1:6" x14ac:dyDescent="0.35">
      <c r="A59" t="s">
        <v>303</v>
      </c>
      <c r="B59" t="s">
        <v>714</v>
      </c>
      <c r="C59">
        <v>-10.967288</v>
      </c>
      <c r="D59">
        <v>17.617781000000001</v>
      </c>
      <c r="E59" t="s">
        <v>680</v>
      </c>
      <c r="F59" t="s">
        <v>677</v>
      </c>
    </row>
    <row r="60" spans="1:6" x14ac:dyDescent="0.35">
      <c r="A60" t="s">
        <v>138</v>
      </c>
      <c r="B60" t="s">
        <v>716</v>
      </c>
      <c r="C60">
        <v>-1.607639</v>
      </c>
      <c r="D60">
        <v>17.003636</v>
      </c>
      <c r="E60" t="s">
        <v>680</v>
      </c>
      <c r="F60" t="s">
        <v>677</v>
      </c>
    </row>
    <row r="61" spans="1:6" x14ac:dyDescent="0.35">
      <c r="A61" t="s">
        <v>543</v>
      </c>
      <c r="B61" t="s">
        <v>725</v>
      </c>
      <c r="C61">
        <v>-7.1587569999999996</v>
      </c>
      <c r="D61">
        <v>18.975141000000001</v>
      </c>
      <c r="E61" t="s">
        <v>676</v>
      </c>
      <c r="F61" t="s">
        <v>677</v>
      </c>
    </row>
    <row r="62" spans="1:6" x14ac:dyDescent="0.35">
      <c r="A62" t="s">
        <v>126</v>
      </c>
      <c r="B62" t="s">
        <v>702</v>
      </c>
      <c r="C62">
        <v>-9.9875139999999991</v>
      </c>
      <c r="D62">
        <v>12.013676999999999</v>
      </c>
      <c r="E62" t="s">
        <v>683</v>
      </c>
      <c r="F62" t="s">
        <v>684</v>
      </c>
    </row>
    <row r="63" spans="1:6" x14ac:dyDescent="0.35">
      <c r="A63" t="s">
        <v>454</v>
      </c>
      <c r="B63" t="s">
        <v>714</v>
      </c>
      <c r="C63">
        <v>-8.0301989999999996</v>
      </c>
      <c r="D63">
        <v>24.122495000000001</v>
      </c>
      <c r="E63" t="s">
        <v>676</v>
      </c>
      <c r="F63" t="s">
        <v>684</v>
      </c>
    </row>
    <row r="64" spans="1:6" x14ac:dyDescent="0.35">
      <c r="A64" t="s">
        <v>245</v>
      </c>
      <c r="B64" t="s">
        <v>696</v>
      </c>
      <c r="C64">
        <v>-10.846306999999999</v>
      </c>
      <c r="D64">
        <v>19.201827999999999</v>
      </c>
      <c r="E64" t="s">
        <v>680</v>
      </c>
      <c r="F64" t="s">
        <v>677</v>
      </c>
    </row>
    <row r="65" spans="1:6" x14ac:dyDescent="0.35">
      <c r="A65" t="s">
        <v>727</v>
      </c>
      <c r="B65" t="s">
        <v>726</v>
      </c>
      <c r="C65">
        <v>1.204588</v>
      </c>
      <c r="D65">
        <v>15.525152</v>
      </c>
      <c r="E65" t="s">
        <v>676</v>
      </c>
      <c r="F65" t="s">
        <v>681</v>
      </c>
    </row>
    <row r="66" spans="1:6" x14ac:dyDescent="0.35">
      <c r="A66" t="s">
        <v>452</v>
      </c>
      <c r="B66" t="s">
        <v>704</v>
      </c>
      <c r="C66">
        <v>-12.839263000000001</v>
      </c>
      <c r="D66">
        <v>12.355677</v>
      </c>
      <c r="E66" t="s">
        <v>683</v>
      </c>
      <c r="F66" t="s">
        <v>681</v>
      </c>
    </row>
    <row r="67" spans="1:6" x14ac:dyDescent="0.35">
      <c r="A67" t="s">
        <v>728</v>
      </c>
      <c r="B67" t="s">
        <v>707</v>
      </c>
      <c r="C67">
        <v>-12.244119</v>
      </c>
      <c r="D67">
        <v>28.279755999999999</v>
      </c>
      <c r="E67" t="s">
        <v>676</v>
      </c>
      <c r="F67" t="s">
        <v>684</v>
      </c>
    </row>
    <row r="68" spans="1:6" x14ac:dyDescent="0.35">
      <c r="A68" t="s">
        <v>729</v>
      </c>
      <c r="B68" t="s">
        <v>703</v>
      </c>
      <c r="C68">
        <v>1.102554</v>
      </c>
      <c r="D68">
        <v>26.744315</v>
      </c>
      <c r="E68" t="s">
        <v>683</v>
      </c>
      <c r="F68" t="s">
        <v>677</v>
      </c>
    </row>
    <row r="69" spans="1:6" x14ac:dyDescent="0.35">
      <c r="A69" t="s">
        <v>178</v>
      </c>
      <c r="B69" t="s">
        <v>694</v>
      </c>
      <c r="C69">
        <v>-4.4451280000000004</v>
      </c>
      <c r="D69">
        <v>16.536944999999999</v>
      </c>
      <c r="E69" t="s">
        <v>680</v>
      </c>
      <c r="F69" t="s">
        <v>677</v>
      </c>
    </row>
    <row r="70" spans="1:6" x14ac:dyDescent="0.35">
      <c r="A70" t="s">
        <v>174</v>
      </c>
      <c r="B70" t="s">
        <v>702</v>
      </c>
      <c r="C70">
        <v>-2.2681789999999999</v>
      </c>
      <c r="D70">
        <v>25.699068</v>
      </c>
      <c r="E70" t="s">
        <v>683</v>
      </c>
      <c r="F70" t="s">
        <v>684</v>
      </c>
    </row>
    <row r="71" spans="1:6" x14ac:dyDescent="0.35">
      <c r="A71" t="s">
        <v>110</v>
      </c>
      <c r="B71" t="s">
        <v>696</v>
      </c>
      <c r="C71">
        <v>-6.3148239999999998</v>
      </c>
      <c r="D71">
        <v>24.507498999999999</v>
      </c>
      <c r="E71" t="s">
        <v>683</v>
      </c>
      <c r="F71" t="s">
        <v>684</v>
      </c>
    </row>
    <row r="72" spans="1:6" x14ac:dyDescent="0.35">
      <c r="A72" t="s">
        <v>341</v>
      </c>
      <c r="B72" t="s">
        <v>690</v>
      </c>
      <c r="C72">
        <v>-11.389362</v>
      </c>
      <c r="D72">
        <v>22.240174</v>
      </c>
      <c r="E72" t="s">
        <v>676</v>
      </c>
      <c r="F72" t="s">
        <v>684</v>
      </c>
    </row>
    <row r="73" spans="1:6" x14ac:dyDescent="0.35">
      <c r="A73" t="s">
        <v>438</v>
      </c>
      <c r="B73" t="s">
        <v>679</v>
      </c>
      <c r="C73">
        <v>-10.161428000000001</v>
      </c>
      <c r="D73">
        <v>19.362325999999999</v>
      </c>
      <c r="E73" t="s">
        <v>683</v>
      </c>
      <c r="F73" t="s">
        <v>697</v>
      </c>
    </row>
    <row r="74" spans="1:6" x14ac:dyDescent="0.35">
      <c r="A74" t="s">
        <v>483</v>
      </c>
      <c r="B74" t="s">
        <v>714</v>
      </c>
      <c r="C74">
        <v>-11.354772000000001</v>
      </c>
      <c r="D74">
        <v>21.957325999999998</v>
      </c>
      <c r="E74" t="s">
        <v>683</v>
      </c>
      <c r="F74" t="s">
        <v>697</v>
      </c>
    </row>
    <row r="75" spans="1:6" x14ac:dyDescent="0.35">
      <c r="A75" t="s">
        <v>57</v>
      </c>
      <c r="B75" t="s">
        <v>682</v>
      </c>
      <c r="C75">
        <v>-1.864393</v>
      </c>
      <c r="D75">
        <v>21.453434000000001</v>
      </c>
      <c r="E75" t="s">
        <v>676</v>
      </c>
      <c r="F75" t="s">
        <v>677</v>
      </c>
    </row>
    <row r="76" spans="1:6" x14ac:dyDescent="0.35">
      <c r="A76" t="s">
        <v>730</v>
      </c>
      <c r="B76" t="s">
        <v>706</v>
      </c>
      <c r="C76">
        <v>3.7552780000000001</v>
      </c>
      <c r="D76">
        <v>22.477888</v>
      </c>
      <c r="E76" t="s">
        <v>683</v>
      </c>
      <c r="F76" t="s">
        <v>697</v>
      </c>
    </row>
    <row r="77" spans="1:6" x14ac:dyDescent="0.35">
      <c r="A77" t="s">
        <v>309</v>
      </c>
      <c r="B77" t="s">
        <v>696</v>
      </c>
      <c r="C77">
        <v>4.9455159999999996</v>
      </c>
      <c r="D77">
        <v>23.647746000000001</v>
      </c>
      <c r="E77" t="s">
        <v>676</v>
      </c>
      <c r="F77" t="s">
        <v>681</v>
      </c>
    </row>
    <row r="78" spans="1:6" x14ac:dyDescent="0.35">
      <c r="A78" t="s">
        <v>731</v>
      </c>
      <c r="B78" t="s">
        <v>714</v>
      </c>
      <c r="C78">
        <v>-1.7476179999999999</v>
      </c>
      <c r="D78">
        <v>18.129401000000001</v>
      </c>
      <c r="E78" t="s">
        <v>680</v>
      </c>
      <c r="F78" t="s">
        <v>677</v>
      </c>
    </row>
    <row r="79" spans="1:6" x14ac:dyDescent="0.35">
      <c r="A79" t="s">
        <v>496</v>
      </c>
      <c r="B79" t="s">
        <v>675</v>
      </c>
      <c r="C79">
        <v>-11.924048000000001</v>
      </c>
      <c r="D79">
        <v>24.177174999999998</v>
      </c>
      <c r="E79" t="s">
        <v>683</v>
      </c>
      <c r="F79" t="s">
        <v>697</v>
      </c>
    </row>
    <row r="80" spans="1:6" x14ac:dyDescent="0.35">
      <c r="A80" t="s">
        <v>223</v>
      </c>
      <c r="B80" t="s">
        <v>706</v>
      </c>
      <c r="C80">
        <v>-1.3976519999999999</v>
      </c>
      <c r="D80">
        <v>14.098819000000001</v>
      </c>
      <c r="E80" t="s">
        <v>683</v>
      </c>
      <c r="F80" t="s">
        <v>677</v>
      </c>
    </row>
    <row r="81" spans="1:6" x14ac:dyDescent="0.35">
      <c r="A81" t="s">
        <v>732</v>
      </c>
      <c r="B81" t="s">
        <v>719</v>
      </c>
      <c r="C81">
        <v>-0.37609300000000001</v>
      </c>
      <c r="D81">
        <v>21.940809999999999</v>
      </c>
      <c r="E81" t="s">
        <v>676</v>
      </c>
      <c r="F81" t="s">
        <v>681</v>
      </c>
    </row>
    <row r="82" spans="1:6" x14ac:dyDescent="0.35">
      <c r="A82" t="s">
        <v>548</v>
      </c>
      <c r="B82" t="s">
        <v>725</v>
      </c>
      <c r="C82">
        <v>1.2463919999999999</v>
      </c>
      <c r="D82">
        <v>13.266916999999999</v>
      </c>
      <c r="E82" t="s">
        <v>676</v>
      </c>
      <c r="F82" t="s">
        <v>681</v>
      </c>
    </row>
    <row r="83" spans="1:6" x14ac:dyDescent="0.35">
      <c r="A83" t="s">
        <v>639</v>
      </c>
      <c r="B83" t="s">
        <v>694</v>
      </c>
      <c r="C83">
        <v>-10.735106</v>
      </c>
      <c r="D83">
        <v>27.868673999999999</v>
      </c>
      <c r="E83" t="s">
        <v>683</v>
      </c>
      <c r="F83" t="s">
        <v>677</v>
      </c>
    </row>
    <row r="84" spans="1:6" x14ac:dyDescent="0.35">
      <c r="A84" t="s">
        <v>562</v>
      </c>
      <c r="B84" t="s">
        <v>675</v>
      </c>
      <c r="C84">
        <v>-8.8118569999999998</v>
      </c>
      <c r="D84">
        <v>14.465711000000001</v>
      </c>
      <c r="E84" t="s">
        <v>676</v>
      </c>
      <c r="F84" t="s">
        <v>697</v>
      </c>
    </row>
    <row r="85" spans="1:6" x14ac:dyDescent="0.35">
      <c r="A85" t="s">
        <v>733</v>
      </c>
      <c r="B85" t="s">
        <v>719</v>
      </c>
      <c r="C85">
        <v>4.6701629999999996</v>
      </c>
      <c r="D85">
        <v>28.596363</v>
      </c>
      <c r="E85" t="s">
        <v>676</v>
      </c>
      <c r="F85" t="s">
        <v>677</v>
      </c>
    </row>
    <row r="86" spans="1:6" x14ac:dyDescent="0.35">
      <c r="A86" t="s">
        <v>734</v>
      </c>
      <c r="B86" t="s">
        <v>714</v>
      </c>
      <c r="C86">
        <v>1.194113</v>
      </c>
      <c r="D86">
        <v>15.839502</v>
      </c>
      <c r="E86" t="s">
        <v>683</v>
      </c>
      <c r="F86" t="s">
        <v>681</v>
      </c>
    </row>
    <row r="87" spans="1:6" x14ac:dyDescent="0.35">
      <c r="A87" t="s">
        <v>399</v>
      </c>
      <c r="B87" t="s">
        <v>679</v>
      </c>
      <c r="C87">
        <v>0.62055499999999997</v>
      </c>
      <c r="D87">
        <v>21.222035000000002</v>
      </c>
      <c r="E87" t="s">
        <v>676</v>
      </c>
      <c r="F87" t="s">
        <v>697</v>
      </c>
    </row>
    <row r="88" spans="1:6" x14ac:dyDescent="0.35">
      <c r="A88" t="s">
        <v>735</v>
      </c>
      <c r="B88" t="s">
        <v>685</v>
      </c>
      <c r="C88">
        <v>1.499457</v>
      </c>
      <c r="D88">
        <v>13.876317999999999</v>
      </c>
      <c r="E88" t="s">
        <v>676</v>
      </c>
      <c r="F88" t="s">
        <v>697</v>
      </c>
    </row>
    <row r="89" spans="1:6" x14ac:dyDescent="0.35">
      <c r="A89" t="s">
        <v>54</v>
      </c>
      <c r="B89" t="s">
        <v>693</v>
      </c>
      <c r="C89">
        <v>-5.1030600000000002</v>
      </c>
      <c r="D89">
        <v>22.849231</v>
      </c>
      <c r="E89" t="s">
        <v>676</v>
      </c>
      <c r="F89" t="s">
        <v>684</v>
      </c>
    </row>
    <row r="90" spans="1:6" x14ac:dyDescent="0.35">
      <c r="A90" t="s">
        <v>87</v>
      </c>
      <c r="B90" t="s">
        <v>694</v>
      </c>
      <c r="C90">
        <v>-9.5266249999999992</v>
      </c>
      <c r="D90">
        <v>27.889690999999999</v>
      </c>
      <c r="E90" t="s">
        <v>680</v>
      </c>
      <c r="F90" t="s">
        <v>677</v>
      </c>
    </row>
    <row r="91" spans="1:6" x14ac:dyDescent="0.35">
      <c r="A91" t="s">
        <v>736</v>
      </c>
      <c r="B91" t="s">
        <v>707</v>
      </c>
      <c r="C91">
        <v>-0.59350000000000003</v>
      </c>
      <c r="D91">
        <v>24.500503999999999</v>
      </c>
      <c r="E91" t="s">
        <v>676</v>
      </c>
      <c r="F91" t="s">
        <v>681</v>
      </c>
    </row>
    <row r="92" spans="1:6" x14ac:dyDescent="0.35">
      <c r="A92" t="s">
        <v>326</v>
      </c>
      <c r="B92" t="s">
        <v>696</v>
      </c>
      <c r="C92">
        <v>-6.5529849999999996</v>
      </c>
      <c r="D92">
        <v>21.990606</v>
      </c>
      <c r="E92" t="s">
        <v>683</v>
      </c>
      <c r="F92" t="s">
        <v>681</v>
      </c>
    </row>
    <row r="93" spans="1:6" x14ac:dyDescent="0.35">
      <c r="A93" t="s">
        <v>569</v>
      </c>
      <c r="B93" t="s">
        <v>693</v>
      </c>
      <c r="C93">
        <v>-10.574821</v>
      </c>
      <c r="D93">
        <v>25.324966</v>
      </c>
      <c r="E93" t="s">
        <v>676</v>
      </c>
      <c r="F93" t="s">
        <v>677</v>
      </c>
    </row>
    <row r="94" spans="1:6" x14ac:dyDescent="0.35">
      <c r="A94" t="s">
        <v>627</v>
      </c>
      <c r="B94" t="s">
        <v>737</v>
      </c>
      <c r="C94">
        <v>3.175935</v>
      </c>
      <c r="D94">
        <v>16.862832000000001</v>
      </c>
      <c r="E94" t="s">
        <v>676</v>
      </c>
      <c r="F94" t="s">
        <v>677</v>
      </c>
    </row>
    <row r="95" spans="1:6" x14ac:dyDescent="0.35">
      <c r="A95" t="s">
        <v>188</v>
      </c>
      <c r="B95" t="s">
        <v>688</v>
      </c>
      <c r="C95">
        <v>-4.2645619999999997</v>
      </c>
      <c r="D95">
        <v>18.960726000000001</v>
      </c>
      <c r="E95" t="s">
        <v>680</v>
      </c>
      <c r="F95" t="s">
        <v>681</v>
      </c>
    </row>
    <row r="96" spans="1:6" x14ac:dyDescent="0.35">
      <c r="A96" t="s">
        <v>332</v>
      </c>
      <c r="B96" t="s">
        <v>703</v>
      </c>
      <c r="C96">
        <v>-5.125</v>
      </c>
      <c r="D96">
        <v>23.513119</v>
      </c>
      <c r="E96" t="s">
        <v>676</v>
      </c>
      <c r="F96" t="s">
        <v>681</v>
      </c>
    </row>
    <row r="97" spans="1:6" x14ac:dyDescent="0.35">
      <c r="A97" t="s">
        <v>517</v>
      </c>
      <c r="B97" t="s">
        <v>738</v>
      </c>
      <c r="C97">
        <v>-7.6951369999999999</v>
      </c>
      <c r="D97">
        <v>13.346605</v>
      </c>
      <c r="E97" t="s">
        <v>680</v>
      </c>
      <c r="F97" t="s">
        <v>677</v>
      </c>
    </row>
    <row r="98" spans="1:6" x14ac:dyDescent="0.35">
      <c r="A98" t="s">
        <v>739</v>
      </c>
      <c r="B98" t="s">
        <v>719</v>
      </c>
      <c r="C98">
        <v>-0.45332</v>
      </c>
      <c r="D98">
        <v>29.674009999999999</v>
      </c>
      <c r="E98" t="s">
        <v>676</v>
      </c>
      <c r="F98" t="s">
        <v>677</v>
      </c>
    </row>
    <row r="99" spans="1:6" x14ac:dyDescent="0.35">
      <c r="A99" t="s">
        <v>293</v>
      </c>
      <c r="B99" t="s">
        <v>725</v>
      </c>
      <c r="C99">
        <v>-9.5840350000000001</v>
      </c>
      <c r="D99">
        <v>15.966024000000001</v>
      </c>
      <c r="E99" t="s">
        <v>676</v>
      </c>
      <c r="F99" t="s">
        <v>697</v>
      </c>
    </row>
    <row r="100" spans="1:6" x14ac:dyDescent="0.35">
      <c r="A100" t="s">
        <v>632</v>
      </c>
      <c r="B100" t="s">
        <v>719</v>
      </c>
      <c r="C100">
        <v>-9.6407190000000007</v>
      </c>
      <c r="D100">
        <v>21.336704999999998</v>
      </c>
      <c r="E100" t="s">
        <v>680</v>
      </c>
      <c r="F100" t="s">
        <v>684</v>
      </c>
    </row>
    <row r="101" spans="1:6" x14ac:dyDescent="0.35">
      <c r="A101" t="s">
        <v>740</v>
      </c>
      <c r="B101" t="s">
        <v>704</v>
      </c>
      <c r="C101">
        <v>-6.7420359999999997</v>
      </c>
      <c r="D101">
        <v>28.905578999999999</v>
      </c>
      <c r="E101" t="s">
        <v>683</v>
      </c>
      <c r="F101" t="s">
        <v>681</v>
      </c>
    </row>
    <row r="102" spans="1:6" x14ac:dyDescent="0.35">
      <c r="A102" t="s">
        <v>216</v>
      </c>
      <c r="B102" t="s">
        <v>722</v>
      </c>
      <c r="C102">
        <v>0.16841400000000001</v>
      </c>
      <c r="D102">
        <v>30.029876999999999</v>
      </c>
      <c r="E102" t="s">
        <v>676</v>
      </c>
      <c r="F102" t="s">
        <v>681</v>
      </c>
    </row>
    <row r="103" spans="1:6" x14ac:dyDescent="0.35">
      <c r="A103" t="s">
        <v>741</v>
      </c>
      <c r="B103" t="s">
        <v>707</v>
      </c>
      <c r="C103">
        <v>-5.9281110000000004</v>
      </c>
      <c r="D103">
        <v>29.607863999999999</v>
      </c>
      <c r="E103" t="s">
        <v>680</v>
      </c>
      <c r="F103" t="s">
        <v>681</v>
      </c>
    </row>
    <row r="104" spans="1:6" x14ac:dyDescent="0.35">
      <c r="A104" t="s">
        <v>38</v>
      </c>
      <c r="B104" t="s">
        <v>703</v>
      </c>
      <c r="C104">
        <v>-4.9789079999999997</v>
      </c>
      <c r="D104">
        <v>28.506295000000001</v>
      </c>
      <c r="E104" t="s">
        <v>680</v>
      </c>
      <c r="F104" t="s">
        <v>681</v>
      </c>
    </row>
    <row r="105" spans="1:6" x14ac:dyDescent="0.35">
      <c r="A105" t="s">
        <v>318</v>
      </c>
      <c r="B105" t="s">
        <v>707</v>
      </c>
      <c r="C105">
        <v>-2.2876210000000001</v>
      </c>
      <c r="D105">
        <v>27.582545</v>
      </c>
      <c r="E105" t="s">
        <v>680</v>
      </c>
      <c r="F105" t="s">
        <v>681</v>
      </c>
    </row>
    <row r="106" spans="1:6" x14ac:dyDescent="0.35">
      <c r="A106" t="s">
        <v>551</v>
      </c>
      <c r="B106" t="s">
        <v>682</v>
      </c>
      <c r="C106">
        <v>-3.9148719999999999</v>
      </c>
      <c r="D106">
        <v>12.260933</v>
      </c>
      <c r="E106" t="s">
        <v>680</v>
      </c>
      <c r="F106" t="s">
        <v>677</v>
      </c>
    </row>
    <row r="107" spans="1:6" x14ac:dyDescent="0.35">
      <c r="A107" t="s">
        <v>123</v>
      </c>
      <c r="B107" t="s">
        <v>682</v>
      </c>
      <c r="C107">
        <v>-9.002459</v>
      </c>
      <c r="D107">
        <v>25.182109000000001</v>
      </c>
      <c r="E107" t="s">
        <v>676</v>
      </c>
      <c r="F107" t="s">
        <v>681</v>
      </c>
    </row>
    <row r="108" spans="1:6" x14ac:dyDescent="0.35">
      <c r="A108" t="s">
        <v>257</v>
      </c>
      <c r="B108" t="s">
        <v>699</v>
      </c>
      <c r="C108">
        <v>-7.7839049999999999</v>
      </c>
      <c r="D108">
        <v>14.114281999999999</v>
      </c>
      <c r="E108" t="s">
        <v>683</v>
      </c>
      <c r="F108" t="s">
        <v>684</v>
      </c>
    </row>
    <row r="109" spans="1:6" x14ac:dyDescent="0.35">
      <c r="A109" t="s">
        <v>63</v>
      </c>
      <c r="B109" t="s">
        <v>679</v>
      </c>
      <c r="C109">
        <v>-5.9021970000000001</v>
      </c>
      <c r="D109">
        <v>20.551169999999999</v>
      </c>
      <c r="E109" t="s">
        <v>683</v>
      </c>
      <c r="F109" t="s">
        <v>681</v>
      </c>
    </row>
    <row r="110" spans="1:6" x14ac:dyDescent="0.35">
      <c r="A110" t="s">
        <v>742</v>
      </c>
      <c r="B110" t="s">
        <v>701</v>
      </c>
      <c r="C110">
        <v>-10.620597</v>
      </c>
      <c r="D110">
        <v>12.432214</v>
      </c>
      <c r="E110" t="s">
        <v>680</v>
      </c>
      <c r="F110" t="s">
        <v>681</v>
      </c>
    </row>
    <row r="111" spans="1:6" x14ac:dyDescent="0.35">
      <c r="A111" t="s">
        <v>86</v>
      </c>
      <c r="B111" t="s">
        <v>738</v>
      </c>
      <c r="C111">
        <v>-11.514188000000001</v>
      </c>
      <c r="D111">
        <v>15.971181</v>
      </c>
      <c r="E111" t="s">
        <v>676</v>
      </c>
      <c r="F111" t="s">
        <v>677</v>
      </c>
    </row>
    <row r="112" spans="1:6" x14ac:dyDescent="0.35">
      <c r="A112" t="s">
        <v>71</v>
      </c>
      <c r="B112" t="s">
        <v>737</v>
      </c>
      <c r="C112">
        <v>-2.7140689999999998</v>
      </c>
      <c r="D112">
        <v>22.222104000000002</v>
      </c>
      <c r="E112" t="s">
        <v>680</v>
      </c>
      <c r="F112" t="s">
        <v>697</v>
      </c>
    </row>
    <row r="113" spans="1:6" x14ac:dyDescent="0.35">
      <c r="A113" t="s">
        <v>269</v>
      </c>
      <c r="B113" t="s">
        <v>725</v>
      </c>
      <c r="C113">
        <v>-12.112399999999999</v>
      </c>
      <c r="D113">
        <v>15.872226</v>
      </c>
      <c r="E113" t="s">
        <v>680</v>
      </c>
      <c r="F113" t="s">
        <v>697</v>
      </c>
    </row>
    <row r="114" spans="1:6" x14ac:dyDescent="0.35">
      <c r="A114" t="s">
        <v>665</v>
      </c>
      <c r="B114" t="s">
        <v>719</v>
      </c>
      <c r="C114">
        <v>-5.8145569999999998</v>
      </c>
      <c r="D114">
        <v>21.942052</v>
      </c>
      <c r="E114" t="s">
        <v>676</v>
      </c>
      <c r="F114" t="s">
        <v>681</v>
      </c>
    </row>
    <row r="115" spans="1:6" x14ac:dyDescent="0.35">
      <c r="A115" t="s">
        <v>412</v>
      </c>
      <c r="B115" t="s">
        <v>722</v>
      </c>
      <c r="C115">
        <v>-11.468578000000001</v>
      </c>
      <c r="D115">
        <v>16.914501999999999</v>
      </c>
      <c r="E115" t="s">
        <v>680</v>
      </c>
      <c r="F115" t="s">
        <v>677</v>
      </c>
    </row>
    <row r="116" spans="1:6" x14ac:dyDescent="0.35">
      <c r="A116" t="s">
        <v>743</v>
      </c>
      <c r="B116" t="s">
        <v>699</v>
      </c>
      <c r="C116">
        <v>-3.967184</v>
      </c>
      <c r="D116">
        <v>21.177499999999998</v>
      </c>
      <c r="E116" t="s">
        <v>683</v>
      </c>
      <c r="F116" t="s">
        <v>681</v>
      </c>
    </row>
    <row r="117" spans="1:6" x14ac:dyDescent="0.35">
      <c r="A117" t="s">
        <v>744</v>
      </c>
      <c r="B117" t="s">
        <v>696</v>
      </c>
      <c r="C117">
        <v>0.92885200000000001</v>
      </c>
      <c r="D117">
        <v>25.868548000000001</v>
      </c>
      <c r="E117" t="s">
        <v>676</v>
      </c>
      <c r="F117" t="s">
        <v>697</v>
      </c>
    </row>
    <row r="118" spans="1:6" x14ac:dyDescent="0.35">
      <c r="A118" t="s">
        <v>456</v>
      </c>
      <c r="B118" t="s">
        <v>726</v>
      </c>
      <c r="C118">
        <v>-10.653247</v>
      </c>
      <c r="D118">
        <v>14.685601</v>
      </c>
      <c r="E118" t="s">
        <v>680</v>
      </c>
      <c r="F118" t="s">
        <v>677</v>
      </c>
    </row>
    <row r="119" spans="1:6" x14ac:dyDescent="0.35">
      <c r="A119" t="s">
        <v>745</v>
      </c>
      <c r="B119" t="s">
        <v>714</v>
      </c>
      <c r="C119">
        <v>-10.572326</v>
      </c>
      <c r="D119">
        <v>25.276349</v>
      </c>
      <c r="E119" t="s">
        <v>683</v>
      </c>
      <c r="F119" t="s">
        <v>684</v>
      </c>
    </row>
    <row r="120" spans="1:6" x14ac:dyDescent="0.35">
      <c r="A120" t="s">
        <v>746</v>
      </c>
      <c r="B120" t="s">
        <v>725</v>
      </c>
      <c r="C120">
        <v>-2.9326690000000002</v>
      </c>
      <c r="D120">
        <v>12.349382</v>
      </c>
      <c r="E120" t="s">
        <v>676</v>
      </c>
      <c r="F120" t="s">
        <v>684</v>
      </c>
    </row>
    <row r="121" spans="1:6" x14ac:dyDescent="0.35">
      <c r="A121" t="s">
        <v>577</v>
      </c>
      <c r="B121" t="s">
        <v>714</v>
      </c>
      <c r="C121">
        <v>-4.2184999999999997</v>
      </c>
      <c r="D121">
        <v>23.077093999999999</v>
      </c>
      <c r="E121" t="s">
        <v>680</v>
      </c>
      <c r="F121" t="s">
        <v>677</v>
      </c>
    </row>
    <row r="122" spans="1:6" x14ac:dyDescent="0.35">
      <c r="A122" t="s">
        <v>747</v>
      </c>
      <c r="B122" t="s">
        <v>688</v>
      </c>
      <c r="C122">
        <v>-1.259528</v>
      </c>
      <c r="D122">
        <v>24.607037999999999</v>
      </c>
      <c r="E122" t="s">
        <v>680</v>
      </c>
      <c r="F122" t="s">
        <v>684</v>
      </c>
    </row>
    <row r="123" spans="1:6" x14ac:dyDescent="0.35">
      <c r="A123" t="s">
        <v>114</v>
      </c>
      <c r="B123" t="s">
        <v>700</v>
      </c>
      <c r="C123">
        <v>-9.4702129999999993</v>
      </c>
      <c r="D123">
        <v>12.826158</v>
      </c>
      <c r="E123" t="s">
        <v>683</v>
      </c>
      <c r="F123" t="s">
        <v>677</v>
      </c>
    </row>
    <row r="124" spans="1:6" x14ac:dyDescent="0.35">
      <c r="A124" t="s">
        <v>294</v>
      </c>
      <c r="B124" t="s">
        <v>711</v>
      </c>
      <c r="C124">
        <v>-1.9120569999999999</v>
      </c>
      <c r="D124">
        <v>15.236072999999999</v>
      </c>
      <c r="E124" t="s">
        <v>676</v>
      </c>
      <c r="F124" t="s">
        <v>681</v>
      </c>
    </row>
    <row r="125" spans="1:6" x14ac:dyDescent="0.35">
      <c r="A125" t="s">
        <v>129</v>
      </c>
      <c r="B125" t="s">
        <v>711</v>
      </c>
      <c r="C125">
        <v>0.24202000000000001</v>
      </c>
      <c r="D125">
        <v>17.396256999999999</v>
      </c>
      <c r="E125" t="s">
        <v>680</v>
      </c>
      <c r="F125" t="s">
        <v>681</v>
      </c>
    </row>
    <row r="126" spans="1:6" x14ac:dyDescent="0.35">
      <c r="A126" t="s">
        <v>139</v>
      </c>
      <c r="B126" t="s">
        <v>679</v>
      </c>
      <c r="C126">
        <v>-8.5675749999999997</v>
      </c>
      <c r="D126">
        <v>26.994581</v>
      </c>
      <c r="E126" t="s">
        <v>683</v>
      </c>
      <c r="F126" t="s">
        <v>697</v>
      </c>
    </row>
    <row r="127" spans="1:6" x14ac:dyDescent="0.35">
      <c r="A127" t="s">
        <v>56</v>
      </c>
      <c r="B127" t="s">
        <v>714</v>
      </c>
      <c r="C127">
        <v>-11.710407999999999</v>
      </c>
      <c r="D127">
        <v>23.741330999999999</v>
      </c>
      <c r="E127" t="s">
        <v>683</v>
      </c>
      <c r="F127" t="s">
        <v>681</v>
      </c>
    </row>
    <row r="128" spans="1:6" x14ac:dyDescent="0.35">
      <c r="A128" t="s">
        <v>748</v>
      </c>
      <c r="B128" t="s">
        <v>706</v>
      </c>
      <c r="C128">
        <v>0.98189400000000004</v>
      </c>
      <c r="D128">
        <v>13.008620000000001</v>
      </c>
      <c r="E128" t="s">
        <v>680</v>
      </c>
      <c r="F128" t="s">
        <v>681</v>
      </c>
    </row>
    <row r="129" spans="1:6" x14ac:dyDescent="0.35">
      <c r="A129" t="s">
        <v>317</v>
      </c>
      <c r="B129" t="s">
        <v>719</v>
      </c>
      <c r="C129">
        <v>-7.1785899999999998</v>
      </c>
      <c r="D129">
        <v>24.4404</v>
      </c>
      <c r="E129" t="s">
        <v>680</v>
      </c>
      <c r="F129" t="s">
        <v>697</v>
      </c>
    </row>
    <row r="130" spans="1:6" x14ac:dyDescent="0.35">
      <c r="A130" t="s">
        <v>319</v>
      </c>
      <c r="B130" t="s">
        <v>738</v>
      </c>
      <c r="C130">
        <v>3.6344850000000002</v>
      </c>
      <c r="D130">
        <v>12.158348999999999</v>
      </c>
      <c r="E130" t="s">
        <v>676</v>
      </c>
      <c r="F130" t="s">
        <v>677</v>
      </c>
    </row>
    <row r="131" spans="1:6" x14ac:dyDescent="0.35">
      <c r="A131" t="s">
        <v>336</v>
      </c>
      <c r="B131" t="s">
        <v>701</v>
      </c>
      <c r="C131">
        <v>-11.387295999999999</v>
      </c>
      <c r="D131">
        <v>19.384257999999999</v>
      </c>
      <c r="E131" t="s">
        <v>683</v>
      </c>
      <c r="F131" t="s">
        <v>681</v>
      </c>
    </row>
    <row r="132" spans="1:6" x14ac:dyDescent="0.35">
      <c r="A132" t="s">
        <v>329</v>
      </c>
      <c r="B132" t="s">
        <v>690</v>
      </c>
      <c r="C132">
        <v>-0.90854400000000002</v>
      </c>
      <c r="D132">
        <v>17.154896999999998</v>
      </c>
      <c r="E132" t="s">
        <v>683</v>
      </c>
      <c r="F132" t="s">
        <v>681</v>
      </c>
    </row>
    <row r="133" spans="1:6" x14ac:dyDescent="0.35">
      <c r="A133" t="s">
        <v>306</v>
      </c>
      <c r="B133" t="s">
        <v>738</v>
      </c>
      <c r="C133">
        <v>-5.3762689999999997</v>
      </c>
      <c r="D133">
        <v>28.189575999999999</v>
      </c>
      <c r="E133" t="s">
        <v>676</v>
      </c>
      <c r="F133" t="s">
        <v>681</v>
      </c>
    </row>
    <row r="134" spans="1:6" x14ac:dyDescent="0.35">
      <c r="A134" t="s">
        <v>749</v>
      </c>
      <c r="B134" t="s">
        <v>714</v>
      </c>
      <c r="C134">
        <v>-6.7304589999999997</v>
      </c>
      <c r="D134">
        <v>24.541906999999998</v>
      </c>
      <c r="E134" t="s">
        <v>680</v>
      </c>
      <c r="F134" t="s">
        <v>697</v>
      </c>
    </row>
    <row r="135" spans="1:6" x14ac:dyDescent="0.35">
      <c r="A135" t="s">
        <v>664</v>
      </c>
      <c r="B135" t="s">
        <v>738</v>
      </c>
      <c r="C135">
        <v>-7.2267089999999996</v>
      </c>
      <c r="D135">
        <v>28.421362999999999</v>
      </c>
      <c r="E135" t="s">
        <v>676</v>
      </c>
      <c r="F135" t="s">
        <v>677</v>
      </c>
    </row>
    <row r="136" spans="1:6" x14ac:dyDescent="0.35">
      <c r="A136" t="s">
        <v>153</v>
      </c>
      <c r="B136" t="s">
        <v>696</v>
      </c>
      <c r="C136">
        <v>-2.3102109999999998</v>
      </c>
      <c r="D136">
        <v>12.362488000000001</v>
      </c>
      <c r="E136" t="s">
        <v>676</v>
      </c>
      <c r="F136" t="s">
        <v>697</v>
      </c>
    </row>
    <row r="137" spans="1:6" x14ac:dyDescent="0.35">
      <c r="A137" t="s">
        <v>243</v>
      </c>
      <c r="B137" t="s">
        <v>725</v>
      </c>
      <c r="C137">
        <v>-12.564277000000001</v>
      </c>
      <c r="D137">
        <v>28.480798</v>
      </c>
      <c r="E137" t="s">
        <v>676</v>
      </c>
      <c r="F137" t="s">
        <v>684</v>
      </c>
    </row>
    <row r="138" spans="1:6" x14ac:dyDescent="0.35">
      <c r="A138" t="s">
        <v>620</v>
      </c>
      <c r="B138" t="s">
        <v>737</v>
      </c>
      <c r="C138">
        <v>-7.513261</v>
      </c>
      <c r="D138">
        <v>24.338812000000001</v>
      </c>
      <c r="E138" t="s">
        <v>676</v>
      </c>
      <c r="F138" t="s">
        <v>681</v>
      </c>
    </row>
    <row r="139" spans="1:6" x14ac:dyDescent="0.35">
      <c r="A139" t="s">
        <v>428</v>
      </c>
      <c r="B139" t="s">
        <v>685</v>
      </c>
      <c r="C139">
        <v>4.7777349999999998</v>
      </c>
      <c r="D139">
        <v>16.392204</v>
      </c>
      <c r="E139" t="s">
        <v>676</v>
      </c>
      <c r="F139" t="s">
        <v>684</v>
      </c>
    </row>
    <row r="140" spans="1:6" x14ac:dyDescent="0.35">
      <c r="A140" t="s">
        <v>750</v>
      </c>
      <c r="B140" t="s">
        <v>725</v>
      </c>
      <c r="C140">
        <v>-1.9080220000000001</v>
      </c>
      <c r="D140">
        <v>19.233322999999999</v>
      </c>
      <c r="E140" t="s">
        <v>683</v>
      </c>
      <c r="F140" t="s">
        <v>677</v>
      </c>
    </row>
    <row r="141" spans="1:6" x14ac:dyDescent="0.35">
      <c r="A141" t="s">
        <v>478</v>
      </c>
      <c r="B141" t="s">
        <v>688</v>
      </c>
      <c r="C141">
        <v>4.8228650000000002</v>
      </c>
      <c r="D141">
        <v>30.555627000000001</v>
      </c>
      <c r="E141" t="s">
        <v>680</v>
      </c>
      <c r="F141" t="s">
        <v>681</v>
      </c>
    </row>
    <row r="142" spans="1:6" x14ac:dyDescent="0.35">
      <c r="A142" t="s">
        <v>128</v>
      </c>
      <c r="B142" t="s">
        <v>704</v>
      </c>
      <c r="C142">
        <v>-5.0402180000000003</v>
      </c>
      <c r="D142">
        <v>13.892471</v>
      </c>
      <c r="E142" t="s">
        <v>683</v>
      </c>
      <c r="F142" t="s">
        <v>684</v>
      </c>
    </row>
    <row r="143" spans="1:6" x14ac:dyDescent="0.35">
      <c r="A143" t="s">
        <v>19</v>
      </c>
      <c r="B143" t="s">
        <v>699</v>
      </c>
      <c r="C143">
        <v>-10.375266999999999</v>
      </c>
      <c r="D143">
        <v>17.993663000000002</v>
      </c>
      <c r="E143" t="s">
        <v>676</v>
      </c>
      <c r="F143" t="s">
        <v>684</v>
      </c>
    </row>
    <row r="144" spans="1:6" x14ac:dyDescent="0.35">
      <c r="A144" t="s">
        <v>417</v>
      </c>
      <c r="B144" t="s">
        <v>716</v>
      </c>
      <c r="C144">
        <v>-12.192204</v>
      </c>
      <c r="D144">
        <v>28.468682000000001</v>
      </c>
      <c r="E144" t="s">
        <v>683</v>
      </c>
      <c r="F144" t="s">
        <v>684</v>
      </c>
    </row>
    <row r="145" spans="1:6" x14ac:dyDescent="0.35">
      <c r="A145" t="s">
        <v>360</v>
      </c>
      <c r="B145" t="s">
        <v>688</v>
      </c>
      <c r="C145">
        <v>1.727095</v>
      </c>
      <c r="D145">
        <v>22.099651999999999</v>
      </c>
      <c r="E145" t="s">
        <v>680</v>
      </c>
      <c r="F145" t="s">
        <v>681</v>
      </c>
    </row>
    <row r="146" spans="1:6" x14ac:dyDescent="0.35">
      <c r="A146" t="s">
        <v>751</v>
      </c>
      <c r="B146" t="s">
        <v>685</v>
      </c>
      <c r="C146">
        <v>-9.4056660000000001</v>
      </c>
      <c r="D146">
        <v>15.541930000000001</v>
      </c>
      <c r="E146" t="s">
        <v>680</v>
      </c>
      <c r="F146" t="s">
        <v>681</v>
      </c>
    </row>
    <row r="147" spans="1:6" x14ac:dyDescent="0.35">
      <c r="A147" t="s">
        <v>752</v>
      </c>
      <c r="B147" t="s">
        <v>682</v>
      </c>
      <c r="C147">
        <v>-6.2712260000000004</v>
      </c>
      <c r="D147">
        <v>21.512366</v>
      </c>
      <c r="E147" t="s">
        <v>676</v>
      </c>
      <c r="F147" t="s">
        <v>681</v>
      </c>
    </row>
    <row r="148" spans="1:6" x14ac:dyDescent="0.35">
      <c r="A148" t="s">
        <v>204</v>
      </c>
      <c r="B148" t="s">
        <v>706</v>
      </c>
      <c r="C148">
        <v>0.639208</v>
      </c>
      <c r="D148">
        <v>20.701739</v>
      </c>
      <c r="E148" t="s">
        <v>680</v>
      </c>
      <c r="F148" t="s">
        <v>681</v>
      </c>
    </row>
    <row r="149" spans="1:6" x14ac:dyDescent="0.35">
      <c r="A149" t="s">
        <v>753</v>
      </c>
      <c r="B149" t="s">
        <v>716</v>
      </c>
      <c r="C149">
        <v>2.349755</v>
      </c>
      <c r="D149">
        <v>29.600649000000001</v>
      </c>
      <c r="E149" t="s">
        <v>680</v>
      </c>
      <c r="F149" t="s">
        <v>697</v>
      </c>
    </row>
    <row r="150" spans="1:6" x14ac:dyDescent="0.35">
      <c r="A150" t="s">
        <v>597</v>
      </c>
      <c r="B150" t="s">
        <v>725</v>
      </c>
      <c r="C150">
        <v>-10.977309</v>
      </c>
      <c r="D150">
        <v>12.408281000000001</v>
      </c>
      <c r="E150" t="s">
        <v>676</v>
      </c>
      <c r="F150" t="s">
        <v>684</v>
      </c>
    </row>
    <row r="151" spans="1:6" x14ac:dyDescent="0.35">
      <c r="A151" t="s">
        <v>754</v>
      </c>
      <c r="B151" t="s">
        <v>693</v>
      </c>
      <c r="C151">
        <v>-12.018316</v>
      </c>
      <c r="D151">
        <v>16.700451000000001</v>
      </c>
      <c r="E151" t="s">
        <v>683</v>
      </c>
      <c r="F151" t="s">
        <v>697</v>
      </c>
    </row>
    <row r="152" spans="1:6" x14ac:dyDescent="0.35">
      <c r="A152" t="s">
        <v>389</v>
      </c>
      <c r="B152" t="s">
        <v>706</v>
      </c>
      <c r="C152">
        <v>-1.648326</v>
      </c>
      <c r="D152">
        <v>25.528901999999999</v>
      </c>
      <c r="E152" t="s">
        <v>680</v>
      </c>
      <c r="F152" t="s">
        <v>681</v>
      </c>
    </row>
    <row r="153" spans="1:6" x14ac:dyDescent="0.35">
      <c r="A153" t="s">
        <v>189</v>
      </c>
      <c r="B153" t="s">
        <v>719</v>
      </c>
      <c r="C153">
        <v>-12.112682</v>
      </c>
      <c r="D153">
        <v>19.972052000000001</v>
      </c>
      <c r="E153" t="s">
        <v>680</v>
      </c>
      <c r="F153" t="s">
        <v>681</v>
      </c>
    </row>
    <row r="154" spans="1:6" x14ac:dyDescent="0.35">
      <c r="A154" t="s">
        <v>561</v>
      </c>
      <c r="B154" t="s">
        <v>693</v>
      </c>
      <c r="C154">
        <v>-7.7587710000000003</v>
      </c>
      <c r="D154">
        <v>17.880848</v>
      </c>
      <c r="E154" t="s">
        <v>683</v>
      </c>
      <c r="F154" t="s">
        <v>677</v>
      </c>
    </row>
    <row r="155" spans="1:6" x14ac:dyDescent="0.35">
      <c r="A155" t="s">
        <v>385</v>
      </c>
      <c r="B155" t="s">
        <v>694</v>
      </c>
      <c r="C155">
        <v>-5.8352820000000003</v>
      </c>
      <c r="D155">
        <v>26.603978000000001</v>
      </c>
      <c r="E155" t="s">
        <v>680</v>
      </c>
      <c r="F155" t="s">
        <v>681</v>
      </c>
    </row>
    <row r="156" spans="1:6" x14ac:dyDescent="0.35">
      <c r="A156" t="s">
        <v>755</v>
      </c>
      <c r="B156" t="s">
        <v>714</v>
      </c>
      <c r="C156">
        <v>-7.5180249999999997</v>
      </c>
      <c r="D156">
        <v>20.478905999999998</v>
      </c>
      <c r="E156" t="s">
        <v>676</v>
      </c>
      <c r="F156" t="s">
        <v>697</v>
      </c>
    </row>
    <row r="157" spans="1:6" x14ac:dyDescent="0.35">
      <c r="A157" t="s">
        <v>405</v>
      </c>
      <c r="B157" t="s">
        <v>694</v>
      </c>
      <c r="C157">
        <v>1.897178</v>
      </c>
      <c r="D157">
        <v>23.902604</v>
      </c>
      <c r="E157" t="s">
        <v>683</v>
      </c>
      <c r="F157" t="s">
        <v>697</v>
      </c>
    </row>
    <row r="158" spans="1:6" x14ac:dyDescent="0.35">
      <c r="A158" t="s">
        <v>426</v>
      </c>
      <c r="B158" t="s">
        <v>726</v>
      </c>
      <c r="C158">
        <v>-4.6957509999999996</v>
      </c>
      <c r="D158">
        <v>14.233525999999999</v>
      </c>
      <c r="E158" t="s">
        <v>680</v>
      </c>
      <c r="F158" t="s">
        <v>697</v>
      </c>
    </row>
    <row r="159" spans="1:6" x14ac:dyDescent="0.35">
      <c r="A159" t="s">
        <v>756</v>
      </c>
      <c r="B159" t="s">
        <v>703</v>
      </c>
      <c r="C159">
        <v>-5.3956809999999997</v>
      </c>
      <c r="D159">
        <v>14.49985</v>
      </c>
      <c r="E159" t="s">
        <v>680</v>
      </c>
      <c r="F159" t="s">
        <v>684</v>
      </c>
    </row>
    <row r="160" spans="1:6" x14ac:dyDescent="0.35">
      <c r="A160" t="s">
        <v>757</v>
      </c>
      <c r="B160" t="s">
        <v>675</v>
      </c>
      <c r="C160">
        <v>-1.9635830000000001</v>
      </c>
      <c r="D160">
        <v>15.854182</v>
      </c>
      <c r="E160" t="s">
        <v>683</v>
      </c>
      <c r="F160" t="s">
        <v>697</v>
      </c>
    </row>
    <row r="161" spans="1:6" x14ac:dyDescent="0.35">
      <c r="A161" t="s">
        <v>758</v>
      </c>
      <c r="B161" t="s">
        <v>701</v>
      </c>
      <c r="C161">
        <v>-12.01816</v>
      </c>
      <c r="D161">
        <v>23.828645999999999</v>
      </c>
      <c r="E161" t="s">
        <v>683</v>
      </c>
      <c r="F161" t="s">
        <v>681</v>
      </c>
    </row>
    <row r="162" spans="1:6" x14ac:dyDescent="0.35">
      <c r="A162" t="s">
        <v>171</v>
      </c>
      <c r="B162" t="s">
        <v>707</v>
      </c>
      <c r="C162">
        <v>-3.6945459999999999</v>
      </c>
      <c r="D162">
        <v>16.809108999999999</v>
      </c>
      <c r="E162" t="s">
        <v>676</v>
      </c>
      <c r="F162" t="s">
        <v>684</v>
      </c>
    </row>
    <row r="163" spans="1:6" x14ac:dyDescent="0.35">
      <c r="A163" t="s">
        <v>144</v>
      </c>
      <c r="B163" t="s">
        <v>682</v>
      </c>
      <c r="C163">
        <v>-10.439686999999999</v>
      </c>
      <c r="D163">
        <v>20.714210000000001</v>
      </c>
      <c r="E163" t="s">
        <v>680</v>
      </c>
      <c r="F163" t="s">
        <v>684</v>
      </c>
    </row>
    <row r="164" spans="1:6" x14ac:dyDescent="0.35">
      <c r="A164" t="s">
        <v>459</v>
      </c>
      <c r="B164" t="s">
        <v>688</v>
      </c>
      <c r="C164">
        <v>1.938083</v>
      </c>
      <c r="D164">
        <v>28.25281</v>
      </c>
      <c r="E164" t="s">
        <v>680</v>
      </c>
      <c r="F164" t="s">
        <v>697</v>
      </c>
    </row>
    <row r="165" spans="1:6" x14ac:dyDescent="0.35">
      <c r="A165" t="s">
        <v>278</v>
      </c>
      <c r="B165" t="s">
        <v>675</v>
      </c>
      <c r="C165">
        <v>-4.869434</v>
      </c>
      <c r="D165">
        <v>22.326522000000001</v>
      </c>
      <c r="E165" t="s">
        <v>676</v>
      </c>
      <c r="F165" t="s">
        <v>677</v>
      </c>
    </row>
    <row r="166" spans="1:6" x14ac:dyDescent="0.35">
      <c r="A166" t="s">
        <v>759</v>
      </c>
      <c r="B166" t="s">
        <v>706</v>
      </c>
      <c r="C166">
        <v>7.6420000000000004E-3</v>
      </c>
      <c r="D166">
        <v>12.109260000000001</v>
      </c>
      <c r="E166" t="s">
        <v>680</v>
      </c>
      <c r="F166" t="s">
        <v>677</v>
      </c>
    </row>
    <row r="167" spans="1:6" x14ac:dyDescent="0.35">
      <c r="A167" t="s">
        <v>760</v>
      </c>
      <c r="B167" t="s">
        <v>711</v>
      </c>
      <c r="C167">
        <v>-10.962911</v>
      </c>
      <c r="D167">
        <v>28.771355</v>
      </c>
      <c r="E167" t="s">
        <v>676</v>
      </c>
      <c r="F167" t="s">
        <v>681</v>
      </c>
    </row>
    <row r="168" spans="1:6" x14ac:dyDescent="0.35">
      <c r="A168" t="s">
        <v>103</v>
      </c>
      <c r="B168" t="s">
        <v>696</v>
      </c>
      <c r="C168">
        <v>1.017161</v>
      </c>
      <c r="D168">
        <v>16.519689</v>
      </c>
      <c r="E168" t="s">
        <v>683</v>
      </c>
      <c r="F168" t="s">
        <v>697</v>
      </c>
    </row>
    <row r="169" spans="1:6" x14ac:dyDescent="0.35">
      <c r="A169" t="s">
        <v>761</v>
      </c>
      <c r="B169" t="s">
        <v>714</v>
      </c>
      <c r="C169">
        <v>3.8811640000000001</v>
      </c>
      <c r="D169">
        <v>23.188383999999999</v>
      </c>
      <c r="E169" t="s">
        <v>676</v>
      </c>
      <c r="F169" t="s">
        <v>681</v>
      </c>
    </row>
    <row r="170" spans="1:6" x14ac:dyDescent="0.35">
      <c r="A170" t="s">
        <v>554</v>
      </c>
      <c r="B170" t="s">
        <v>725</v>
      </c>
      <c r="C170">
        <v>-0.469945</v>
      </c>
      <c r="D170">
        <v>21.038527999999999</v>
      </c>
      <c r="E170" t="s">
        <v>683</v>
      </c>
      <c r="F170" t="s">
        <v>677</v>
      </c>
    </row>
    <row r="171" spans="1:6" x14ac:dyDescent="0.35">
      <c r="A171" t="s">
        <v>30</v>
      </c>
      <c r="B171" t="s">
        <v>701</v>
      </c>
      <c r="C171">
        <v>-10.56448</v>
      </c>
      <c r="D171">
        <v>19.792876</v>
      </c>
      <c r="E171" t="s">
        <v>676</v>
      </c>
      <c r="F171" t="s">
        <v>677</v>
      </c>
    </row>
    <row r="172" spans="1:6" x14ac:dyDescent="0.35">
      <c r="A172" t="s">
        <v>592</v>
      </c>
      <c r="B172" t="s">
        <v>719</v>
      </c>
      <c r="C172">
        <v>-5.5559329999999996</v>
      </c>
      <c r="D172">
        <v>13.508692999999999</v>
      </c>
      <c r="E172" t="s">
        <v>683</v>
      </c>
      <c r="F172" t="s">
        <v>697</v>
      </c>
    </row>
    <row r="173" spans="1:6" x14ac:dyDescent="0.35">
      <c r="A173" t="s">
        <v>762</v>
      </c>
      <c r="B173" t="s">
        <v>696</v>
      </c>
      <c r="C173">
        <v>-4.884055</v>
      </c>
      <c r="D173">
        <v>23.40194</v>
      </c>
      <c r="E173" t="s">
        <v>683</v>
      </c>
      <c r="F173" t="s">
        <v>677</v>
      </c>
    </row>
    <row r="174" spans="1:6" x14ac:dyDescent="0.35">
      <c r="A174" t="s">
        <v>763</v>
      </c>
      <c r="B174" t="s">
        <v>719</v>
      </c>
      <c r="C174">
        <v>-9.7801860000000005</v>
      </c>
      <c r="D174">
        <v>16.649550000000001</v>
      </c>
      <c r="E174" t="s">
        <v>676</v>
      </c>
      <c r="F174" t="s">
        <v>677</v>
      </c>
    </row>
    <row r="175" spans="1:6" x14ac:dyDescent="0.35">
      <c r="A175" t="s">
        <v>160</v>
      </c>
      <c r="B175" t="s">
        <v>688</v>
      </c>
      <c r="C175">
        <v>-2.3743210000000001</v>
      </c>
      <c r="D175">
        <v>22.399491000000001</v>
      </c>
      <c r="E175" t="s">
        <v>676</v>
      </c>
      <c r="F175" t="s">
        <v>677</v>
      </c>
    </row>
    <row r="176" spans="1:6" x14ac:dyDescent="0.35">
      <c r="A176" t="s">
        <v>525</v>
      </c>
      <c r="B176" t="s">
        <v>696</v>
      </c>
      <c r="C176">
        <v>-0.17258100000000001</v>
      </c>
      <c r="D176">
        <v>23.775555000000001</v>
      </c>
      <c r="E176" t="s">
        <v>676</v>
      </c>
      <c r="F176" t="s">
        <v>697</v>
      </c>
    </row>
    <row r="177" spans="1:6" x14ac:dyDescent="0.35">
      <c r="A177" t="s">
        <v>92</v>
      </c>
      <c r="B177" t="s">
        <v>701</v>
      </c>
      <c r="C177">
        <v>-9.3652239999999995</v>
      </c>
      <c r="D177">
        <v>22.593423999999999</v>
      </c>
      <c r="E177" t="s">
        <v>676</v>
      </c>
      <c r="F177" t="s">
        <v>697</v>
      </c>
    </row>
    <row r="178" spans="1:6" x14ac:dyDescent="0.35">
      <c r="A178" t="s">
        <v>398</v>
      </c>
      <c r="B178" t="s">
        <v>719</v>
      </c>
      <c r="C178">
        <v>-4.8157019999999999</v>
      </c>
      <c r="D178">
        <v>27.679798000000002</v>
      </c>
      <c r="E178" t="s">
        <v>683</v>
      </c>
      <c r="F178" t="s">
        <v>677</v>
      </c>
    </row>
    <row r="179" spans="1:6" x14ac:dyDescent="0.35">
      <c r="A179" t="s">
        <v>462</v>
      </c>
      <c r="B179" t="s">
        <v>699</v>
      </c>
      <c r="C179">
        <v>-8.4985189999999999</v>
      </c>
      <c r="D179">
        <v>12.929456999999999</v>
      </c>
      <c r="E179" t="s">
        <v>680</v>
      </c>
      <c r="F179" t="s">
        <v>677</v>
      </c>
    </row>
    <row r="180" spans="1:6" x14ac:dyDescent="0.35">
      <c r="A180" t="s">
        <v>642</v>
      </c>
      <c r="B180" t="s">
        <v>701</v>
      </c>
      <c r="C180">
        <v>-0.54908599999999996</v>
      </c>
      <c r="D180">
        <v>14.816867</v>
      </c>
      <c r="E180" t="s">
        <v>676</v>
      </c>
      <c r="F180" t="s">
        <v>684</v>
      </c>
    </row>
    <row r="181" spans="1:6" x14ac:dyDescent="0.35">
      <c r="A181" t="s">
        <v>198</v>
      </c>
      <c r="B181" t="s">
        <v>704</v>
      </c>
      <c r="C181">
        <v>3.3289240000000002</v>
      </c>
      <c r="D181">
        <v>24.412261000000001</v>
      </c>
      <c r="E181" t="s">
        <v>676</v>
      </c>
      <c r="F181" t="s">
        <v>697</v>
      </c>
    </row>
    <row r="182" spans="1:6" x14ac:dyDescent="0.35">
      <c r="A182" t="s">
        <v>764</v>
      </c>
      <c r="B182" t="s">
        <v>685</v>
      </c>
      <c r="C182">
        <v>1.3367519999999999</v>
      </c>
      <c r="D182">
        <v>12.697699999999999</v>
      </c>
      <c r="E182" t="s">
        <v>676</v>
      </c>
      <c r="F182" t="s">
        <v>681</v>
      </c>
    </row>
    <row r="183" spans="1:6" x14ac:dyDescent="0.35">
      <c r="A183" t="s">
        <v>765</v>
      </c>
      <c r="B183" t="s">
        <v>738</v>
      </c>
      <c r="C183">
        <v>-6.9254999999999997E-2</v>
      </c>
      <c r="D183">
        <v>28.222756</v>
      </c>
      <c r="E183" t="s">
        <v>676</v>
      </c>
      <c r="F183" t="s">
        <v>681</v>
      </c>
    </row>
    <row r="184" spans="1:6" x14ac:dyDescent="0.35">
      <c r="A184" t="s">
        <v>44</v>
      </c>
      <c r="B184" t="s">
        <v>682</v>
      </c>
      <c r="C184">
        <v>-10.776204</v>
      </c>
      <c r="D184">
        <v>24.672934000000001</v>
      </c>
      <c r="E184" t="s">
        <v>680</v>
      </c>
      <c r="F184" t="s">
        <v>677</v>
      </c>
    </row>
    <row r="185" spans="1:6" x14ac:dyDescent="0.35">
      <c r="A185" t="s">
        <v>487</v>
      </c>
      <c r="B185" t="s">
        <v>722</v>
      </c>
      <c r="C185">
        <v>-10.945031</v>
      </c>
      <c r="D185">
        <v>27.922274000000002</v>
      </c>
      <c r="E185" t="s">
        <v>680</v>
      </c>
      <c r="F185" t="s">
        <v>677</v>
      </c>
    </row>
    <row r="186" spans="1:6" x14ac:dyDescent="0.35">
      <c r="A186" t="s">
        <v>766</v>
      </c>
      <c r="B186" t="s">
        <v>725</v>
      </c>
      <c r="C186">
        <v>-4.9108280000000004</v>
      </c>
      <c r="D186">
        <v>17.670389</v>
      </c>
      <c r="E186" t="s">
        <v>676</v>
      </c>
      <c r="F186" t="s">
        <v>684</v>
      </c>
    </row>
    <row r="187" spans="1:6" x14ac:dyDescent="0.35">
      <c r="A187" t="s">
        <v>560</v>
      </c>
      <c r="B187" t="s">
        <v>685</v>
      </c>
      <c r="C187">
        <v>-6.4670189999999996</v>
      </c>
      <c r="D187">
        <v>29.487309</v>
      </c>
      <c r="E187" t="s">
        <v>680</v>
      </c>
      <c r="F187" t="s">
        <v>684</v>
      </c>
    </row>
    <row r="188" spans="1:6" x14ac:dyDescent="0.35">
      <c r="A188" t="s">
        <v>767</v>
      </c>
      <c r="B188" t="s">
        <v>679</v>
      </c>
      <c r="C188">
        <v>-3.571288</v>
      </c>
      <c r="D188">
        <v>12.931596000000001</v>
      </c>
      <c r="E188" t="s">
        <v>680</v>
      </c>
      <c r="F188" t="s">
        <v>697</v>
      </c>
    </row>
    <row r="189" spans="1:6" x14ac:dyDescent="0.35">
      <c r="A189" t="s">
        <v>768</v>
      </c>
      <c r="B189" t="s">
        <v>675</v>
      </c>
      <c r="C189">
        <v>-6.0864269999999996</v>
      </c>
      <c r="D189">
        <v>19.922181999999999</v>
      </c>
      <c r="E189" t="s">
        <v>676</v>
      </c>
      <c r="F189" t="s">
        <v>681</v>
      </c>
    </row>
    <row r="190" spans="1:6" x14ac:dyDescent="0.35">
      <c r="A190" t="s">
        <v>463</v>
      </c>
      <c r="B190" t="s">
        <v>675</v>
      </c>
      <c r="C190">
        <v>1.2391989999999999</v>
      </c>
      <c r="D190">
        <v>15.386718999999999</v>
      </c>
      <c r="E190" t="s">
        <v>676</v>
      </c>
      <c r="F190" t="s">
        <v>684</v>
      </c>
    </row>
    <row r="191" spans="1:6" x14ac:dyDescent="0.35">
      <c r="A191" t="s">
        <v>769</v>
      </c>
      <c r="B191" t="s">
        <v>725</v>
      </c>
      <c r="C191">
        <v>-3.7900040000000002</v>
      </c>
      <c r="D191">
        <v>24.769718999999998</v>
      </c>
      <c r="E191" t="s">
        <v>676</v>
      </c>
      <c r="F191" t="s">
        <v>681</v>
      </c>
    </row>
    <row r="192" spans="1:6" x14ac:dyDescent="0.35">
      <c r="A192" t="s">
        <v>770</v>
      </c>
      <c r="B192" t="s">
        <v>706</v>
      </c>
      <c r="C192">
        <v>4.0955700000000004</v>
      </c>
      <c r="D192">
        <v>23.610704999999999</v>
      </c>
      <c r="E192" t="s">
        <v>680</v>
      </c>
      <c r="F192" t="s">
        <v>684</v>
      </c>
    </row>
    <row r="193" spans="1:6" x14ac:dyDescent="0.35">
      <c r="A193" t="s">
        <v>37</v>
      </c>
      <c r="B193" t="s">
        <v>685</v>
      </c>
      <c r="C193">
        <v>-6.1837850000000003</v>
      </c>
      <c r="D193">
        <v>25.138759</v>
      </c>
      <c r="E193" t="s">
        <v>683</v>
      </c>
      <c r="F193" t="s">
        <v>677</v>
      </c>
    </row>
    <row r="194" spans="1:6" x14ac:dyDescent="0.35">
      <c r="A194" t="s">
        <v>461</v>
      </c>
      <c r="B194" t="s">
        <v>704</v>
      </c>
      <c r="C194">
        <v>-6.1490739999999997</v>
      </c>
      <c r="D194">
        <v>23.304411000000002</v>
      </c>
      <c r="E194" t="s">
        <v>676</v>
      </c>
      <c r="F194" t="s">
        <v>684</v>
      </c>
    </row>
    <row r="195" spans="1:6" x14ac:dyDescent="0.35">
      <c r="A195" t="s">
        <v>69</v>
      </c>
      <c r="B195" t="s">
        <v>696</v>
      </c>
      <c r="C195">
        <v>0.82868600000000003</v>
      </c>
      <c r="D195">
        <v>26.958843999999999</v>
      </c>
      <c r="E195" t="s">
        <v>676</v>
      </c>
      <c r="F195" t="s">
        <v>684</v>
      </c>
    </row>
    <row r="196" spans="1:6" x14ac:dyDescent="0.35">
      <c r="A196" t="s">
        <v>771</v>
      </c>
      <c r="B196" t="s">
        <v>719</v>
      </c>
      <c r="C196">
        <v>3.42055</v>
      </c>
      <c r="D196">
        <v>15.370965999999999</v>
      </c>
      <c r="E196" t="s">
        <v>680</v>
      </c>
      <c r="F196" t="s">
        <v>697</v>
      </c>
    </row>
    <row r="197" spans="1:6" x14ac:dyDescent="0.35">
      <c r="A197" t="s">
        <v>12</v>
      </c>
      <c r="B197" t="s">
        <v>725</v>
      </c>
      <c r="C197">
        <v>-2.8211520000000001</v>
      </c>
      <c r="D197">
        <v>20.651419000000001</v>
      </c>
      <c r="E197" t="s">
        <v>676</v>
      </c>
      <c r="F197" t="s">
        <v>677</v>
      </c>
    </row>
    <row r="198" spans="1:6" x14ac:dyDescent="0.35">
      <c r="A198" t="s">
        <v>408</v>
      </c>
      <c r="B198" t="s">
        <v>704</v>
      </c>
      <c r="C198">
        <v>-1.1284540000000001</v>
      </c>
      <c r="D198">
        <v>23.000360000000001</v>
      </c>
      <c r="E198" t="s">
        <v>676</v>
      </c>
      <c r="F198" t="s">
        <v>677</v>
      </c>
    </row>
    <row r="199" spans="1:6" x14ac:dyDescent="0.35">
      <c r="A199" t="s">
        <v>610</v>
      </c>
      <c r="B199" t="s">
        <v>696</v>
      </c>
      <c r="C199">
        <v>-10.298385</v>
      </c>
      <c r="D199">
        <v>29.698117</v>
      </c>
      <c r="E199" t="s">
        <v>676</v>
      </c>
      <c r="F199" t="s">
        <v>697</v>
      </c>
    </row>
    <row r="200" spans="1:6" x14ac:dyDescent="0.35">
      <c r="A200" t="s">
        <v>772</v>
      </c>
      <c r="B200" t="s">
        <v>685</v>
      </c>
      <c r="C200">
        <v>2.6387339999999999</v>
      </c>
      <c r="D200">
        <v>13.769399</v>
      </c>
      <c r="E200" t="s">
        <v>680</v>
      </c>
      <c r="F200" t="s">
        <v>681</v>
      </c>
    </row>
    <row r="201" spans="1:6" x14ac:dyDescent="0.35">
      <c r="A201" t="s">
        <v>142</v>
      </c>
      <c r="B201" t="s">
        <v>714</v>
      </c>
      <c r="C201">
        <v>-9.7803979999999999</v>
      </c>
      <c r="D201">
        <v>17.686595000000001</v>
      </c>
      <c r="E201" t="s">
        <v>680</v>
      </c>
      <c r="F201" t="s">
        <v>677</v>
      </c>
    </row>
    <row r="202" spans="1:6" x14ac:dyDescent="0.35">
      <c r="A202" t="s">
        <v>773</v>
      </c>
      <c r="B202" t="s">
        <v>700</v>
      </c>
      <c r="C202">
        <v>-6.8779139999999996</v>
      </c>
      <c r="D202">
        <v>12.550860999999999</v>
      </c>
      <c r="E202" t="s">
        <v>676</v>
      </c>
      <c r="F202" t="s">
        <v>684</v>
      </c>
    </row>
    <row r="203" spans="1:6" x14ac:dyDescent="0.35">
      <c r="A203" t="s">
        <v>774</v>
      </c>
      <c r="B203" t="s">
        <v>726</v>
      </c>
      <c r="C203">
        <v>-4.2975050000000001</v>
      </c>
      <c r="D203">
        <v>29.162555999999999</v>
      </c>
      <c r="E203" t="s">
        <v>676</v>
      </c>
      <c r="F203" t="s">
        <v>677</v>
      </c>
    </row>
    <row r="204" spans="1:6" x14ac:dyDescent="0.35">
      <c r="A204" t="s">
        <v>775</v>
      </c>
      <c r="B204" t="s">
        <v>716</v>
      </c>
      <c r="C204">
        <v>2.7298239999999998</v>
      </c>
      <c r="D204">
        <v>12.958664000000001</v>
      </c>
      <c r="E204" t="s">
        <v>683</v>
      </c>
      <c r="F204" t="s">
        <v>684</v>
      </c>
    </row>
    <row r="205" spans="1:6" x14ac:dyDescent="0.35">
      <c r="A205" t="s">
        <v>776</v>
      </c>
      <c r="B205" t="s">
        <v>702</v>
      </c>
      <c r="C205">
        <v>-7.4135429999999998</v>
      </c>
      <c r="D205">
        <v>19.288392999999999</v>
      </c>
      <c r="E205" t="s">
        <v>680</v>
      </c>
      <c r="F205" t="s">
        <v>697</v>
      </c>
    </row>
    <row r="206" spans="1:6" x14ac:dyDescent="0.35">
      <c r="A206" t="s">
        <v>618</v>
      </c>
      <c r="B206" t="s">
        <v>690</v>
      </c>
      <c r="C206">
        <v>-7.1079169999999996</v>
      </c>
      <c r="D206">
        <v>13.636272</v>
      </c>
      <c r="E206" t="s">
        <v>676</v>
      </c>
      <c r="F206" t="s">
        <v>697</v>
      </c>
    </row>
    <row r="207" spans="1:6" x14ac:dyDescent="0.35">
      <c r="A207" t="s">
        <v>777</v>
      </c>
      <c r="B207" t="s">
        <v>688</v>
      </c>
      <c r="C207">
        <v>0.850665</v>
      </c>
      <c r="D207">
        <v>19.446418000000001</v>
      </c>
      <c r="E207" t="s">
        <v>680</v>
      </c>
      <c r="F207" t="s">
        <v>681</v>
      </c>
    </row>
    <row r="208" spans="1:6" x14ac:dyDescent="0.35">
      <c r="A208" t="s">
        <v>531</v>
      </c>
      <c r="B208" t="s">
        <v>696</v>
      </c>
      <c r="C208">
        <v>-11.231472</v>
      </c>
      <c r="D208">
        <v>25.388874000000001</v>
      </c>
      <c r="E208" t="s">
        <v>680</v>
      </c>
      <c r="F208" t="s">
        <v>681</v>
      </c>
    </row>
    <row r="209" spans="1:6" x14ac:dyDescent="0.35">
      <c r="A209" t="s">
        <v>291</v>
      </c>
      <c r="B209" t="s">
        <v>738</v>
      </c>
      <c r="C209">
        <v>4.6809229999999999</v>
      </c>
      <c r="D209">
        <v>28.934242000000001</v>
      </c>
      <c r="E209" t="s">
        <v>676</v>
      </c>
      <c r="F209" t="s">
        <v>697</v>
      </c>
    </row>
    <row r="210" spans="1:6" x14ac:dyDescent="0.35">
      <c r="A210" t="s">
        <v>778</v>
      </c>
      <c r="B210" t="s">
        <v>704</v>
      </c>
      <c r="C210">
        <v>-3.7093609999999999</v>
      </c>
      <c r="D210">
        <v>23.959942999999999</v>
      </c>
      <c r="E210" t="s">
        <v>680</v>
      </c>
      <c r="F210" t="s">
        <v>681</v>
      </c>
    </row>
    <row r="211" spans="1:6" x14ac:dyDescent="0.35">
      <c r="A211" t="s">
        <v>344</v>
      </c>
      <c r="B211" t="s">
        <v>703</v>
      </c>
      <c r="C211">
        <v>4.8689660000000003</v>
      </c>
      <c r="D211">
        <v>25.112373000000002</v>
      </c>
      <c r="E211" t="s">
        <v>683</v>
      </c>
      <c r="F211" t="s">
        <v>681</v>
      </c>
    </row>
    <row r="212" spans="1:6" x14ac:dyDescent="0.35">
      <c r="A212" t="s">
        <v>88</v>
      </c>
      <c r="B212" t="s">
        <v>699</v>
      </c>
      <c r="C212">
        <v>-9.3066320000000005</v>
      </c>
      <c r="D212">
        <v>20.470889</v>
      </c>
      <c r="E212" t="s">
        <v>676</v>
      </c>
      <c r="F212" t="s">
        <v>684</v>
      </c>
    </row>
    <row r="213" spans="1:6" x14ac:dyDescent="0.35">
      <c r="A213" t="s">
        <v>209</v>
      </c>
      <c r="B213" t="s">
        <v>701</v>
      </c>
      <c r="C213">
        <v>-12.342053999999999</v>
      </c>
      <c r="D213">
        <v>18.756862000000002</v>
      </c>
      <c r="E213" t="s">
        <v>683</v>
      </c>
      <c r="F213" t="s">
        <v>677</v>
      </c>
    </row>
    <row r="214" spans="1:6" x14ac:dyDescent="0.35">
      <c r="A214" t="s">
        <v>779</v>
      </c>
      <c r="B214" t="s">
        <v>696</v>
      </c>
      <c r="C214">
        <v>-6.0234120000000004</v>
      </c>
      <c r="D214">
        <v>18.314309999999999</v>
      </c>
      <c r="E214" t="s">
        <v>676</v>
      </c>
      <c r="F214" t="s">
        <v>684</v>
      </c>
    </row>
    <row r="215" spans="1:6" x14ac:dyDescent="0.35">
      <c r="A215" t="s">
        <v>586</v>
      </c>
      <c r="B215" t="s">
        <v>703</v>
      </c>
      <c r="C215">
        <v>2.5665840000000002</v>
      </c>
      <c r="D215">
        <v>15.764796</v>
      </c>
      <c r="E215" t="s">
        <v>683</v>
      </c>
      <c r="F215" t="s">
        <v>684</v>
      </c>
    </row>
    <row r="216" spans="1:6" x14ac:dyDescent="0.35">
      <c r="A216" t="s">
        <v>82</v>
      </c>
      <c r="B216" t="s">
        <v>701</v>
      </c>
      <c r="C216">
        <v>-10.914952</v>
      </c>
      <c r="D216">
        <v>26.409648000000001</v>
      </c>
      <c r="E216" t="s">
        <v>680</v>
      </c>
      <c r="F216" t="s">
        <v>681</v>
      </c>
    </row>
    <row r="217" spans="1:6" x14ac:dyDescent="0.35">
      <c r="A217" t="s">
        <v>486</v>
      </c>
      <c r="B217" t="s">
        <v>679</v>
      </c>
      <c r="C217">
        <v>-7.402336</v>
      </c>
      <c r="D217">
        <v>27.376697</v>
      </c>
      <c r="E217" t="s">
        <v>680</v>
      </c>
      <c r="F217" t="s">
        <v>681</v>
      </c>
    </row>
    <row r="218" spans="1:6" x14ac:dyDescent="0.35">
      <c r="A218" t="s">
        <v>780</v>
      </c>
      <c r="B218" t="s">
        <v>722</v>
      </c>
      <c r="C218">
        <v>-12.207461</v>
      </c>
      <c r="D218">
        <v>13.492367</v>
      </c>
      <c r="E218" t="s">
        <v>683</v>
      </c>
      <c r="F218" t="s">
        <v>677</v>
      </c>
    </row>
    <row r="219" spans="1:6" x14ac:dyDescent="0.35">
      <c r="A219" t="s">
        <v>781</v>
      </c>
      <c r="B219" t="s">
        <v>714</v>
      </c>
      <c r="C219">
        <v>2.266232</v>
      </c>
      <c r="D219">
        <v>29.532896000000001</v>
      </c>
      <c r="E219" t="s">
        <v>680</v>
      </c>
      <c r="F219" t="s">
        <v>677</v>
      </c>
    </row>
    <row r="220" spans="1:6" x14ac:dyDescent="0.35">
      <c r="A220" t="s">
        <v>782</v>
      </c>
      <c r="B220" t="s">
        <v>737</v>
      </c>
      <c r="C220">
        <v>2.6937519999999999</v>
      </c>
      <c r="D220">
        <v>26.524137</v>
      </c>
      <c r="E220" t="s">
        <v>683</v>
      </c>
      <c r="F220" t="s">
        <v>677</v>
      </c>
    </row>
    <row r="221" spans="1:6" x14ac:dyDescent="0.35">
      <c r="A221" t="s">
        <v>608</v>
      </c>
      <c r="B221" t="s">
        <v>682</v>
      </c>
      <c r="C221">
        <v>-7.0007840000000003</v>
      </c>
      <c r="D221">
        <v>22.787997000000001</v>
      </c>
      <c r="E221" t="s">
        <v>676</v>
      </c>
      <c r="F221" t="s">
        <v>684</v>
      </c>
    </row>
    <row r="222" spans="1:6" x14ac:dyDescent="0.35">
      <c r="A222" t="s">
        <v>783</v>
      </c>
      <c r="B222" t="s">
        <v>688</v>
      </c>
      <c r="C222">
        <v>3.0053459999999999</v>
      </c>
      <c r="D222">
        <v>13.765407</v>
      </c>
      <c r="E222" t="s">
        <v>676</v>
      </c>
      <c r="F222" t="s">
        <v>677</v>
      </c>
    </row>
    <row r="223" spans="1:6" x14ac:dyDescent="0.35">
      <c r="A223" t="s">
        <v>4</v>
      </c>
      <c r="B223" t="s">
        <v>682</v>
      </c>
      <c r="C223">
        <v>-11.144149000000001</v>
      </c>
      <c r="D223">
        <v>27.244658999999999</v>
      </c>
      <c r="E223" t="s">
        <v>680</v>
      </c>
      <c r="F223" t="s">
        <v>697</v>
      </c>
    </row>
    <row r="224" spans="1:6" x14ac:dyDescent="0.35">
      <c r="A224" t="s">
        <v>134</v>
      </c>
      <c r="B224" t="s">
        <v>725</v>
      </c>
      <c r="C224">
        <v>0.79124300000000003</v>
      </c>
      <c r="D224">
        <v>25.273389000000002</v>
      </c>
      <c r="E224" t="s">
        <v>680</v>
      </c>
      <c r="F224" t="s">
        <v>697</v>
      </c>
    </row>
    <row r="225" spans="1:6" x14ac:dyDescent="0.35">
      <c r="A225" t="s">
        <v>784</v>
      </c>
      <c r="B225" t="s">
        <v>702</v>
      </c>
      <c r="C225">
        <v>0.419985</v>
      </c>
      <c r="D225">
        <v>13.847996999999999</v>
      </c>
      <c r="E225" t="s">
        <v>676</v>
      </c>
      <c r="F225" t="s">
        <v>684</v>
      </c>
    </row>
    <row r="226" spans="1:6" x14ac:dyDescent="0.35">
      <c r="A226" t="s">
        <v>474</v>
      </c>
      <c r="B226" t="s">
        <v>711</v>
      </c>
      <c r="C226">
        <v>-12.595355</v>
      </c>
      <c r="D226">
        <v>17.897442000000002</v>
      </c>
      <c r="E226" t="s">
        <v>680</v>
      </c>
      <c r="F226" t="s">
        <v>681</v>
      </c>
    </row>
    <row r="227" spans="1:6" x14ac:dyDescent="0.35">
      <c r="A227" t="s">
        <v>492</v>
      </c>
      <c r="B227" t="s">
        <v>726</v>
      </c>
      <c r="C227">
        <v>0.65288900000000005</v>
      </c>
      <c r="D227">
        <v>24.243953999999999</v>
      </c>
      <c r="E227" t="s">
        <v>676</v>
      </c>
      <c r="F227" t="s">
        <v>677</v>
      </c>
    </row>
    <row r="228" spans="1:6" x14ac:dyDescent="0.35">
      <c r="A228" t="s">
        <v>519</v>
      </c>
      <c r="B228" t="s">
        <v>707</v>
      </c>
      <c r="C228">
        <v>-1.500685</v>
      </c>
      <c r="D228">
        <v>26.563376000000002</v>
      </c>
      <c r="E228" t="s">
        <v>676</v>
      </c>
      <c r="F228" t="s">
        <v>697</v>
      </c>
    </row>
    <row r="229" spans="1:6" x14ac:dyDescent="0.35">
      <c r="A229" t="s">
        <v>785</v>
      </c>
      <c r="B229" t="s">
        <v>706</v>
      </c>
      <c r="C229">
        <v>-9.2227779999999999</v>
      </c>
      <c r="D229">
        <v>20.940372</v>
      </c>
      <c r="E229" t="s">
        <v>683</v>
      </c>
      <c r="F229" t="s">
        <v>677</v>
      </c>
    </row>
    <row r="230" spans="1:6" x14ac:dyDescent="0.35">
      <c r="A230" t="s">
        <v>232</v>
      </c>
      <c r="B230" t="s">
        <v>700</v>
      </c>
      <c r="C230">
        <v>-9.3900009999999998</v>
      </c>
      <c r="D230">
        <v>30.001517</v>
      </c>
      <c r="E230" t="s">
        <v>683</v>
      </c>
      <c r="F230" t="s">
        <v>697</v>
      </c>
    </row>
    <row r="231" spans="1:6" x14ac:dyDescent="0.35">
      <c r="A231" t="s">
        <v>786</v>
      </c>
      <c r="B231" t="s">
        <v>675</v>
      </c>
      <c r="C231">
        <v>-7.8417870000000001</v>
      </c>
      <c r="D231">
        <v>14.730712</v>
      </c>
      <c r="E231" t="s">
        <v>676</v>
      </c>
      <c r="F231" t="s">
        <v>697</v>
      </c>
    </row>
    <row r="232" spans="1:6" x14ac:dyDescent="0.35">
      <c r="A232" t="s">
        <v>787</v>
      </c>
      <c r="B232" t="s">
        <v>737</v>
      </c>
      <c r="C232">
        <v>-3.419035</v>
      </c>
      <c r="D232">
        <v>29.018315999999999</v>
      </c>
      <c r="E232" t="s">
        <v>676</v>
      </c>
      <c r="F232" t="s">
        <v>677</v>
      </c>
    </row>
    <row r="233" spans="1:6" x14ac:dyDescent="0.35">
      <c r="A233" t="s">
        <v>788</v>
      </c>
      <c r="B233" t="s">
        <v>694</v>
      </c>
      <c r="C233">
        <v>0.91016799999999998</v>
      </c>
      <c r="D233">
        <v>16.903002999999998</v>
      </c>
      <c r="E233" t="s">
        <v>683</v>
      </c>
      <c r="F233" t="s">
        <v>697</v>
      </c>
    </row>
    <row r="234" spans="1:6" x14ac:dyDescent="0.35">
      <c r="A234" t="s">
        <v>574</v>
      </c>
      <c r="B234" t="s">
        <v>685</v>
      </c>
      <c r="C234">
        <v>-0.919767</v>
      </c>
      <c r="D234">
        <v>18.905538</v>
      </c>
      <c r="E234" t="s">
        <v>676</v>
      </c>
      <c r="F234" t="s">
        <v>677</v>
      </c>
    </row>
    <row r="235" spans="1:6" x14ac:dyDescent="0.35">
      <c r="A235" t="s">
        <v>105</v>
      </c>
      <c r="B235" t="s">
        <v>737</v>
      </c>
      <c r="C235">
        <v>-8.0922239999999999</v>
      </c>
      <c r="D235">
        <v>15.483708</v>
      </c>
      <c r="E235" t="s">
        <v>676</v>
      </c>
      <c r="F235" t="s">
        <v>697</v>
      </c>
    </row>
    <row r="236" spans="1:6" x14ac:dyDescent="0.35">
      <c r="A236" t="s">
        <v>238</v>
      </c>
      <c r="B236" t="s">
        <v>703</v>
      </c>
      <c r="C236">
        <v>-10.165072</v>
      </c>
      <c r="D236">
        <v>29.428024000000001</v>
      </c>
      <c r="E236" t="s">
        <v>676</v>
      </c>
      <c r="F236" t="s">
        <v>681</v>
      </c>
    </row>
    <row r="237" spans="1:6" x14ac:dyDescent="0.35">
      <c r="A237" t="s">
        <v>427</v>
      </c>
      <c r="B237" t="s">
        <v>679</v>
      </c>
      <c r="C237">
        <v>-10.939712999999999</v>
      </c>
      <c r="D237">
        <v>18.276230999999999</v>
      </c>
      <c r="E237" t="s">
        <v>680</v>
      </c>
      <c r="F237" t="s">
        <v>684</v>
      </c>
    </row>
    <row r="238" spans="1:6" x14ac:dyDescent="0.35">
      <c r="A238" t="s">
        <v>45</v>
      </c>
      <c r="B238" t="s">
        <v>700</v>
      </c>
      <c r="C238">
        <v>4.2493650000000001</v>
      </c>
      <c r="D238">
        <v>28.355039999999999</v>
      </c>
      <c r="E238" t="s">
        <v>683</v>
      </c>
      <c r="F238" t="s">
        <v>684</v>
      </c>
    </row>
    <row r="239" spans="1:6" x14ac:dyDescent="0.35">
      <c r="A239" t="s">
        <v>613</v>
      </c>
      <c r="B239" t="s">
        <v>722</v>
      </c>
      <c r="C239">
        <v>-2.926736</v>
      </c>
      <c r="D239">
        <v>18.170461</v>
      </c>
      <c r="E239" t="s">
        <v>676</v>
      </c>
      <c r="F239" t="s">
        <v>677</v>
      </c>
    </row>
    <row r="240" spans="1:6" x14ac:dyDescent="0.35">
      <c r="A240" t="s">
        <v>440</v>
      </c>
      <c r="B240" t="s">
        <v>725</v>
      </c>
      <c r="C240">
        <v>-11.157245</v>
      </c>
      <c r="D240">
        <v>21.262627999999999</v>
      </c>
      <c r="E240" t="s">
        <v>676</v>
      </c>
      <c r="F240" t="s">
        <v>684</v>
      </c>
    </row>
    <row r="241" spans="1:6" x14ac:dyDescent="0.35">
      <c r="A241" t="s">
        <v>789</v>
      </c>
      <c r="B241" t="s">
        <v>714</v>
      </c>
      <c r="C241">
        <v>-3.234483</v>
      </c>
      <c r="D241">
        <v>13.241939</v>
      </c>
      <c r="E241" t="s">
        <v>680</v>
      </c>
      <c r="F241" t="s">
        <v>684</v>
      </c>
    </row>
    <row r="242" spans="1:6" x14ac:dyDescent="0.35">
      <c r="A242" t="s">
        <v>148</v>
      </c>
      <c r="B242" t="s">
        <v>694</v>
      </c>
      <c r="C242">
        <v>-3.111418</v>
      </c>
      <c r="D242">
        <v>14.144854</v>
      </c>
      <c r="E242" t="s">
        <v>680</v>
      </c>
      <c r="F242" t="s">
        <v>684</v>
      </c>
    </row>
    <row r="243" spans="1:6" x14ac:dyDescent="0.35">
      <c r="A243" t="s">
        <v>330</v>
      </c>
      <c r="B243" t="s">
        <v>726</v>
      </c>
      <c r="C243">
        <v>-8.1210620000000002</v>
      </c>
      <c r="D243">
        <v>21.094390000000001</v>
      </c>
      <c r="E243" t="s">
        <v>676</v>
      </c>
      <c r="F243" t="s">
        <v>684</v>
      </c>
    </row>
    <row r="244" spans="1:6" x14ac:dyDescent="0.35">
      <c r="A244" t="s">
        <v>790</v>
      </c>
      <c r="B244" t="s">
        <v>685</v>
      </c>
      <c r="C244">
        <v>1.472051</v>
      </c>
      <c r="D244">
        <v>17.36289</v>
      </c>
      <c r="E244" t="s">
        <v>680</v>
      </c>
      <c r="F244" t="s">
        <v>681</v>
      </c>
    </row>
    <row r="245" spans="1:6" x14ac:dyDescent="0.35">
      <c r="A245" t="s">
        <v>414</v>
      </c>
      <c r="B245" t="s">
        <v>690</v>
      </c>
      <c r="C245">
        <v>-2.6665070000000002</v>
      </c>
      <c r="D245">
        <v>18.623692999999999</v>
      </c>
      <c r="E245" t="s">
        <v>683</v>
      </c>
      <c r="F245" t="s">
        <v>684</v>
      </c>
    </row>
    <row r="246" spans="1:6" x14ac:dyDescent="0.35">
      <c r="A246" t="s">
        <v>791</v>
      </c>
      <c r="B246" t="s">
        <v>722</v>
      </c>
      <c r="C246">
        <v>-9.9170499999999997</v>
      </c>
      <c r="D246">
        <v>22.918887000000002</v>
      </c>
      <c r="E246" t="s">
        <v>680</v>
      </c>
      <c r="F246" t="s">
        <v>681</v>
      </c>
    </row>
    <row r="247" spans="1:6" x14ac:dyDescent="0.35">
      <c r="A247" t="s">
        <v>615</v>
      </c>
      <c r="B247" t="s">
        <v>707</v>
      </c>
      <c r="C247">
        <v>-7.3952039999999997</v>
      </c>
      <c r="D247">
        <v>21.651043999999999</v>
      </c>
      <c r="E247" t="s">
        <v>680</v>
      </c>
      <c r="F247" t="s">
        <v>681</v>
      </c>
    </row>
    <row r="248" spans="1:6" x14ac:dyDescent="0.35">
      <c r="A248" t="s">
        <v>155</v>
      </c>
      <c r="B248" t="s">
        <v>685</v>
      </c>
      <c r="C248">
        <v>3.0603760000000002</v>
      </c>
      <c r="D248">
        <v>19.708034000000001</v>
      </c>
      <c r="E248" t="s">
        <v>683</v>
      </c>
      <c r="F248" t="s">
        <v>684</v>
      </c>
    </row>
    <row r="249" spans="1:6" x14ac:dyDescent="0.35">
      <c r="A249" t="s">
        <v>792</v>
      </c>
      <c r="B249" t="s">
        <v>716</v>
      </c>
      <c r="C249">
        <v>-3.269612</v>
      </c>
      <c r="D249">
        <v>25.571189</v>
      </c>
      <c r="E249" t="s">
        <v>676</v>
      </c>
      <c r="F249" t="s">
        <v>677</v>
      </c>
    </row>
    <row r="250" spans="1:6" x14ac:dyDescent="0.35">
      <c r="A250" t="s">
        <v>793</v>
      </c>
      <c r="B250" t="s">
        <v>694</v>
      </c>
      <c r="C250">
        <v>-12.086929</v>
      </c>
      <c r="D250">
        <v>14.032645</v>
      </c>
      <c r="E250" t="s">
        <v>683</v>
      </c>
      <c r="F250" t="s">
        <v>684</v>
      </c>
    </row>
    <row r="251" spans="1:6" x14ac:dyDescent="0.35">
      <c r="A251" t="s">
        <v>68</v>
      </c>
      <c r="B251" t="s">
        <v>726</v>
      </c>
      <c r="C251">
        <v>-10.963041</v>
      </c>
      <c r="D251">
        <v>12.269857</v>
      </c>
      <c r="E251" t="s">
        <v>680</v>
      </c>
      <c r="F251" t="s">
        <v>681</v>
      </c>
    </row>
    <row r="252" spans="1:6" x14ac:dyDescent="0.35">
      <c r="A252" t="s">
        <v>794</v>
      </c>
      <c r="B252" t="s">
        <v>738</v>
      </c>
      <c r="C252">
        <v>-4.332408</v>
      </c>
      <c r="D252">
        <v>14.119439</v>
      </c>
      <c r="E252" t="s">
        <v>676</v>
      </c>
      <c r="F252" t="s">
        <v>697</v>
      </c>
    </row>
    <row r="253" spans="1:6" x14ac:dyDescent="0.35">
      <c r="A253" t="s">
        <v>501</v>
      </c>
      <c r="B253" t="s">
        <v>690</v>
      </c>
      <c r="C253">
        <v>-0.57104900000000003</v>
      </c>
      <c r="D253">
        <v>15.317663</v>
      </c>
      <c r="E253" t="s">
        <v>676</v>
      </c>
      <c r="F253" t="s">
        <v>697</v>
      </c>
    </row>
    <row r="254" spans="1:6" x14ac:dyDescent="0.35">
      <c r="A254" t="s">
        <v>180</v>
      </c>
      <c r="B254" t="s">
        <v>716</v>
      </c>
      <c r="C254">
        <v>-10.442425</v>
      </c>
      <c r="D254">
        <v>23.243632000000002</v>
      </c>
      <c r="E254" t="s">
        <v>680</v>
      </c>
      <c r="F254" t="s">
        <v>697</v>
      </c>
    </row>
    <row r="255" spans="1:6" x14ac:dyDescent="0.35">
      <c r="A255" t="s">
        <v>297</v>
      </c>
      <c r="B255" t="s">
        <v>719</v>
      </c>
      <c r="C255">
        <v>0.16327700000000001</v>
      </c>
      <c r="D255">
        <v>14.871577</v>
      </c>
      <c r="E255" t="s">
        <v>680</v>
      </c>
      <c r="F255" t="s">
        <v>681</v>
      </c>
    </row>
    <row r="256" spans="1:6" x14ac:dyDescent="0.35">
      <c r="A256" t="s">
        <v>795</v>
      </c>
      <c r="B256" t="s">
        <v>707</v>
      </c>
      <c r="C256">
        <v>4.7044240000000004</v>
      </c>
      <c r="D256">
        <v>20.486409999999999</v>
      </c>
      <c r="E256" t="s">
        <v>680</v>
      </c>
      <c r="F256" t="s">
        <v>684</v>
      </c>
    </row>
    <row r="257" spans="1:6" x14ac:dyDescent="0.35">
      <c r="A257" t="s">
        <v>796</v>
      </c>
      <c r="B257" t="s">
        <v>693</v>
      </c>
      <c r="C257">
        <v>4.7060310000000003</v>
      </c>
      <c r="D257">
        <v>27.348973000000001</v>
      </c>
      <c r="E257" t="s">
        <v>680</v>
      </c>
      <c r="F257" t="s">
        <v>681</v>
      </c>
    </row>
    <row r="258" spans="1:6" x14ac:dyDescent="0.35">
      <c r="A258" t="s">
        <v>797</v>
      </c>
      <c r="B258" t="s">
        <v>711</v>
      </c>
      <c r="C258">
        <v>1.019657</v>
      </c>
      <c r="D258">
        <v>16.963799000000002</v>
      </c>
      <c r="E258" t="s">
        <v>683</v>
      </c>
      <c r="F258" t="s">
        <v>697</v>
      </c>
    </row>
    <row r="259" spans="1:6" x14ac:dyDescent="0.35">
      <c r="A259" t="s">
        <v>609</v>
      </c>
      <c r="B259" t="s">
        <v>716</v>
      </c>
      <c r="C259">
        <v>-4.6311460000000002</v>
      </c>
      <c r="D259">
        <v>25.314723000000001</v>
      </c>
      <c r="E259" t="s">
        <v>680</v>
      </c>
      <c r="F259" t="s">
        <v>681</v>
      </c>
    </row>
    <row r="260" spans="1:6" x14ac:dyDescent="0.35">
      <c r="A260" t="s">
        <v>798</v>
      </c>
      <c r="B260" t="s">
        <v>726</v>
      </c>
      <c r="C260">
        <v>-11.591777</v>
      </c>
      <c r="D260">
        <v>21.213452</v>
      </c>
      <c r="E260" t="s">
        <v>676</v>
      </c>
      <c r="F260" t="s">
        <v>677</v>
      </c>
    </row>
    <row r="261" spans="1:6" x14ac:dyDescent="0.35">
      <c r="A261" t="s">
        <v>799</v>
      </c>
      <c r="B261" t="s">
        <v>716</v>
      </c>
      <c r="C261">
        <v>3.0184790000000001</v>
      </c>
      <c r="D261">
        <v>27.188068000000001</v>
      </c>
      <c r="E261" t="s">
        <v>676</v>
      </c>
      <c r="F261" t="s">
        <v>677</v>
      </c>
    </row>
    <row r="262" spans="1:6" x14ac:dyDescent="0.35">
      <c r="A262" t="s">
        <v>435</v>
      </c>
      <c r="B262" t="s">
        <v>738</v>
      </c>
      <c r="C262">
        <v>-11.407966</v>
      </c>
      <c r="D262">
        <v>28.378274000000001</v>
      </c>
      <c r="E262" t="s">
        <v>680</v>
      </c>
      <c r="F262" t="s">
        <v>684</v>
      </c>
    </row>
    <row r="263" spans="1:6" x14ac:dyDescent="0.35">
      <c r="A263" t="s">
        <v>431</v>
      </c>
      <c r="B263" t="s">
        <v>722</v>
      </c>
      <c r="C263">
        <v>-4.4958720000000003</v>
      </c>
      <c r="D263">
        <v>18.514112000000001</v>
      </c>
      <c r="E263" t="s">
        <v>680</v>
      </c>
      <c r="F263" t="s">
        <v>697</v>
      </c>
    </row>
    <row r="264" spans="1:6" x14ac:dyDescent="0.35">
      <c r="A264" t="s">
        <v>800</v>
      </c>
      <c r="B264" t="s">
        <v>711</v>
      </c>
      <c r="C264">
        <v>0.35034999999999999</v>
      </c>
      <c r="D264">
        <v>13.603628</v>
      </c>
      <c r="E264" t="s">
        <v>676</v>
      </c>
      <c r="F264" t="s">
        <v>684</v>
      </c>
    </row>
    <row r="265" spans="1:6" x14ac:dyDescent="0.35">
      <c r="A265" t="s">
        <v>801</v>
      </c>
      <c r="B265" t="s">
        <v>675</v>
      </c>
      <c r="C265">
        <v>4.2873989999999997</v>
      </c>
      <c r="D265">
        <v>14.756335</v>
      </c>
      <c r="E265" t="s">
        <v>676</v>
      </c>
      <c r="F265" t="s">
        <v>677</v>
      </c>
    </row>
    <row r="266" spans="1:6" x14ac:dyDescent="0.35">
      <c r="A266" t="s">
        <v>290</v>
      </c>
      <c r="B266" t="s">
        <v>722</v>
      </c>
      <c r="C266">
        <v>-11.594525000000001</v>
      </c>
      <c r="D266">
        <v>29.744895</v>
      </c>
      <c r="E266" t="s">
        <v>683</v>
      </c>
      <c r="F266" t="s">
        <v>684</v>
      </c>
    </row>
    <row r="267" spans="1:6" x14ac:dyDescent="0.35">
      <c r="A267" t="s">
        <v>260</v>
      </c>
      <c r="B267" t="s">
        <v>682</v>
      </c>
      <c r="C267">
        <v>-1.5936220000000001</v>
      </c>
      <c r="D267">
        <v>14.928856</v>
      </c>
      <c r="E267" t="s">
        <v>676</v>
      </c>
      <c r="F267" t="s">
        <v>677</v>
      </c>
    </row>
    <row r="268" spans="1:6" x14ac:dyDescent="0.35">
      <c r="A268" t="s">
        <v>802</v>
      </c>
      <c r="B268" t="s">
        <v>701</v>
      </c>
      <c r="C268">
        <v>1.3657680000000001</v>
      </c>
      <c r="D268">
        <v>21.423017000000002</v>
      </c>
      <c r="E268" t="s">
        <v>676</v>
      </c>
      <c r="F268" t="s">
        <v>677</v>
      </c>
    </row>
    <row r="269" spans="1:6" x14ac:dyDescent="0.35">
      <c r="A269" t="s">
        <v>803</v>
      </c>
      <c r="B269" t="s">
        <v>711</v>
      </c>
      <c r="C269">
        <v>-7.3750049999999998</v>
      </c>
      <c r="D269">
        <v>30.878126000000002</v>
      </c>
      <c r="E269" t="s">
        <v>676</v>
      </c>
      <c r="F269" t="s">
        <v>681</v>
      </c>
    </row>
    <row r="270" spans="1:6" x14ac:dyDescent="0.35">
      <c r="A270" t="s">
        <v>450</v>
      </c>
      <c r="B270" t="s">
        <v>701</v>
      </c>
      <c r="C270">
        <v>-12.050063</v>
      </c>
      <c r="D270">
        <v>26.636987999999999</v>
      </c>
      <c r="E270" t="s">
        <v>683</v>
      </c>
      <c r="F270" t="s">
        <v>697</v>
      </c>
    </row>
    <row r="271" spans="1:6" x14ac:dyDescent="0.35">
      <c r="A271" t="s">
        <v>804</v>
      </c>
      <c r="B271" t="s">
        <v>703</v>
      </c>
      <c r="C271">
        <v>-6.8161690000000004</v>
      </c>
      <c r="D271">
        <v>16.521000999999998</v>
      </c>
      <c r="E271" t="s">
        <v>676</v>
      </c>
      <c r="F271" t="s">
        <v>677</v>
      </c>
    </row>
    <row r="272" spans="1:6" x14ac:dyDescent="0.35">
      <c r="A272" t="s">
        <v>661</v>
      </c>
      <c r="B272" t="s">
        <v>675</v>
      </c>
      <c r="C272">
        <v>1.0134879999999999</v>
      </c>
      <c r="D272">
        <v>20.363515</v>
      </c>
      <c r="E272" t="s">
        <v>680</v>
      </c>
      <c r="F272" t="s">
        <v>697</v>
      </c>
    </row>
    <row r="273" spans="1:6" x14ac:dyDescent="0.35">
      <c r="A273" t="s">
        <v>168</v>
      </c>
      <c r="B273" t="s">
        <v>685</v>
      </c>
      <c r="C273">
        <v>-4.5603610000000003</v>
      </c>
      <c r="D273">
        <v>24.113918999999999</v>
      </c>
      <c r="E273" t="s">
        <v>676</v>
      </c>
      <c r="F273" t="s">
        <v>684</v>
      </c>
    </row>
    <row r="274" spans="1:6" x14ac:dyDescent="0.35">
      <c r="A274" t="s">
        <v>271</v>
      </c>
      <c r="B274" t="s">
        <v>711</v>
      </c>
      <c r="C274">
        <v>-3.7720639999999999</v>
      </c>
      <c r="D274">
        <v>16.006277999999998</v>
      </c>
      <c r="E274" t="s">
        <v>676</v>
      </c>
      <c r="F274" t="s">
        <v>684</v>
      </c>
    </row>
    <row r="275" spans="1:6" x14ac:dyDescent="0.35">
      <c r="A275" t="s">
        <v>805</v>
      </c>
      <c r="B275" t="s">
        <v>704</v>
      </c>
      <c r="C275">
        <v>-4.5538169999999996</v>
      </c>
      <c r="D275">
        <v>25.952860999999999</v>
      </c>
      <c r="E275" t="s">
        <v>683</v>
      </c>
      <c r="F275" t="s">
        <v>677</v>
      </c>
    </row>
    <row r="276" spans="1:6" x14ac:dyDescent="0.35">
      <c r="A276" t="s">
        <v>392</v>
      </c>
      <c r="B276" t="s">
        <v>675</v>
      </c>
      <c r="C276">
        <v>0.20866199999999999</v>
      </c>
      <c r="D276">
        <v>18.556439000000001</v>
      </c>
      <c r="E276" t="s">
        <v>680</v>
      </c>
      <c r="F276" t="s">
        <v>697</v>
      </c>
    </row>
    <row r="277" spans="1:6" x14ac:dyDescent="0.35">
      <c r="A277" t="s">
        <v>383</v>
      </c>
      <c r="B277" t="s">
        <v>696</v>
      </c>
      <c r="C277">
        <v>-5.42171</v>
      </c>
      <c r="D277">
        <v>24.202960999999998</v>
      </c>
      <c r="E277" t="s">
        <v>676</v>
      </c>
      <c r="F277" t="s">
        <v>677</v>
      </c>
    </row>
    <row r="278" spans="1:6" x14ac:dyDescent="0.35">
      <c r="A278" t="s">
        <v>323</v>
      </c>
      <c r="B278" t="s">
        <v>700</v>
      </c>
      <c r="C278">
        <v>4.2904629999999999</v>
      </c>
      <c r="D278">
        <v>26.354195000000001</v>
      </c>
      <c r="E278" t="s">
        <v>683</v>
      </c>
      <c r="F278" t="s">
        <v>677</v>
      </c>
    </row>
    <row r="279" spans="1:6" x14ac:dyDescent="0.35">
      <c r="A279" t="s">
        <v>806</v>
      </c>
      <c r="B279" t="s">
        <v>706</v>
      </c>
      <c r="C279">
        <v>1.368018</v>
      </c>
      <c r="D279">
        <v>14.203893000000001</v>
      </c>
      <c r="E279" t="s">
        <v>676</v>
      </c>
      <c r="F279" t="s">
        <v>681</v>
      </c>
    </row>
    <row r="280" spans="1:6" x14ac:dyDescent="0.35">
      <c r="A280" t="s">
        <v>807</v>
      </c>
      <c r="B280" t="s">
        <v>703</v>
      </c>
      <c r="C280">
        <v>-7.7942479999999996</v>
      </c>
      <c r="D280">
        <v>15.184407999999999</v>
      </c>
      <c r="E280" t="s">
        <v>683</v>
      </c>
      <c r="F280" t="s">
        <v>684</v>
      </c>
    </row>
    <row r="281" spans="1:6" x14ac:dyDescent="0.35">
      <c r="A281" t="s">
        <v>468</v>
      </c>
      <c r="B281" t="s">
        <v>711</v>
      </c>
      <c r="C281">
        <v>-12.364127999999999</v>
      </c>
      <c r="D281">
        <v>19.576150999999999</v>
      </c>
      <c r="E281" t="s">
        <v>683</v>
      </c>
      <c r="F281" t="s">
        <v>697</v>
      </c>
    </row>
    <row r="282" spans="1:6" x14ac:dyDescent="0.35">
      <c r="A282" t="s">
        <v>476</v>
      </c>
      <c r="B282" t="s">
        <v>701</v>
      </c>
      <c r="C282">
        <v>3.611561</v>
      </c>
      <c r="D282">
        <v>17.725974999999998</v>
      </c>
      <c r="E282" t="s">
        <v>683</v>
      </c>
      <c r="F282" t="s">
        <v>684</v>
      </c>
    </row>
    <row r="283" spans="1:6" x14ac:dyDescent="0.35">
      <c r="A283" t="s">
        <v>241</v>
      </c>
      <c r="B283" t="s">
        <v>690</v>
      </c>
      <c r="C283">
        <v>0.48965500000000001</v>
      </c>
      <c r="D283">
        <v>26.176860000000001</v>
      </c>
      <c r="E283" t="s">
        <v>680</v>
      </c>
      <c r="F283" t="s">
        <v>681</v>
      </c>
    </row>
    <row r="284" spans="1:6" x14ac:dyDescent="0.35">
      <c r="A284" t="s">
        <v>420</v>
      </c>
      <c r="B284" t="s">
        <v>699</v>
      </c>
      <c r="C284">
        <v>8.5490999999999998E-2</v>
      </c>
      <c r="D284">
        <v>26.296129000000001</v>
      </c>
      <c r="E284" t="s">
        <v>683</v>
      </c>
      <c r="F284" t="s">
        <v>684</v>
      </c>
    </row>
    <row r="285" spans="1:6" x14ac:dyDescent="0.35">
      <c r="A285" t="s">
        <v>387</v>
      </c>
      <c r="B285" t="s">
        <v>707</v>
      </c>
      <c r="C285">
        <v>-2.8532869999999999</v>
      </c>
      <c r="D285">
        <v>22.117896000000002</v>
      </c>
      <c r="E285" t="s">
        <v>676</v>
      </c>
      <c r="F285" t="s">
        <v>681</v>
      </c>
    </row>
    <row r="286" spans="1:6" x14ac:dyDescent="0.35">
      <c r="A286" t="s">
        <v>588</v>
      </c>
      <c r="B286" t="s">
        <v>719</v>
      </c>
      <c r="C286">
        <v>-11.89448</v>
      </c>
      <c r="D286">
        <v>19.216214999999998</v>
      </c>
      <c r="E286" t="s">
        <v>683</v>
      </c>
      <c r="F286" t="s">
        <v>684</v>
      </c>
    </row>
    <row r="287" spans="1:6" x14ac:dyDescent="0.35">
      <c r="A287" t="s">
        <v>365</v>
      </c>
      <c r="B287" t="s">
        <v>706</v>
      </c>
      <c r="C287">
        <v>-4.4831099999999999</v>
      </c>
      <c r="D287">
        <v>25.406548000000001</v>
      </c>
      <c r="E287" t="s">
        <v>676</v>
      </c>
      <c r="F287" t="s">
        <v>697</v>
      </c>
    </row>
    <row r="288" spans="1:6" x14ac:dyDescent="0.35">
      <c r="A288" t="s">
        <v>339</v>
      </c>
      <c r="B288" t="s">
        <v>682</v>
      </c>
      <c r="C288">
        <v>-9.9565739999999998</v>
      </c>
      <c r="D288">
        <v>21.017202000000001</v>
      </c>
      <c r="E288" t="s">
        <v>680</v>
      </c>
      <c r="F288" t="s">
        <v>681</v>
      </c>
    </row>
    <row r="289" spans="1:6" x14ac:dyDescent="0.35">
      <c r="A289" t="s">
        <v>583</v>
      </c>
      <c r="B289" t="s">
        <v>685</v>
      </c>
      <c r="C289">
        <v>-12.070842000000001</v>
      </c>
      <c r="D289">
        <v>14.757847</v>
      </c>
      <c r="E289" t="s">
        <v>680</v>
      </c>
      <c r="F289" t="s">
        <v>684</v>
      </c>
    </row>
    <row r="290" spans="1:6" x14ac:dyDescent="0.35">
      <c r="A290" t="s">
        <v>528</v>
      </c>
      <c r="B290" t="s">
        <v>702</v>
      </c>
      <c r="C290">
        <v>4.8265669999999998</v>
      </c>
      <c r="D290">
        <v>28.535277000000001</v>
      </c>
      <c r="E290" t="s">
        <v>683</v>
      </c>
      <c r="F290" t="s">
        <v>681</v>
      </c>
    </row>
    <row r="291" spans="1:6" x14ac:dyDescent="0.35">
      <c r="A291" t="s">
        <v>808</v>
      </c>
      <c r="B291" t="s">
        <v>711</v>
      </c>
      <c r="C291">
        <v>1.5601240000000001</v>
      </c>
      <c r="D291">
        <v>12.225398</v>
      </c>
      <c r="E291" t="s">
        <v>676</v>
      </c>
      <c r="F291" t="s">
        <v>697</v>
      </c>
    </row>
    <row r="292" spans="1:6" x14ac:dyDescent="0.35">
      <c r="A292" t="s">
        <v>809</v>
      </c>
      <c r="B292" t="s">
        <v>704</v>
      </c>
      <c r="C292">
        <v>-1.762294</v>
      </c>
      <c r="D292">
        <v>29.617228000000001</v>
      </c>
      <c r="E292" t="s">
        <v>680</v>
      </c>
      <c r="F292" t="s">
        <v>684</v>
      </c>
    </row>
    <row r="293" spans="1:6" x14ac:dyDescent="0.35">
      <c r="A293" t="s">
        <v>628</v>
      </c>
      <c r="B293" t="s">
        <v>699</v>
      </c>
      <c r="C293">
        <v>-7.8373179999999998</v>
      </c>
      <c r="D293">
        <v>20.527591999999999</v>
      </c>
      <c r="E293" t="s">
        <v>680</v>
      </c>
      <c r="F293" t="s">
        <v>677</v>
      </c>
    </row>
    <row r="294" spans="1:6" x14ac:dyDescent="0.35">
      <c r="A294" t="s">
        <v>505</v>
      </c>
      <c r="B294" t="s">
        <v>700</v>
      </c>
      <c r="C294">
        <v>-11.514817000000001</v>
      </c>
      <c r="D294">
        <v>24.891375</v>
      </c>
      <c r="E294" t="s">
        <v>683</v>
      </c>
      <c r="F294" t="s">
        <v>697</v>
      </c>
    </row>
    <row r="295" spans="1:6" x14ac:dyDescent="0.35">
      <c r="A295" t="s">
        <v>810</v>
      </c>
      <c r="B295" t="s">
        <v>725</v>
      </c>
      <c r="C295">
        <v>-3.89927</v>
      </c>
      <c r="D295">
        <v>30.273492000000001</v>
      </c>
      <c r="E295" t="s">
        <v>683</v>
      </c>
      <c r="F295" t="s">
        <v>697</v>
      </c>
    </row>
    <row r="296" spans="1:6" x14ac:dyDescent="0.35">
      <c r="A296" t="s">
        <v>811</v>
      </c>
      <c r="B296" t="s">
        <v>725</v>
      </c>
      <c r="C296">
        <v>2.3260149999999999</v>
      </c>
      <c r="D296">
        <v>24.97465</v>
      </c>
      <c r="E296" t="s">
        <v>683</v>
      </c>
      <c r="F296" t="s">
        <v>697</v>
      </c>
    </row>
    <row r="297" spans="1:6" x14ac:dyDescent="0.35">
      <c r="A297" t="s">
        <v>135</v>
      </c>
      <c r="B297" t="s">
        <v>699</v>
      </c>
      <c r="C297">
        <v>-7.9987219999999999</v>
      </c>
      <c r="D297">
        <v>12.779335</v>
      </c>
      <c r="E297" t="s">
        <v>676</v>
      </c>
      <c r="F297" t="s">
        <v>697</v>
      </c>
    </row>
    <row r="298" spans="1:6" x14ac:dyDescent="0.35">
      <c r="A298" t="s">
        <v>812</v>
      </c>
      <c r="B298" t="s">
        <v>707</v>
      </c>
      <c r="C298">
        <v>-10.614302</v>
      </c>
      <c r="D298">
        <v>29.436530999999999</v>
      </c>
      <c r="E298" t="s">
        <v>683</v>
      </c>
      <c r="F298" t="s">
        <v>677</v>
      </c>
    </row>
    <row r="299" spans="1:6" x14ac:dyDescent="0.35">
      <c r="A299" t="s">
        <v>439</v>
      </c>
      <c r="B299" t="s">
        <v>682</v>
      </c>
      <c r="C299">
        <v>-7.9425049999999997</v>
      </c>
      <c r="D299">
        <v>24.111059000000001</v>
      </c>
      <c r="E299" t="s">
        <v>683</v>
      </c>
      <c r="F299" t="s">
        <v>684</v>
      </c>
    </row>
    <row r="300" spans="1:6" x14ac:dyDescent="0.35">
      <c r="A300" t="s">
        <v>419</v>
      </c>
      <c r="B300" t="s">
        <v>700</v>
      </c>
      <c r="C300">
        <v>2.4414509999999998</v>
      </c>
      <c r="D300">
        <v>30.167489</v>
      </c>
      <c r="E300" t="s">
        <v>676</v>
      </c>
      <c r="F300" t="s">
        <v>697</v>
      </c>
    </row>
    <row r="301" spans="1:6" x14ac:dyDescent="0.35">
      <c r="A301" t="s">
        <v>106</v>
      </c>
      <c r="B301" t="s">
        <v>690</v>
      </c>
      <c r="C301">
        <v>-1.339734</v>
      </c>
      <c r="D301">
        <v>15.243098</v>
      </c>
      <c r="E301" t="s">
        <v>683</v>
      </c>
      <c r="F301" t="s">
        <v>697</v>
      </c>
    </row>
    <row r="302" spans="1:6" x14ac:dyDescent="0.35">
      <c r="A302" t="s">
        <v>397</v>
      </c>
      <c r="B302" t="s">
        <v>725</v>
      </c>
      <c r="C302">
        <v>-9.8208710000000004</v>
      </c>
      <c r="D302">
        <v>23.229807000000001</v>
      </c>
      <c r="E302" t="s">
        <v>676</v>
      </c>
      <c r="F302" t="s">
        <v>697</v>
      </c>
    </row>
    <row r="303" spans="1:6" x14ac:dyDescent="0.35">
      <c r="A303" t="s">
        <v>258</v>
      </c>
      <c r="B303" t="s">
        <v>693</v>
      </c>
      <c r="C303">
        <v>-12.292039000000001</v>
      </c>
      <c r="D303">
        <v>27.538202999999999</v>
      </c>
      <c r="E303" t="s">
        <v>683</v>
      </c>
      <c r="F303" t="s">
        <v>681</v>
      </c>
    </row>
    <row r="304" spans="1:6" x14ac:dyDescent="0.35">
      <c r="A304" t="s">
        <v>813</v>
      </c>
      <c r="B304" t="s">
        <v>696</v>
      </c>
      <c r="C304">
        <v>-6.0850540000000004</v>
      </c>
      <c r="D304">
        <v>14.020293000000001</v>
      </c>
      <c r="E304" t="s">
        <v>676</v>
      </c>
      <c r="F304" t="s">
        <v>681</v>
      </c>
    </row>
    <row r="305" spans="1:6" x14ac:dyDescent="0.35">
      <c r="A305" t="s">
        <v>545</v>
      </c>
      <c r="B305" t="s">
        <v>702</v>
      </c>
      <c r="C305">
        <v>-9.5619429999999994</v>
      </c>
      <c r="D305">
        <v>21.445726000000001</v>
      </c>
      <c r="E305" t="s">
        <v>680</v>
      </c>
      <c r="F305" t="s">
        <v>697</v>
      </c>
    </row>
    <row r="306" spans="1:6" x14ac:dyDescent="0.35">
      <c r="A306" t="s">
        <v>432</v>
      </c>
      <c r="B306" t="s">
        <v>716</v>
      </c>
      <c r="C306">
        <v>-0.47411900000000001</v>
      </c>
      <c r="D306">
        <v>27.184329000000002</v>
      </c>
      <c r="E306" t="s">
        <v>676</v>
      </c>
      <c r="F306" t="s">
        <v>684</v>
      </c>
    </row>
    <row r="307" spans="1:6" x14ac:dyDescent="0.35">
      <c r="A307" t="s">
        <v>62</v>
      </c>
      <c r="B307" t="s">
        <v>682</v>
      </c>
      <c r="C307">
        <v>3.1362930000000002</v>
      </c>
      <c r="D307">
        <v>16.190878000000001</v>
      </c>
      <c r="E307" t="s">
        <v>683</v>
      </c>
      <c r="F307" t="s">
        <v>697</v>
      </c>
    </row>
    <row r="308" spans="1:6" x14ac:dyDescent="0.35">
      <c r="A308" t="s">
        <v>449</v>
      </c>
      <c r="B308" t="s">
        <v>688</v>
      </c>
      <c r="C308">
        <v>-1.6488929999999999</v>
      </c>
      <c r="D308">
        <v>27.284617000000001</v>
      </c>
      <c r="E308" t="s">
        <v>676</v>
      </c>
      <c r="F308" t="s">
        <v>697</v>
      </c>
    </row>
    <row r="309" spans="1:6" x14ac:dyDescent="0.35">
      <c r="A309" t="s">
        <v>403</v>
      </c>
      <c r="B309" t="s">
        <v>696</v>
      </c>
      <c r="C309">
        <v>-6.5332999999999997</v>
      </c>
      <c r="D309">
        <v>20.098018</v>
      </c>
      <c r="E309" t="s">
        <v>680</v>
      </c>
      <c r="F309" t="s">
        <v>681</v>
      </c>
    </row>
    <row r="310" spans="1:6" x14ac:dyDescent="0.35">
      <c r="A310" t="s">
        <v>814</v>
      </c>
      <c r="B310" t="s">
        <v>699</v>
      </c>
      <c r="C310">
        <v>-11.472474999999999</v>
      </c>
      <c r="D310">
        <v>27.418900000000001</v>
      </c>
      <c r="E310" t="s">
        <v>680</v>
      </c>
      <c r="F310" t="s">
        <v>684</v>
      </c>
    </row>
    <row r="311" spans="1:6" x14ac:dyDescent="0.35">
      <c r="A311" t="s">
        <v>136</v>
      </c>
      <c r="B311" t="s">
        <v>690</v>
      </c>
      <c r="C311">
        <v>-1.6097570000000001</v>
      </c>
      <c r="D311">
        <v>30.661662</v>
      </c>
      <c r="E311" t="s">
        <v>680</v>
      </c>
      <c r="F311" t="s">
        <v>677</v>
      </c>
    </row>
    <row r="312" spans="1:6" x14ac:dyDescent="0.35">
      <c r="A312" t="s">
        <v>33</v>
      </c>
      <c r="B312" t="s">
        <v>685</v>
      </c>
      <c r="C312">
        <v>0.23583499999999999</v>
      </c>
      <c r="D312">
        <v>24.889558999999998</v>
      </c>
      <c r="E312" t="s">
        <v>683</v>
      </c>
      <c r="F312" t="s">
        <v>684</v>
      </c>
    </row>
    <row r="313" spans="1:6" x14ac:dyDescent="0.35">
      <c r="A313" t="s">
        <v>194</v>
      </c>
      <c r="B313" t="s">
        <v>682</v>
      </c>
      <c r="C313">
        <v>-10.481026999999999</v>
      </c>
      <c r="D313">
        <v>18.160464000000001</v>
      </c>
      <c r="E313" t="s">
        <v>676</v>
      </c>
      <c r="F313" t="s">
        <v>681</v>
      </c>
    </row>
    <row r="314" spans="1:6" x14ac:dyDescent="0.35">
      <c r="A314" t="s">
        <v>185</v>
      </c>
      <c r="B314" t="s">
        <v>714</v>
      </c>
      <c r="C314">
        <v>-9.5243310000000001</v>
      </c>
      <c r="D314">
        <v>30.541212000000002</v>
      </c>
      <c r="E314" t="s">
        <v>683</v>
      </c>
      <c r="F314" t="s">
        <v>677</v>
      </c>
    </row>
    <row r="315" spans="1:6" x14ac:dyDescent="0.35">
      <c r="A315" t="s">
        <v>89</v>
      </c>
      <c r="B315" t="s">
        <v>707</v>
      </c>
      <c r="C315">
        <v>-4.4697000000000001E-2</v>
      </c>
      <c r="D315">
        <v>22.943373000000001</v>
      </c>
      <c r="E315" t="s">
        <v>683</v>
      </c>
      <c r="F315" t="s">
        <v>681</v>
      </c>
    </row>
    <row r="316" spans="1:6" x14ac:dyDescent="0.35">
      <c r="A316" t="s">
        <v>617</v>
      </c>
      <c r="B316" t="s">
        <v>707</v>
      </c>
      <c r="C316">
        <v>-2.3269820000000001</v>
      </c>
      <c r="D316">
        <v>14.609259</v>
      </c>
      <c r="E316" t="s">
        <v>683</v>
      </c>
      <c r="F316" t="s">
        <v>697</v>
      </c>
    </row>
    <row r="317" spans="1:6" x14ac:dyDescent="0.35">
      <c r="A317" t="s">
        <v>815</v>
      </c>
      <c r="B317" t="s">
        <v>711</v>
      </c>
      <c r="C317">
        <v>-4.1938139999999997</v>
      </c>
      <c r="D317">
        <v>27.892115</v>
      </c>
      <c r="E317" t="s">
        <v>676</v>
      </c>
      <c r="F317" t="s">
        <v>677</v>
      </c>
    </row>
    <row r="318" spans="1:6" x14ac:dyDescent="0.35">
      <c r="A318" t="s">
        <v>51</v>
      </c>
      <c r="B318" t="s">
        <v>696</v>
      </c>
      <c r="C318">
        <v>-11.866133</v>
      </c>
      <c r="D318">
        <v>27.068932</v>
      </c>
      <c r="E318" t="s">
        <v>683</v>
      </c>
      <c r="F318" t="s">
        <v>681</v>
      </c>
    </row>
    <row r="319" spans="1:6" x14ac:dyDescent="0.35">
      <c r="A319" t="s">
        <v>816</v>
      </c>
      <c r="B319" t="s">
        <v>719</v>
      </c>
      <c r="C319">
        <v>-3.2700629999999999</v>
      </c>
      <c r="D319">
        <v>26.520330000000001</v>
      </c>
      <c r="E319" t="s">
        <v>676</v>
      </c>
      <c r="F319" t="s">
        <v>697</v>
      </c>
    </row>
    <row r="320" spans="1:6" x14ac:dyDescent="0.35">
      <c r="A320" t="s">
        <v>95</v>
      </c>
      <c r="B320" t="s">
        <v>714</v>
      </c>
      <c r="C320">
        <v>-7.4608439999999998</v>
      </c>
      <c r="D320">
        <v>23.268619999999999</v>
      </c>
      <c r="E320" t="s">
        <v>680</v>
      </c>
      <c r="F320" t="s">
        <v>681</v>
      </c>
    </row>
    <row r="321" spans="1:6" x14ac:dyDescent="0.35">
      <c r="A321" t="s">
        <v>146</v>
      </c>
      <c r="B321" t="s">
        <v>722</v>
      </c>
      <c r="C321">
        <v>-3.3890790000000002</v>
      </c>
      <c r="D321">
        <v>18.374571</v>
      </c>
      <c r="E321" t="s">
        <v>676</v>
      </c>
      <c r="F321" t="s">
        <v>684</v>
      </c>
    </row>
    <row r="322" spans="1:6" x14ac:dyDescent="0.35">
      <c r="A322" t="s">
        <v>250</v>
      </c>
      <c r="B322" t="s">
        <v>722</v>
      </c>
      <c r="C322">
        <v>2.016505</v>
      </c>
      <c r="D322">
        <v>14.294164</v>
      </c>
      <c r="E322" t="s">
        <v>676</v>
      </c>
      <c r="F322" t="s">
        <v>681</v>
      </c>
    </row>
    <row r="323" spans="1:6" x14ac:dyDescent="0.35">
      <c r="A323" t="s">
        <v>817</v>
      </c>
      <c r="B323" t="s">
        <v>726</v>
      </c>
      <c r="C323">
        <v>-4.9124689999999998</v>
      </c>
      <c r="D323">
        <v>14.683498999999999</v>
      </c>
      <c r="E323" t="s">
        <v>683</v>
      </c>
      <c r="F323" t="s">
        <v>684</v>
      </c>
    </row>
    <row r="324" spans="1:6" x14ac:dyDescent="0.35">
      <c r="A324" t="s">
        <v>46</v>
      </c>
      <c r="B324" t="s">
        <v>704</v>
      </c>
      <c r="C324">
        <v>4.9250049999999996</v>
      </c>
      <c r="D324">
        <v>19.887931999999999</v>
      </c>
      <c r="E324" t="s">
        <v>680</v>
      </c>
      <c r="F324" t="s">
        <v>681</v>
      </c>
    </row>
    <row r="325" spans="1:6" x14ac:dyDescent="0.35">
      <c r="A325" t="s">
        <v>130</v>
      </c>
      <c r="B325" t="s">
        <v>706</v>
      </c>
      <c r="C325">
        <v>-12.333232000000001</v>
      </c>
      <c r="D325">
        <v>25.229620000000001</v>
      </c>
      <c r="E325" t="s">
        <v>676</v>
      </c>
      <c r="F325" t="s">
        <v>697</v>
      </c>
    </row>
    <row r="326" spans="1:6" x14ac:dyDescent="0.35">
      <c r="A326" t="s">
        <v>167</v>
      </c>
      <c r="B326" t="s">
        <v>690</v>
      </c>
      <c r="C326">
        <v>-11.991020000000001</v>
      </c>
      <c r="D326">
        <v>22.514747</v>
      </c>
      <c r="E326" t="s">
        <v>676</v>
      </c>
      <c r="F326" t="s">
        <v>684</v>
      </c>
    </row>
    <row r="327" spans="1:6" x14ac:dyDescent="0.35">
      <c r="A327" t="s">
        <v>818</v>
      </c>
      <c r="B327" t="s">
        <v>696</v>
      </c>
      <c r="C327">
        <v>1.1800139999999999</v>
      </c>
      <c r="D327">
        <v>20.334562999999999</v>
      </c>
      <c r="E327" t="s">
        <v>683</v>
      </c>
      <c r="F327" t="s">
        <v>684</v>
      </c>
    </row>
    <row r="328" spans="1:6" x14ac:dyDescent="0.35">
      <c r="A328" t="s">
        <v>308</v>
      </c>
      <c r="B328" t="s">
        <v>682</v>
      </c>
      <c r="C328">
        <v>-12.229338</v>
      </c>
      <c r="D328">
        <v>29.587834999999998</v>
      </c>
      <c r="E328" t="s">
        <v>680</v>
      </c>
      <c r="F328" t="s">
        <v>697</v>
      </c>
    </row>
    <row r="329" spans="1:6" x14ac:dyDescent="0.35">
      <c r="A329" t="s">
        <v>179</v>
      </c>
      <c r="B329" t="s">
        <v>714</v>
      </c>
      <c r="C329">
        <v>-10.872631999999999</v>
      </c>
      <c r="D329">
        <v>12.773279</v>
      </c>
      <c r="E329" t="s">
        <v>683</v>
      </c>
      <c r="F329" t="s">
        <v>684</v>
      </c>
    </row>
    <row r="330" spans="1:6" x14ac:dyDescent="0.35">
      <c r="A330" t="s">
        <v>191</v>
      </c>
      <c r="B330" t="s">
        <v>707</v>
      </c>
      <c r="C330">
        <v>1.5278670000000001</v>
      </c>
      <c r="D330">
        <v>13.899388999999999</v>
      </c>
      <c r="E330" t="s">
        <v>683</v>
      </c>
      <c r="F330" t="s">
        <v>681</v>
      </c>
    </row>
    <row r="331" spans="1:6" x14ac:dyDescent="0.35">
      <c r="A331" t="s">
        <v>325</v>
      </c>
      <c r="B331" t="s">
        <v>679</v>
      </c>
      <c r="C331">
        <v>-0.98830399999999996</v>
      </c>
      <c r="D331">
        <v>28.099966999999999</v>
      </c>
      <c r="E331" t="s">
        <v>683</v>
      </c>
      <c r="F331" t="s">
        <v>681</v>
      </c>
    </row>
    <row r="332" spans="1:6" x14ac:dyDescent="0.35">
      <c r="A332" t="s">
        <v>819</v>
      </c>
      <c r="B332" t="s">
        <v>699</v>
      </c>
      <c r="C332">
        <v>-4.749333</v>
      </c>
      <c r="D332">
        <v>23.636389000000001</v>
      </c>
      <c r="E332" t="s">
        <v>683</v>
      </c>
      <c r="F332" t="s">
        <v>684</v>
      </c>
    </row>
    <row r="333" spans="1:6" x14ac:dyDescent="0.35">
      <c r="A333" t="s">
        <v>384</v>
      </c>
      <c r="B333" t="s">
        <v>704</v>
      </c>
      <c r="C333">
        <v>-0.79459900000000006</v>
      </c>
      <c r="D333">
        <v>26.775570999999999</v>
      </c>
      <c r="E333" t="s">
        <v>676</v>
      </c>
      <c r="F333" t="s">
        <v>681</v>
      </c>
    </row>
    <row r="334" spans="1:6" x14ac:dyDescent="0.35">
      <c r="A334" t="s">
        <v>820</v>
      </c>
      <c r="B334" t="s">
        <v>700</v>
      </c>
      <c r="C334">
        <v>2.7365970000000002</v>
      </c>
      <c r="D334">
        <v>12.296976000000001</v>
      </c>
      <c r="E334" t="s">
        <v>680</v>
      </c>
      <c r="F334" t="s">
        <v>684</v>
      </c>
    </row>
    <row r="335" spans="1:6" x14ac:dyDescent="0.35">
      <c r="A335" t="s">
        <v>625</v>
      </c>
      <c r="B335" t="s">
        <v>688</v>
      </c>
      <c r="C335">
        <v>-10.318835</v>
      </c>
      <c r="D335">
        <v>21.252382000000001</v>
      </c>
      <c r="E335" t="s">
        <v>680</v>
      </c>
      <c r="F335" t="s">
        <v>677</v>
      </c>
    </row>
    <row r="336" spans="1:6" x14ac:dyDescent="0.35">
      <c r="A336" t="s">
        <v>281</v>
      </c>
      <c r="B336" t="s">
        <v>693</v>
      </c>
      <c r="C336">
        <v>-2.571777</v>
      </c>
      <c r="D336">
        <v>12.120642</v>
      </c>
      <c r="E336" t="s">
        <v>683</v>
      </c>
      <c r="F336" t="s">
        <v>681</v>
      </c>
    </row>
    <row r="337" spans="1:6" x14ac:dyDescent="0.35">
      <c r="A337" t="s">
        <v>821</v>
      </c>
      <c r="B337" t="s">
        <v>737</v>
      </c>
      <c r="C337">
        <v>3.6466850000000002</v>
      </c>
      <c r="D337">
        <v>15.408844</v>
      </c>
      <c r="E337" t="s">
        <v>683</v>
      </c>
      <c r="F337" t="s">
        <v>684</v>
      </c>
    </row>
    <row r="338" spans="1:6" x14ac:dyDescent="0.35">
      <c r="A338" t="s">
        <v>170</v>
      </c>
      <c r="B338" t="s">
        <v>696</v>
      </c>
      <c r="C338">
        <v>-12.336202</v>
      </c>
      <c r="D338">
        <v>13.693683999999999</v>
      </c>
      <c r="E338" t="s">
        <v>676</v>
      </c>
      <c r="F338" t="s">
        <v>681</v>
      </c>
    </row>
    <row r="339" spans="1:6" x14ac:dyDescent="0.35">
      <c r="A339" t="s">
        <v>822</v>
      </c>
      <c r="B339" t="s">
        <v>725</v>
      </c>
      <c r="C339">
        <v>-10.451371</v>
      </c>
      <c r="D339">
        <v>24.38336</v>
      </c>
      <c r="E339" t="s">
        <v>683</v>
      </c>
      <c r="F339" t="s">
        <v>677</v>
      </c>
    </row>
    <row r="340" spans="1:6" x14ac:dyDescent="0.35">
      <c r="A340" t="s">
        <v>311</v>
      </c>
      <c r="B340" t="s">
        <v>738</v>
      </c>
      <c r="C340">
        <v>-1.231033</v>
      </c>
      <c r="D340">
        <v>28.851388</v>
      </c>
      <c r="E340" t="s">
        <v>683</v>
      </c>
      <c r="F340" t="s">
        <v>677</v>
      </c>
    </row>
    <row r="341" spans="1:6" x14ac:dyDescent="0.35">
      <c r="A341" t="s">
        <v>823</v>
      </c>
      <c r="B341" t="s">
        <v>738</v>
      </c>
      <c r="C341">
        <v>-4.5180470000000001</v>
      </c>
      <c r="D341">
        <v>19.908223</v>
      </c>
      <c r="E341" t="s">
        <v>676</v>
      </c>
      <c r="F341" t="s">
        <v>681</v>
      </c>
    </row>
    <row r="342" spans="1:6" x14ac:dyDescent="0.35">
      <c r="A342" t="s">
        <v>824</v>
      </c>
      <c r="B342" t="s">
        <v>726</v>
      </c>
      <c r="C342">
        <v>3.524343</v>
      </c>
      <c r="D342">
        <v>27.340824000000001</v>
      </c>
      <c r="E342" t="s">
        <v>680</v>
      </c>
      <c r="F342" t="s">
        <v>677</v>
      </c>
    </row>
    <row r="343" spans="1:6" x14ac:dyDescent="0.35">
      <c r="A343" t="s">
        <v>825</v>
      </c>
      <c r="B343" t="s">
        <v>700</v>
      </c>
      <c r="C343">
        <v>-12.17557</v>
      </c>
      <c r="D343">
        <v>26.678691000000001</v>
      </c>
      <c r="E343" t="s">
        <v>680</v>
      </c>
      <c r="F343" t="s">
        <v>681</v>
      </c>
    </row>
    <row r="344" spans="1:6" x14ac:dyDescent="0.35">
      <c r="A344" t="s">
        <v>201</v>
      </c>
      <c r="B344" t="s">
        <v>704</v>
      </c>
      <c r="C344">
        <v>-0.37665700000000002</v>
      </c>
      <c r="D344">
        <v>25.154807999999999</v>
      </c>
      <c r="E344" t="s">
        <v>683</v>
      </c>
      <c r="F344" t="s">
        <v>697</v>
      </c>
    </row>
    <row r="345" spans="1:6" x14ac:dyDescent="0.35">
      <c r="A345" t="s">
        <v>619</v>
      </c>
      <c r="B345" t="s">
        <v>688</v>
      </c>
      <c r="C345">
        <v>-10.650321</v>
      </c>
      <c r="D345">
        <v>15.917044000000001</v>
      </c>
      <c r="E345" t="s">
        <v>680</v>
      </c>
      <c r="F345" t="s">
        <v>697</v>
      </c>
    </row>
    <row r="346" spans="1:6" x14ac:dyDescent="0.35">
      <c r="A346" t="s">
        <v>826</v>
      </c>
      <c r="B346" t="s">
        <v>726</v>
      </c>
      <c r="C346">
        <v>-9.8995180000000005</v>
      </c>
      <c r="D346">
        <v>24.156687999999999</v>
      </c>
      <c r="E346" t="s">
        <v>680</v>
      </c>
      <c r="F346" t="s">
        <v>677</v>
      </c>
    </row>
    <row r="347" spans="1:6" x14ac:dyDescent="0.35">
      <c r="A347" t="s">
        <v>122</v>
      </c>
      <c r="B347" t="s">
        <v>675</v>
      </c>
      <c r="C347">
        <v>-12.100756000000001</v>
      </c>
      <c r="D347">
        <v>21.938649999999999</v>
      </c>
      <c r="E347" t="s">
        <v>680</v>
      </c>
      <c r="F347" t="s">
        <v>681</v>
      </c>
    </row>
    <row r="348" spans="1:6" x14ac:dyDescent="0.35">
      <c r="A348" t="s">
        <v>827</v>
      </c>
      <c r="B348" t="s">
        <v>714</v>
      </c>
      <c r="C348">
        <v>-7.4679279999999997</v>
      </c>
      <c r="D348">
        <v>19.828595</v>
      </c>
      <c r="E348" t="s">
        <v>676</v>
      </c>
      <c r="F348" t="s">
        <v>697</v>
      </c>
    </row>
    <row r="349" spans="1:6" x14ac:dyDescent="0.35">
      <c r="A349" t="s">
        <v>331</v>
      </c>
      <c r="B349" t="s">
        <v>714</v>
      </c>
      <c r="C349">
        <v>1.286548</v>
      </c>
      <c r="D349">
        <v>29.823702999999998</v>
      </c>
      <c r="E349" t="s">
        <v>680</v>
      </c>
      <c r="F349" t="s">
        <v>684</v>
      </c>
    </row>
    <row r="350" spans="1:6" x14ac:dyDescent="0.35">
      <c r="A350" t="s">
        <v>276</v>
      </c>
      <c r="B350" t="s">
        <v>737</v>
      </c>
      <c r="C350">
        <v>-4.7886769999999999</v>
      </c>
      <c r="D350">
        <v>23.600221999999999</v>
      </c>
      <c r="E350" t="s">
        <v>683</v>
      </c>
      <c r="F350" t="s">
        <v>684</v>
      </c>
    </row>
    <row r="351" spans="1:6" x14ac:dyDescent="0.35">
      <c r="A351" t="s">
        <v>594</v>
      </c>
      <c r="B351" t="s">
        <v>706</v>
      </c>
      <c r="C351">
        <v>1.7832440000000001</v>
      </c>
      <c r="D351">
        <v>25.477405999999998</v>
      </c>
      <c r="E351" t="s">
        <v>676</v>
      </c>
      <c r="F351" t="s">
        <v>681</v>
      </c>
    </row>
    <row r="352" spans="1:6" x14ac:dyDescent="0.35">
      <c r="A352" t="s">
        <v>828</v>
      </c>
      <c r="B352" t="s">
        <v>737</v>
      </c>
      <c r="C352">
        <v>-4.8560549999999996</v>
      </c>
      <c r="D352">
        <v>15.889538999999999</v>
      </c>
      <c r="E352" t="s">
        <v>683</v>
      </c>
      <c r="F352" t="s">
        <v>681</v>
      </c>
    </row>
    <row r="353" spans="1:6" x14ac:dyDescent="0.35">
      <c r="A353" t="s">
        <v>829</v>
      </c>
      <c r="B353" t="s">
        <v>701</v>
      </c>
      <c r="C353">
        <v>-8.6707929999999998</v>
      </c>
      <c r="D353">
        <v>30.643781000000001</v>
      </c>
      <c r="E353" t="s">
        <v>680</v>
      </c>
      <c r="F353" t="s">
        <v>681</v>
      </c>
    </row>
    <row r="354" spans="1:6" x14ac:dyDescent="0.35">
      <c r="A354" t="s">
        <v>830</v>
      </c>
      <c r="B354" t="s">
        <v>703</v>
      </c>
      <c r="C354">
        <v>-2.947235</v>
      </c>
      <c r="D354">
        <v>16.534020999999999</v>
      </c>
      <c r="E354" t="s">
        <v>683</v>
      </c>
      <c r="F354" t="s">
        <v>697</v>
      </c>
    </row>
    <row r="355" spans="1:6" x14ac:dyDescent="0.35">
      <c r="A355" t="s">
        <v>831</v>
      </c>
      <c r="B355" t="s">
        <v>722</v>
      </c>
      <c r="C355">
        <v>-12.776386</v>
      </c>
      <c r="D355">
        <v>14.157596</v>
      </c>
      <c r="E355" t="s">
        <v>683</v>
      </c>
      <c r="F355" t="s">
        <v>697</v>
      </c>
    </row>
    <row r="356" spans="1:6" x14ac:dyDescent="0.35">
      <c r="A356" t="s">
        <v>26</v>
      </c>
      <c r="B356" t="s">
        <v>722</v>
      </c>
      <c r="C356">
        <v>0.172153</v>
      </c>
      <c r="D356">
        <v>21.091376</v>
      </c>
      <c r="E356" t="s">
        <v>683</v>
      </c>
      <c r="F356" t="s">
        <v>677</v>
      </c>
    </row>
    <row r="357" spans="1:6" x14ac:dyDescent="0.35">
      <c r="A357" t="s">
        <v>559</v>
      </c>
      <c r="B357" t="s">
        <v>738</v>
      </c>
      <c r="C357">
        <v>4.0988100000000003</v>
      </c>
      <c r="D357">
        <v>29.843810999999999</v>
      </c>
      <c r="E357" t="s">
        <v>683</v>
      </c>
      <c r="F357" t="s">
        <v>681</v>
      </c>
    </row>
    <row r="358" spans="1:6" x14ac:dyDescent="0.35">
      <c r="A358" t="s">
        <v>356</v>
      </c>
      <c r="B358" t="s">
        <v>701</v>
      </c>
      <c r="C358">
        <v>-10.611184</v>
      </c>
      <c r="D358">
        <v>23.022268</v>
      </c>
      <c r="E358" t="s">
        <v>676</v>
      </c>
      <c r="F358" t="s">
        <v>684</v>
      </c>
    </row>
    <row r="359" spans="1:6" x14ac:dyDescent="0.35">
      <c r="A359" t="s">
        <v>522</v>
      </c>
      <c r="B359" t="s">
        <v>703</v>
      </c>
      <c r="C359">
        <v>-7.6757720000000003</v>
      </c>
      <c r="D359">
        <v>30.222971000000001</v>
      </c>
      <c r="E359" t="s">
        <v>676</v>
      </c>
      <c r="F359" t="s">
        <v>677</v>
      </c>
    </row>
    <row r="360" spans="1:6" x14ac:dyDescent="0.35">
      <c r="A360" t="s">
        <v>149</v>
      </c>
      <c r="B360" t="s">
        <v>699</v>
      </c>
      <c r="C360">
        <v>-1.342476</v>
      </c>
      <c r="D360">
        <v>15.986086</v>
      </c>
      <c r="E360" t="s">
        <v>680</v>
      </c>
      <c r="F360" t="s">
        <v>677</v>
      </c>
    </row>
    <row r="361" spans="1:6" x14ac:dyDescent="0.35">
      <c r="A361" t="s">
        <v>832</v>
      </c>
      <c r="B361" t="s">
        <v>704</v>
      </c>
      <c r="C361">
        <v>-11.366868999999999</v>
      </c>
      <c r="D361">
        <v>26.155318000000001</v>
      </c>
      <c r="E361" t="s">
        <v>680</v>
      </c>
      <c r="F361" t="s">
        <v>681</v>
      </c>
    </row>
    <row r="362" spans="1:6" x14ac:dyDescent="0.35">
      <c r="A362" t="s">
        <v>433</v>
      </c>
      <c r="B362" t="s">
        <v>706</v>
      </c>
      <c r="C362">
        <v>-4.3639070000000002</v>
      </c>
      <c r="D362">
        <v>16.283307000000001</v>
      </c>
      <c r="E362" t="s">
        <v>676</v>
      </c>
      <c r="F362" t="s">
        <v>681</v>
      </c>
    </row>
    <row r="363" spans="1:6" x14ac:dyDescent="0.35">
      <c r="A363" t="s">
        <v>261</v>
      </c>
      <c r="B363" t="s">
        <v>726</v>
      </c>
      <c r="C363">
        <v>-7.5129409999999996</v>
      </c>
      <c r="D363">
        <v>18.701522000000001</v>
      </c>
      <c r="E363" t="s">
        <v>680</v>
      </c>
      <c r="F363" t="s">
        <v>697</v>
      </c>
    </row>
    <row r="364" spans="1:6" x14ac:dyDescent="0.35">
      <c r="A364" t="s">
        <v>333</v>
      </c>
      <c r="B364" t="s">
        <v>711</v>
      </c>
      <c r="C364">
        <v>-0.34051900000000002</v>
      </c>
      <c r="D364">
        <v>17.079799000000001</v>
      </c>
      <c r="E364" t="s">
        <v>676</v>
      </c>
      <c r="F364" t="s">
        <v>677</v>
      </c>
    </row>
    <row r="365" spans="1:6" x14ac:dyDescent="0.35">
      <c r="A365" t="s">
        <v>230</v>
      </c>
      <c r="B365" t="s">
        <v>685</v>
      </c>
      <c r="C365">
        <v>2.4425979999999998</v>
      </c>
      <c r="D365">
        <v>24.924308</v>
      </c>
      <c r="E365" t="s">
        <v>676</v>
      </c>
      <c r="F365" t="s">
        <v>677</v>
      </c>
    </row>
    <row r="366" spans="1:6" x14ac:dyDescent="0.35">
      <c r="A366" t="s">
        <v>512</v>
      </c>
      <c r="B366" t="s">
        <v>707</v>
      </c>
      <c r="C366">
        <v>0.45116099999999998</v>
      </c>
      <c r="D366">
        <v>17.265761000000001</v>
      </c>
      <c r="E366" t="s">
        <v>680</v>
      </c>
      <c r="F366" t="s">
        <v>681</v>
      </c>
    </row>
    <row r="367" spans="1:6" x14ac:dyDescent="0.35">
      <c r="A367" t="s">
        <v>500</v>
      </c>
      <c r="B367" t="s">
        <v>694</v>
      </c>
      <c r="C367">
        <v>-12.560556999999999</v>
      </c>
      <c r="D367">
        <v>13.204014000000001</v>
      </c>
      <c r="E367" t="s">
        <v>680</v>
      </c>
      <c r="F367" t="s">
        <v>677</v>
      </c>
    </row>
    <row r="368" spans="1:6" x14ac:dyDescent="0.35">
      <c r="A368" t="s">
        <v>275</v>
      </c>
      <c r="B368" t="s">
        <v>699</v>
      </c>
      <c r="C368">
        <v>-4.8128659999999996</v>
      </c>
      <c r="D368">
        <v>18.559304999999998</v>
      </c>
      <c r="E368" t="s">
        <v>676</v>
      </c>
      <c r="F368" t="s">
        <v>684</v>
      </c>
    </row>
    <row r="369" spans="1:6" x14ac:dyDescent="0.35">
      <c r="A369" t="s">
        <v>833</v>
      </c>
      <c r="B369" t="s">
        <v>707</v>
      </c>
      <c r="C369">
        <v>0.89302999999999999</v>
      </c>
      <c r="D369">
        <v>21.238310999999999</v>
      </c>
      <c r="E369" t="s">
        <v>676</v>
      </c>
      <c r="F369" t="s">
        <v>681</v>
      </c>
    </row>
    <row r="370" spans="1:6" x14ac:dyDescent="0.35">
      <c r="A370" t="s">
        <v>834</v>
      </c>
      <c r="B370" t="s">
        <v>675</v>
      </c>
      <c r="C370">
        <v>2.7355830000000001</v>
      </c>
      <c r="D370">
        <v>22.006969000000002</v>
      </c>
      <c r="E370" t="s">
        <v>676</v>
      </c>
      <c r="F370" t="s">
        <v>677</v>
      </c>
    </row>
    <row r="371" spans="1:6" x14ac:dyDescent="0.35">
      <c r="A371" t="s">
        <v>131</v>
      </c>
      <c r="B371" t="s">
        <v>702</v>
      </c>
      <c r="C371">
        <v>-5.7035130000000001</v>
      </c>
      <c r="D371">
        <v>14.331479</v>
      </c>
      <c r="E371" t="s">
        <v>676</v>
      </c>
      <c r="F371" t="s">
        <v>697</v>
      </c>
    </row>
    <row r="372" spans="1:6" x14ac:dyDescent="0.35">
      <c r="A372" t="s">
        <v>835</v>
      </c>
      <c r="B372" t="s">
        <v>690</v>
      </c>
      <c r="C372">
        <v>1.217457</v>
      </c>
      <c r="D372">
        <v>25.48668</v>
      </c>
      <c r="E372" t="s">
        <v>676</v>
      </c>
      <c r="F372" t="s">
        <v>697</v>
      </c>
    </row>
    <row r="373" spans="1:6" x14ac:dyDescent="0.35">
      <c r="A373" t="s">
        <v>220</v>
      </c>
      <c r="B373" t="s">
        <v>719</v>
      </c>
      <c r="C373">
        <v>-6.3324319999999998</v>
      </c>
      <c r="D373">
        <v>24.887858000000001</v>
      </c>
      <c r="E373" t="s">
        <v>680</v>
      </c>
      <c r="F373" t="s">
        <v>684</v>
      </c>
    </row>
    <row r="374" spans="1:6" x14ac:dyDescent="0.35">
      <c r="A374" t="s">
        <v>650</v>
      </c>
      <c r="B374" t="s">
        <v>711</v>
      </c>
      <c r="C374">
        <v>-4.6426759999999998</v>
      </c>
      <c r="D374">
        <v>22.124254000000001</v>
      </c>
      <c r="E374" t="s">
        <v>680</v>
      </c>
      <c r="F374" t="s">
        <v>684</v>
      </c>
    </row>
    <row r="375" spans="1:6" x14ac:dyDescent="0.35">
      <c r="A375" t="s">
        <v>836</v>
      </c>
      <c r="B375" t="s">
        <v>719</v>
      </c>
      <c r="C375">
        <v>-1.598759</v>
      </c>
      <c r="D375">
        <v>17.553023</v>
      </c>
      <c r="E375" t="s">
        <v>680</v>
      </c>
      <c r="F375" t="s">
        <v>681</v>
      </c>
    </row>
    <row r="376" spans="1:6" x14ac:dyDescent="0.35">
      <c r="A376" t="s">
        <v>320</v>
      </c>
      <c r="B376" t="s">
        <v>706</v>
      </c>
      <c r="C376">
        <v>2.486888</v>
      </c>
      <c r="D376">
        <v>23.798074</v>
      </c>
      <c r="E376" t="s">
        <v>676</v>
      </c>
      <c r="F376" t="s">
        <v>684</v>
      </c>
    </row>
    <row r="377" spans="1:6" x14ac:dyDescent="0.35">
      <c r="A377" t="s">
        <v>837</v>
      </c>
      <c r="B377" t="s">
        <v>706</v>
      </c>
      <c r="C377">
        <v>-11.727425</v>
      </c>
      <c r="D377">
        <v>27.198173000000001</v>
      </c>
      <c r="E377" t="s">
        <v>683</v>
      </c>
      <c r="F377" t="s">
        <v>677</v>
      </c>
    </row>
    <row r="378" spans="1:6" x14ac:dyDescent="0.35">
      <c r="A378" t="s">
        <v>838</v>
      </c>
      <c r="B378" t="s">
        <v>688</v>
      </c>
      <c r="C378">
        <v>3.08182</v>
      </c>
      <c r="D378">
        <v>29.961940999999999</v>
      </c>
      <c r="E378" t="s">
        <v>680</v>
      </c>
      <c r="F378" t="s">
        <v>681</v>
      </c>
    </row>
    <row r="379" spans="1:6" x14ac:dyDescent="0.35">
      <c r="A379" t="s">
        <v>85</v>
      </c>
      <c r="B379" t="s">
        <v>711</v>
      </c>
      <c r="C379">
        <v>-7.0076900000000002</v>
      </c>
      <c r="D379">
        <v>27.367121999999998</v>
      </c>
      <c r="E379" t="s">
        <v>683</v>
      </c>
      <c r="F379" t="s">
        <v>697</v>
      </c>
    </row>
    <row r="380" spans="1:6" x14ac:dyDescent="0.35">
      <c r="A380" t="s">
        <v>839</v>
      </c>
      <c r="B380" t="s">
        <v>699</v>
      </c>
      <c r="C380">
        <v>-12.411144999999999</v>
      </c>
      <c r="D380">
        <v>29.876642</v>
      </c>
      <c r="E380" t="s">
        <v>680</v>
      </c>
      <c r="F380" t="s">
        <v>677</v>
      </c>
    </row>
    <row r="381" spans="1:6" x14ac:dyDescent="0.35">
      <c r="A381" t="s">
        <v>840</v>
      </c>
      <c r="B381" t="s">
        <v>706</v>
      </c>
      <c r="C381">
        <v>-5.3337589999999997</v>
      </c>
      <c r="D381">
        <v>13.246924</v>
      </c>
      <c r="E381" t="s">
        <v>683</v>
      </c>
      <c r="F381" t="s">
        <v>677</v>
      </c>
    </row>
    <row r="382" spans="1:6" x14ac:dyDescent="0.35">
      <c r="A382" t="s">
        <v>36</v>
      </c>
      <c r="B382" t="s">
        <v>699</v>
      </c>
      <c r="C382">
        <v>-8.1437910000000002</v>
      </c>
      <c r="D382">
        <v>28.946161</v>
      </c>
      <c r="E382" t="s">
        <v>680</v>
      </c>
      <c r="F382" t="s">
        <v>684</v>
      </c>
    </row>
    <row r="383" spans="1:6" x14ac:dyDescent="0.35">
      <c r="A383" t="s">
        <v>841</v>
      </c>
      <c r="B383" t="s">
        <v>716</v>
      </c>
      <c r="C383">
        <v>4.0297190000000001</v>
      </c>
      <c r="D383">
        <v>20.699608000000001</v>
      </c>
      <c r="E383" t="s">
        <v>680</v>
      </c>
      <c r="F383" t="s">
        <v>677</v>
      </c>
    </row>
    <row r="384" spans="1:6" x14ac:dyDescent="0.35">
      <c r="A384" t="s">
        <v>842</v>
      </c>
      <c r="B384" t="s">
        <v>699</v>
      </c>
      <c r="C384">
        <v>-3.2361680000000002</v>
      </c>
      <c r="D384">
        <v>13.523237999999999</v>
      </c>
      <c r="E384" t="s">
        <v>680</v>
      </c>
      <c r="F384" t="s">
        <v>681</v>
      </c>
    </row>
    <row r="385" spans="1:6" x14ac:dyDescent="0.35">
      <c r="A385" t="s">
        <v>411</v>
      </c>
      <c r="B385" t="s">
        <v>690</v>
      </c>
      <c r="C385">
        <v>1.3006180000000001</v>
      </c>
      <c r="D385">
        <v>29.060970999999999</v>
      </c>
      <c r="E385" t="s">
        <v>683</v>
      </c>
      <c r="F385" t="s">
        <v>684</v>
      </c>
    </row>
    <row r="386" spans="1:6" x14ac:dyDescent="0.35">
      <c r="A386" t="s">
        <v>843</v>
      </c>
      <c r="B386" t="s">
        <v>711</v>
      </c>
      <c r="C386">
        <v>1.178453</v>
      </c>
      <c r="D386">
        <v>17.479081000000001</v>
      </c>
      <c r="E386" t="s">
        <v>683</v>
      </c>
      <c r="F386" t="s">
        <v>677</v>
      </c>
    </row>
    <row r="387" spans="1:6" x14ac:dyDescent="0.35">
      <c r="A387" t="s">
        <v>844</v>
      </c>
      <c r="B387" t="s">
        <v>725</v>
      </c>
      <c r="C387">
        <v>-11.542737000000001</v>
      </c>
      <c r="D387">
        <v>30.175912</v>
      </c>
      <c r="E387" t="s">
        <v>680</v>
      </c>
      <c r="F387" t="s">
        <v>697</v>
      </c>
    </row>
    <row r="388" spans="1:6" x14ac:dyDescent="0.35">
      <c r="A388" t="s">
        <v>579</v>
      </c>
      <c r="B388" t="s">
        <v>725</v>
      </c>
      <c r="C388">
        <v>2.8552499999999998</v>
      </c>
      <c r="D388">
        <v>14.077933</v>
      </c>
      <c r="E388" t="s">
        <v>680</v>
      </c>
      <c r="F388" t="s">
        <v>684</v>
      </c>
    </row>
    <row r="389" spans="1:6" x14ac:dyDescent="0.35">
      <c r="A389" t="s">
        <v>845</v>
      </c>
      <c r="B389" t="s">
        <v>707</v>
      </c>
      <c r="C389">
        <v>0.24369399999999999</v>
      </c>
      <c r="D389">
        <v>17.242912</v>
      </c>
      <c r="E389" t="s">
        <v>680</v>
      </c>
      <c r="F389" t="s">
        <v>697</v>
      </c>
    </row>
    <row r="390" spans="1:6" x14ac:dyDescent="0.35">
      <c r="A390" t="s">
        <v>846</v>
      </c>
      <c r="B390" t="s">
        <v>719</v>
      </c>
      <c r="C390">
        <v>-12.013389999999999</v>
      </c>
      <c r="D390">
        <v>25.24456</v>
      </c>
      <c r="E390" t="s">
        <v>683</v>
      </c>
      <c r="F390" t="s">
        <v>681</v>
      </c>
    </row>
    <row r="391" spans="1:6" x14ac:dyDescent="0.35">
      <c r="A391" t="s">
        <v>231</v>
      </c>
      <c r="B391" t="s">
        <v>714</v>
      </c>
      <c r="C391">
        <v>4.0157999999999996</v>
      </c>
      <c r="D391">
        <v>21.430246</v>
      </c>
      <c r="E391" t="s">
        <v>676</v>
      </c>
      <c r="F391" t="s">
        <v>697</v>
      </c>
    </row>
    <row r="392" spans="1:6" x14ac:dyDescent="0.35">
      <c r="A392" t="s">
        <v>358</v>
      </c>
      <c r="B392" t="s">
        <v>685</v>
      </c>
      <c r="C392">
        <v>-0.85624699999999998</v>
      </c>
      <c r="D392">
        <v>28.624870000000001</v>
      </c>
      <c r="E392" t="s">
        <v>683</v>
      </c>
      <c r="F392" t="s">
        <v>677</v>
      </c>
    </row>
    <row r="393" spans="1:6" x14ac:dyDescent="0.35">
      <c r="A393" t="s">
        <v>847</v>
      </c>
      <c r="B393" t="s">
        <v>725</v>
      </c>
      <c r="C393">
        <v>2.9836019999999999</v>
      </c>
      <c r="D393">
        <v>21.893065</v>
      </c>
      <c r="E393" t="s">
        <v>676</v>
      </c>
      <c r="F393" t="s">
        <v>697</v>
      </c>
    </row>
    <row r="394" spans="1:6" x14ac:dyDescent="0.35">
      <c r="A394" t="s">
        <v>328</v>
      </c>
      <c r="B394" t="s">
        <v>711</v>
      </c>
      <c r="C394">
        <v>-11.002602</v>
      </c>
      <c r="D394">
        <v>23.918247999999998</v>
      </c>
      <c r="E394" t="s">
        <v>676</v>
      </c>
      <c r="F394" t="s">
        <v>684</v>
      </c>
    </row>
    <row r="395" spans="1:6" x14ac:dyDescent="0.35">
      <c r="A395" t="s">
        <v>848</v>
      </c>
      <c r="B395" t="s">
        <v>685</v>
      </c>
      <c r="C395">
        <v>-6.419365</v>
      </c>
      <c r="D395">
        <v>17.570219000000002</v>
      </c>
      <c r="E395" t="s">
        <v>680</v>
      </c>
      <c r="F395" t="s">
        <v>681</v>
      </c>
    </row>
    <row r="396" spans="1:6" x14ac:dyDescent="0.35">
      <c r="A396" t="s">
        <v>196</v>
      </c>
      <c r="B396" t="s">
        <v>696</v>
      </c>
      <c r="C396">
        <v>-1.8555980000000001</v>
      </c>
      <c r="D396">
        <v>30.421918000000002</v>
      </c>
      <c r="E396" t="s">
        <v>683</v>
      </c>
      <c r="F396" t="s">
        <v>684</v>
      </c>
    </row>
    <row r="397" spans="1:6" x14ac:dyDescent="0.35">
      <c r="A397" t="s">
        <v>322</v>
      </c>
      <c r="B397" t="s">
        <v>707</v>
      </c>
      <c r="C397">
        <v>-6.4197189999999997</v>
      </c>
      <c r="D397">
        <v>22.287264</v>
      </c>
      <c r="E397" t="s">
        <v>683</v>
      </c>
      <c r="F397" t="s">
        <v>677</v>
      </c>
    </row>
    <row r="398" spans="1:6" x14ac:dyDescent="0.35">
      <c r="A398" t="s">
        <v>849</v>
      </c>
      <c r="B398" t="s">
        <v>722</v>
      </c>
      <c r="C398">
        <v>-9.8451869999999992</v>
      </c>
      <c r="D398">
        <v>14.508520000000001</v>
      </c>
      <c r="E398" t="s">
        <v>676</v>
      </c>
      <c r="F398" t="s">
        <v>697</v>
      </c>
    </row>
    <row r="399" spans="1:6" x14ac:dyDescent="0.35">
      <c r="A399" t="s">
        <v>67</v>
      </c>
      <c r="B399" t="s">
        <v>722</v>
      </c>
      <c r="C399">
        <v>-2.9417719999999998</v>
      </c>
      <c r="D399">
        <v>18.587305000000001</v>
      </c>
      <c r="E399" t="s">
        <v>676</v>
      </c>
      <c r="F399" t="s">
        <v>677</v>
      </c>
    </row>
    <row r="400" spans="1:6" x14ac:dyDescent="0.35">
      <c r="A400" t="s">
        <v>404</v>
      </c>
      <c r="B400" t="s">
        <v>682</v>
      </c>
      <c r="C400">
        <v>-11.793894</v>
      </c>
      <c r="D400">
        <v>20.433340999999999</v>
      </c>
      <c r="E400" t="s">
        <v>676</v>
      </c>
      <c r="F400" t="s">
        <v>697</v>
      </c>
    </row>
    <row r="401" spans="1:6" x14ac:dyDescent="0.35">
      <c r="A401" t="s">
        <v>850</v>
      </c>
      <c r="B401" t="s">
        <v>706</v>
      </c>
      <c r="C401">
        <v>0.114899</v>
      </c>
      <c r="D401">
        <v>30.510916000000002</v>
      </c>
      <c r="E401" t="s">
        <v>683</v>
      </c>
      <c r="F401" t="s">
        <v>697</v>
      </c>
    </row>
    <row r="402" spans="1:6" x14ac:dyDescent="0.35">
      <c r="A402" t="s">
        <v>64</v>
      </c>
      <c r="B402" t="s">
        <v>722</v>
      </c>
      <c r="C402">
        <v>-5.5445120000000001</v>
      </c>
      <c r="D402">
        <v>27.547335</v>
      </c>
      <c r="E402" t="s">
        <v>680</v>
      </c>
      <c r="F402" t="s">
        <v>677</v>
      </c>
    </row>
    <row r="403" spans="1:6" x14ac:dyDescent="0.35">
      <c r="A403" t="s">
        <v>381</v>
      </c>
      <c r="B403" t="s">
        <v>714</v>
      </c>
      <c r="C403">
        <v>2.0392079999999999</v>
      </c>
      <c r="D403">
        <v>19.090841999999999</v>
      </c>
      <c r="E403" t="s">
        <v>680</v>
      </c>
      <c r="F403" t="s">
        <v>697</v>
      </c>
    </row>
    <row r="404" spans="1:6" x14ac:dyDescent="0.35">
      <c r="A404" t="s">
        <v>22</v>
      </c>
      <c r="B404" t="s">
        <v>702</v>
      </c>
      <c r="C404">
        <v>-2.2371569999999998</v>
      </c>
      <c r="D404">
        <v>25.926188</v>
      </c>
      <c r="E404" t="s">
        <v>683</v>
      </c>
      <c r="F404" t="s">
        <v>697</v>
      </c>
    </row>
    <row r="405" spans="1:6" x14ac:dyDescent="0.35">
      <c r="A405" t="s">
        <v>133</v>
      </c>
      <c r="B405" t="s">
        <v>694</v>
      </c>
      <c r="C405">
        <v>-10.414493</v>
      </c>
      <c r="D405">
        <v>12.333356999999999</v>
      </c>
      <c r="E405" t="s">
        <v>683</v>
      </c>
      <c r="F405" t="s">
        <v>677</v>
      </c>
    </row>
    <row r="406" spans="1:6" x14ac:dyDescent="0.35">
      <c r="A406" t="s">
        <v>176</v>
      </c>
      <c r="B406" t="s">
        <v>690</v>
      </c>
      <c r="C406">
        <v>-7.5418399999999997</v>
      </c>
      <c r="D406">
        <v>16.931206</v>
      </c>
      <c r="E406" t="s">
        <v>683</v>
      </c>
      <c r="F406" t="s">
        <v>697</v>
      </c>
    </row>
    <row r="407" spans="1:6" x14ac:dyDescent="0.35">
      <c r="A407" t="s">
        <v>851</v>
      </c>
      <c r="B407" t="s">
        <v>726</v>
      </c>
      <c r="C407">
        <v>4.7908840000000001</v>
      </c>
      <c r="D407">
        <v>23.051435000000001</v>
      </c>
      <c r="E407" t="s">
        <v>683</v>
      </c>
      <c r="F407" t="s">
        <v>697</v>
      </c>
    </row>
    <row r="408" spans="1:6" x14ac:dyDescent="0.35">
      <c r="A408" t="s">
        <v>852</v>
      </c>
      <c r="B408" t="s">
        <v>704</v>
      </c>
      <c r="C408">
        <v>-3.544581</v>
      </c>
      <c r="D408">
        <v>14.776605</v>
      </c>
      <c r="E408" t="s">
        <v>680</v>
      </c>
      <c r="F408" t="s">
        <v>697</v>
      </c>
    </row>
    <row r="409" spans="1:6" x14ac:dyDescent="0.35">
      <c r="A409" t="s">
        <v>340</v>
      </c>
      <c r="B409" t="s">
        <v>675</v>
      </c>
      <c r="C409">
        <v>-6.9624990000000002</v>
      </c>
      <c r="D409">
        <v>20.759834999999999</v>
      </c>
      <c r="E409" t="s">
        <v>680</v>
      </c>
      <c r="F409" t="s">
        <v>681</v>
      </c>
    </row>
    <row r="410" spans="1:6" x14ac:dyDescent="0.35">
      <c r="A410" t="s">
        <v>853</v>
      </c>
      <c r="B410" t="s">
        <v>693</v>
      </c>
      <c r="C410">
        <v>3.796754</v>
      </c>
      <c r="D410">
        <v>25.172377999999998</v>
      </c>
      <c r="E410" t="s">
        <v>680</v>
      </c>
      <c r="F410" t="s">
        <v>681</v>
      </c>
    </row>
    <row r="411" spans="1:6" x14ac:dyDescent="0.35">
      <c r="A411" t="s">
        <v>145</v>
      </c>
      <c r="B411" t="s">
        <v>693</v>
      </c>
      <c r="C411">
        <v>-2.3677800000000002</v>
      </c>
      <c r="D411">
        <v>18.790323999999998</v>
      </c>
      <c r="E411" t="s">
        <v>676</v>
      </c>
      <c r="F411" t="s">
        <v>681</v>
      </c>
    </row>
    <row r="412" spans="1:6" x14ac:dyDescent="0.35">
      <c r="A412" t="s">
        <v>854</v>
      </c>
      <c r="B412" t="s">
        <v>726</v>
      </c>
      <c r="C412">
        <v>-6.236097</v>
      </c>
      <c r="D412">
        <v>13.004878</v>
      </c>
      <c r="E412" t="s">
        <v>680</v>
      </c>
      <c r="F412" t="s">
        <v>677</v>
      </c>
    </row>
    <row r="413" spans="1:6" x14ac:dyDescent="0.35">
      <c r="A413" t="s">
        <v>855</v>
      </c>
      <c r="B413" t="s">
        <v>685</v>
      </c>
      <c r="C413">
        <v>-12.88086</v>
      </c>
      <c r="D413">
        <v>18.862106000000001</v>
      </c>
      <c r="E413" t="s">
        <v>683</v>
      </c>
      <c r="F413" t="s">
        <v>697</v>
      </c>
    </row>
    <row r="414" spans="1:6" x14ac:dyDescent="0.35">
      <c r="A414" t="s">
        <v>856</v>
      </c>
      <c r="B414" t="s">
        <v>696</v>
      </c>
      <c r="C414">
        <v>-1.501492</v>
      </c>
      <c r="D414">
        <v>24.088695999999999</v>
      </c>
      <c r="E414" t="s">
        <v>680</v>
      </c>
      <c r="F414" t="s">
        <v>697</v>
      </c>
    </row>
    <row r="415" spans="1:6" x14ac:dyDescent="0.35">
      <c r="A415" t="s">
        <v>652</v>
      </c>
      <c r="B415" t="s">
        <v>694</v>
      </c>
      <c r="C415">
        <v>-8.0800809999999998</v>
      </c>
      <c r="D415">
        <v>30.147970999999998</v>
      </c>
      <c r="E415" t="s">
        <v>676</v>
      </c>
      <c r="F415" t="s">
        <v>681</v>
      </c>
    </row>
    <row r="416" spans="1:6" x14ac:dyDescent="0.35">
      <c r="A416" t="s">
        <v>857</v>
      </c>
      <c r="B416" t="s">
        <v>707</v>
      </c>
      <c r="C416">
        <v>-9.8519260000000006</v>
      </c>
      <c r="D416">
        <v>12.925583</v>
      </c>
      <c r="E416" t="s">
        <v>676</v>
      </c>
      <c r="F416" t="s">
        <v>677</v>
      </c>
    </row>
    <row r="417" spans="1:6" x14ac:dyDescent="0.35">
      <c r="A417" t="s">
        <v>156</v>
      </c>
      <c r="B417" t="s">
        <v>688</v>
      </c>
      <c r="C417">
        <v>-4.6818410000000004</v>
      </c>
      <c r="D417">
        <v>17.541618</v>
      </c>
      <c r="E417" t="s">
        <v>680</v>
      </c>
      <c r="F417" t="s">
        <v>677</v>
      </c>
    </row>
    <row r="418" spans="1:6" x14ac:dyDescent="0.35">
      <c r="A418" t="s">
        <v>858</v>
      </c>
      <c r="B418" t="s">
        <v>701</v>
      </c>
      <c r="C418">
        <v>-2.7775059999999998</v>
      </c>
      <c r="D418">
        <v>24.139983999999998</v>
      </c>
      <c r="E418" t="s">
        <v>683</v>
      </c>
      <c r="F418" t="s">
        <v>677</v>
      </c>
    </row>
    <row r="419" spans="1:6" x14ac:dyDescent="0.35">
      <c r="A419" t="s">
        <v>859</v>
      </c>
      <c r="B419" t="s">
        <v>701</v>
      </c>
      <c r="C419">
        <v>3.4676979999999999</v>
      </c>
      <c r="D419">
        <v>13.459707</v>
      </c>
      <c r="E419" t="s">
        <v>676</v>
      </c>
      <c r="F419" t="s">
        <v>681</v>
      </c>
    </row>
    <row r="420" spans="1:6" x14ac:dyDescent="0.35">
      <c r="A420" t="s">
        <v>338</v>
      </c>
      <c r="B420" t="s">
        <v>685</v>
      </c>
      <c r="C420">
        <v>-9.4133639999999996</v>
      </c>
      <c r="D420">
        <v>15.682482</v>
      </c>
      <c r="E420" t="s">
        <v>680</v>
      </c>
      <c r="F420" t="s">
        <v>681</v>
      </c>
    </row>
    <row r="421" spans="1:6" x14ac:dyDescent="0.35">
      <c r="A421" t="s">
        <v>530</v>
      </c>
      <c r="B421" t="s">
        <v>725</v>
      </c>
      <c r="C421">
        <v>1.981107</v>
      </c>
      <c r="D421">
        <v>23.932569000000001</v>
      </c>
      <c r="E421" t="s">
        <v>683</v>
      </c>
      <c r="F421" t="s">
        <v>697</v>
      </c>
    </row>
    <row r="422" spans="1:6" x14ac:dyDescent="0.35">
      <c r="A422" t="s">
        <v>406</v>
      </c>
      <c r="B422" t="s">
        <v>693</v>
      </c>
      <c r="C422">
        <v>-7.789663</v>
      </c>
      <c r="D422">
        <v>26.529098000000001</v>
      </c>
      <c r="E422" t="s">
        <v>676</v>
      </c>
      <c r="F422" t="s">
        <v>697</v>
      </c>
    </row>
    <row r="423" spans="1:6" x14ac:dyDescent="0.35">
      <c r="A423" t="s">
        <v>310</v>
      </c>
      <c r="B423" t="s">
        <v>700</v>
      </c>
      <c r="C423">
        <v>-4.1694589999999998</v>
      </c>
      <c r="D423">
        <v>23.376487000000001</v>
      </c>
      <c r="E423" t="s">
        <v>683</v>
      </c>
      <c r="F423" t="s">
        <v>697</v>
      </c>
    </row>
    <row r="424" spans="1:6" x14ac:dyDescent="0.35">
      <c r="A424" t="s">
        <v>101</v>
      </c>
      <c r="B424" t="s">
        <v>696</v>
      </c>
      <c r="C424">
        <v>1.8103860000000001</v>
      </c>
      <c r="D424">
        <v>15.175582</v>
      </c>
      <c r="E424" t="s">
        <v>683</v>
      </c>
      <c r="F424" t="s">
        <v>681</v>
      </c>
    </row>
    <row r="425" spans="1:6" x14ac:dyDescent="0.35">
      <c r="A425" t="s">
        <v>638</v>
      </c>
      <c r="B425" t="s">
        <v>716</v>
      </c>
      <c r="C425">
        <v>-7.5641280000000002</v>
      </c>
      <c r="D425">
        <v>18.129529999999999</v>
      </c>
      <c r="E425" t="s">
        <v>683</v>
      </c>
      <c r="F425" t="s">
        <v>681</v>
      </c>
    </row>
    <row r="426" spans="1:6" x14ac:dyDescent="0.35">
      <c r="A426" t="s">
        <v>35</v>
      </c>
      <c r="B426" t="s">
        <v>682</v>
      </c>
      <c r="C426">
        <v>-2.4662510000000002</v>
      </c>
      <c r="D426">
        <v>18.007998000000001</v>
      </c>
      <c r="E426" t="s">
        <v>676</v>
      </c>
      <c r="F426" t="s">
        <v>677</v>
      </c>
    </row>
    <row r="427" spans="1:6" x14ac:dyDescent="0.35">
      <c r="A427" t="s">
        <v>860</v>
      </c>
      <c r="B427" t="s">
        <v>711</v>
      </c>
      <c r="C427">
        <v>-4.1061909999999999</v>
      </c>
      <c r="D427">
        <v>28.054902999999999</v>
      </c>
      <c r="E427" t="s">
        <v>683</v>
      </c>
      <c r="F427" t="s">
        <v>681</v>
      </c>
    </row>
    <row r="428" spans="1:6" x14ac:dyDescent="0.35">
      <c r="A428" t="s">
        <v>286</v>
      </c>
      <c r="B428" t="s">
        <v>700</v>
      </c>
      <c r="C428">
        <v>0.31740800000000002</v>
      </c>
      <c r="D428">
        <v>27.197666999999999</v>
      </c>
      <c r="E428" t="s">
        <v>676</v>
      </c>
      <c r="F428" t="s">
        <v>697</v>
      </c>
    </row>
    <row r="429" spans="1:6" x14ac:dyDescent="0.35">
      <c r="A429" t="s">
        <v>533</v>
      </c>
      <c r="B429" t="s">
        <v>696</v>
      </c>
      <c r="C429">
        <v>-8.9586360000000003</v>
      </c>
      <c r="D429">
        <v>17.157720000000001</v>
      </c>
      <c r="E429" t="s">
        <v>683</v>
      </c>
      <c r="F429" t="s">
        <v>697</v>
      </c>
    </row>
    <row r="430" spans="1:6" x14ac:dyDescent="0.35">
      <c r="A430" t="s">
        <v>273</v>
      </c>
      <c r="B430" t="s">
        <v>700</v>
      </c>
      <c r="C430">
        <v>1.2419519999999999</v>
      </c>
      <c r="D430">
        <v>25.261382999999999</v>
      </c>
      <c r="E430" t="s">
        <v>680</v>
      </c>
      <c r="F430" t="s">
        <v>681</v>
      </c>
    </row>
    <row r="431" spans="1:6" x14ac:dyDescent="0.35">
      <c r="A431" t="s">
        <v>550</v>
      </c>
      <c r="B431" t="s">
        <v>690</v>
      </c>
      <c r="C431">
        <v>-10.227569000000001</v>
      </c>
      <c r="D431">
        <v>18.887930999999998</v>
      </c>
      <c r="E431" t="s">
        <v>683</v>
      </c>
      <c r="F431" t="s">
        <v>684</v>
      </c>
    </row>
    <row r="432" spans="1:6" x14ac:dyDescent="0.35">
      <c r="A432" t="s">
        <v>235</v>
      </c>
      <c r="B432" t="s">
        <v>737</v>
      </c>
      <c r="C432">
        <v>-7.5969509999999998</v>
      </c>
      <c r="D432">
        <v>22.153986</v>
      </c>
      <c r="E432" t="s">
        <v>683</v>
      </c>
      <c r="F432" t="s">
        <v>677</v>
      </c>
    </row>
    <row r="433" spans="1:6" x14ac:dyDescent="0.35">
      <c r="A433" t="s">
        <v>541</v>
      </c>
      <c r="B433" t="s">
        <v>700</v>
      </c>
      <c r="C433">
        <v>-1.4700059999999999</v>
      </c>
      <c r="D433">
        <v>18.680958</v>
      </c>
      <c r="E433" t="s">
        <v>683</v>
      </c>
      <c r="F433" t="s">
        <v>681</v>
      </c>
    </row>
    <row r="434" spans="1:6" x14ac:dyDescent="0.35">
      <c r="A434" t="s">
        <v>264</v>
      </c>
      <c r="B434" t="s">
        <v>700</v>
      </c>
      <c r="C434">
        <v>-1.5419050000000001</v>
      </c>
      <c r="D434">
        <v>14.730632999999999</v>
      </c>
      <c r="E434" t="s">
        <v>683</v>
      </c>
      <c r="F434" t="s">
        <v>684</v>
      </c>
    </row>
    <row r="435" spans="1:6" x14ac:dyDescent="0.35">
      <c r="A435" t="s">
        <v>658</v>
      </c>
      <c r="B435" t="s">
        <v>737</v>
      </c>
      <c r="C435">
        <v>-10.764815</v>
      </c>
      <c r="D435">
        <v>14.602039</v>
      </c>
      <c r="E435" t="s">
        <v>680</v>
      </c>
      <c r="F435" t="s">
        <v>697</v>
      </c>
    </row>
    <row r="436" spans="1:6" x14ac:dyDescent="0.35">
      <c r="A436" t="s">
        <v>302</v>
      </c>
      <c r="B436" t="s">
        <v>675</v>
      </c>
      <c r="C436">
        <v>-1.013558</v>
      </c>
      <c r="D436">
        <v>17.346937</v>
      </c>
      <c r="E436" t="s">
        <v>676</v>
      </c>
      <c r="F436" t="s">
        <v>681</v>
      </c>
    </row>
    <row r="437" spans="1:6" x14ac:dyDescent="0.35">
      <c r="A437" t="s">
        <v>655</v>
      </c>
      <c r="B437" t="s">
        <v>704</v>
      </c>
      <c r="C437">
        <v>-7.8215969999999997</v>
      </c>
      <c r="D437">
        <v>26.797349000000001</v>
      </c>
      <c r="E437" t="s">
        <v>683</v>
      </c>
      <c r="F437" t="s">
        <v>677</v>
      </c>
    </row>
    <row r="438" spans="1:6" x14ac:dyDescent="0.35">
      <c r="A438" t="s">
        <v>81</v>
      </c>
      <c r="B438" t="s">
        <v>726</v>
      </c>
      <c r="C438">
        <v>-9.7712979999999998</v>
      </c>
      <c r="D438">
        <v>19.827895999999999</v>
      </c>
      <c r="E438" t="s">
        <v>683</v>
      </c>
      <c r="F438" t="s">
        <v>684</v>
      </c>
    </row>
    <row r="439" spans="1:6" x14ac:dyDescent="0.35">
      <c r="A439" t="s">
        <v>861</v>
      </c>
      <c r="B439" t="s">
        <v>694</v>
      </c>
      <c r="C439">
        <v>3.3222779999999998</v>
      </c>
      <c r="D439">
        <v>29.497240000000001</v>
      </c>
      <c r="E439" t="s">
        <v>683</v>
      </c>
      <c r="F439" t="s">
        <v>684</v>
      </c>
    </row>
    <row r="440" spans="1:6" x14ac:dyDescent="0.35">
      <c r="A440" t="s">
        <v>529</v>
      </c>
      <c r="B440" t="s">
        <v>719</v>
      </c>
      <c r="C440">
        <v>-1.3938550000000001</v>
      </c>
      <c r="D440">
        <v>15.097554000000001</v>
      </c>
      <c r="E440" t="s">
        <v>680</v>
      </c>
      <c r="F440" t="s">
        <v>681</v>
      </c>
    </row>
    <row r="441" spans="1:6" x14ac:dyDescent="0.35">
      <c r="A441" t="s">
        <v>436</v>
      </c>
      <c r="B441" t="s">
        <v>675</v>
      </c>
      <c r="C441">
        <v>-12.488033</v>
      </c>
      <c r="D441">
        <v>16.139648000000001</v>
      </c>
      <c r="E441" t="s">
        <v>680</v>
      </c>
      <c r="F441" t="s">
        <v>681</v>
      </c>
    </row>
    <row r="442" spans="1:6" x14ac:dyDescent="0.35">
      <c r="A442" t="s">
        <v>862</v>
      </c>
      <c r="B442" t="s">
        <v>719</v>
      </c>
      <c r="C442">
        <v>0.76493</v>
      </c>
      <c r="D442">
        <v>21.564274999999999</v>
      </c>
      <c r="E442" t="s">
        <v>683</v>
      </c>
      <c r="F442" t="s">
        <v>684</v>
      </c>
    </row>
    <row r="443" spans="1:6" x14ac:dyDescent="0.35">
      <c r="A443" t="s">
        <v>292</v>
      </c>
      <c r="B443" t="s">
        <v>711</v>
      </c>
      <c r="C443">
        <v>-4.1250960000000001</v>
      </c>
      <c r="D443">
        <v>27.799897999999999</v>
      </c>
      <c r="E443" t="s">
        <v>683</v>
      </c>
      <c r="F443" t="s">
        <v>697</v>
      </c>
    </row>
    <row r="444" spans="1:6" x14ac:dyDescent="0.35">
      <c r="A444" t="s">
        <v>77</v>
      </c>
      <c r="B444" t="s">
        <v>722</v>
      </c>
      <c r="C444">
        <v>4.4712560000000003</v>
      </c>
      <c r="D444">
        <v>27.107028</v>
      </c>
      <c r="E444" t="s">
        <v>683</v>
      </c>
      <c r="F444" t="s">
        <v>677</v>
      </c>
    </row>
    <row r="445" spans="1:6" x14ac:dyDescent="0.35">
      <c r="A445" t="s">
        <v>580</v>
      </c>
      <c r="B445" t="s">
        <v>675</v>
      </c>
      <c r="C445">
        <v>-2.2199559999999998</v>
      </c>
      <c r="D445">
        <v>22.614449</v>
      </c>
      <c r="E445" t="s">
        <v>683</v>
      </c>
      <c r="F445" t="s">
        <v>697</v>
      </c>
    </row>
    <row r="446" spans="1:6" x14ac:dyDescent="0.35">
      <c r="A446" t="s">
        <v>359</v>
      </c>
      <c r="B446" t="s">
        <v>737</v>
      </c>
      <c r="C446">
        <v>-6.4883290000000002</v>
      </c>
      <c r="D446">
        <v>25.103404000000001</v>
      </c>
      <c r="E446" t="s">
        <v>676</v>
      </c>
      <c r="F446" t="s">
        <v>684</v>
      </c>
    </row>
    <row r="447" spans="1:6" x14ac:dyDescent="0.35">
      <c r="A447" t="s">
        <v>199</v>
      </c>
      <c r="B447" t="s">
        <v>703</v>
      </c>
      <c r="C447">
        <v>-4.351254</v>
      </c>
      <c r="D447">
        <v>30.097408999999999</v>
      </c>
      <c r="E447" t="s">
        <v>676</v>
      </c>
      <c r="F447" t="s">
        <v>697</v>
      </c>
    </row>
    <row r="448" spans="1:6" x14ac:dyDescent="0.35">
      <c r="A448" t="s">
        <v>636</v>
      </c>
      <c r="B448" t="s">
        <v>722</v>
      </c>
      <c r="C448">
        <v>-5.1507670000000001</v>
      </c>
      <c r="D448">
        <v>28.075324999999999</v>
      </c>
      <c r="E448" t="s">
        <v>676</v>
      </c>
      <c r="F448" t="s">
        <v>681</v>
      </c>
    </row>
    <row r="449" spans="1:6" x14ac:dyDescent="0.35">
      <c r="A449" t="s">
        <v>863</v>
      </c>
      <c r="B449" t="s">
        <v>719</v>
      </c>
      <c r="C449">
        <v>-8.3575920000000004</v>
      </c>
      <c r="D449">
        <v>25.538395000000001</v>
      </c>
      <c r="E449" t="s">
        <v>683</v>
      </c>
      <c r="F449" t="s">
        <v>684</v>
      </c>
    </row>
    <row r="450" spans="1:6" x14ac:dyDescent="0.35">
      <c r="A450" t="s">
        <v>864</v>
      </c>
      <c r="B450" t="s">
        <v>711</v>
      </c>
      <c r="C450">
        <v>-0.65356899999999996</v>
      </c>
      <c r="D450">
        <v>25.343032999999998</v>
      </c>
      <c r="E450" t="s">
        <v>680</v>
      </c>
      <c r="F450" t="s">
        <v>677</v>
      </c>
    </row>
    <row r="451" spans="1:6" x14ac:dyDescent="0.35">
      <c r="A451" t="s">
        <v>865</v>
      </c>
      <c r="B451" t="s">
        <v>725</v>
      </c>
      <c r="C451">
        <v>-2.290705</v>
      </c>
      <c r="D451">
        <v>19.150395</v>
      </c>
      <c r="E451" t="s">
        <v>676</v>
      </c>
      <c r="F451" t="s">
        <v>677</v>
      </c>
    </row>
    <row r="452" spans="1:6" x14ac:dyDescent="0.35">
      <c r="A452" t="s">
        <v>17</v>
      </c>
      <c r="B452" t="s">
        <v>726</v>
      </c>
      <c r="C452">
        <v>4.8319039999999998</v>
      </c>
      <c r="D452">
        <v>20.733468999999999</v>
      </c>
      <c r="E452" t="s">
        <v>676</v>
      </c>
      <c r="F452" t="s">
        <v>677</v>
      </c>
    </row>
    <row r="453" spans="1:6" x14ac:dyDescent="0.35">
      <c r="A453" t="s">
        <v>866</v>
      </c>
      <c r="B453" t="s">
        <v>688</v>
      </c>
      <c r="C453">
        <v>-10.790281</v>
      </c>
      <c r="D453">
        <v>12.624336</v>
      </c>
      <c r="E453" t="s">
        <v>680</v>
      </c>
      <c r="F453" t="s">
        <v>697</v>
      </c>
    </row>
    <row r="454" spans="1:6" x14ac:dyDescent="0.35">
      <c r="A454" t="s">
        <v>867</v>
      </c>
      <c r="B454" t="s">
        <v>707</v>
      </c>
      <c r="C454">
        <v>2.0859640000000002</v>
      </c>
      <c r="D454">
        <v>22.576664000000001</v>
      </c>
      <c r="E454" t="s">
        <v>680</v>
      </c>
      <c r="F454" t="s">
        <v>684</v>
      </c>
    </row>
    <row r="455" spans="1:6" x14ac:dyDescent="0.35">
      <c r="A455" t="s">
        <v>444</v>
      </c>
      <c r="B455" t="s">
        <v>679</v>
      </c>
      <c r="C455">
        <v>5.3608999999999997E-2</v>
      </c>
      <c r="D455">
        <v>28.346852999999999</v>
      </c>
      <c r="E455" t="s">
        <v>683</v>
      </c>
      <c r="F455" t="s">
        <v>684</v>
      </c>
    </row>
    <row r="456" spans="1:6" x14ac:dyDescent="0.35">
      <c r="A456" t="s">
        <v>494</v>
      </c>
      <c r="B456" t="s">
        <v>696</v>
      </c>
      <c r="C456">
        <v>-7.9866700000000002</v>
      </c>
      <c r="D456">
        <v>17.757847000000002</v>
      </c>
      <c r="E456" t="s">
        <v>676</v>
      </c>
      <c r="F456" t="s">
        <v>681</v>
      </c>
    </row>
    <row r="457" spans="1:6" x14ac:dyDescent="0.35">
      <c r="A457" t="s">
        <v>565</v>
      </c>
      <c r="B457" t="s">
        <v>737</v>
      </c>
      <c r="C457">
        <v>-0.157111</v>
      </c>
      <c r="D457">
        <v>25.415125</v>
      </c>
      <c r="E457" t="s">
        <v>680</v>
      </c>
      <c r="F457" t="s">
        <v>677</v>
      </c>
    </row>
    <row r="458" spans="1:6" x14ac:dyDescent="0.35">
      <c r="A458" t="s">
        <v>868</v>
      </c>
      <c r="B458" t="s">
        <v>675</v>
      </c>
      <c r="C458">
        <v>-2.5254650000000001</v>
      </c>
      <c r="D458">
        <v>21.338113</v>
      </c>
      <c r="E458" t="s">
        <v>676</v>
      </c>
      <c r="F458" t="s">
        <v>697</v>
      </c>
    </row>
    <row r="459" spans="1:6" x14ac:dyDescent="0.35">
      <c r="A459" t="s">
        <v>367</v>
      </c>
      <c r="B459" t="s">
        <v>701</v>
      </c>
      <c r="C459">
        <v>-8.0864899999999995</v>
      </c>
      <c r="D459">
        <v>14.555277</v>
      </c>
      <c r="E459" t="s">
        <v>683</v>
      </c>
      <c r="F459" t="s">
        <v>677</v>
      </c>
    </row>
    <row r="460" spans="1:6" x14ac:dyDescent="0.35">
      <c r="A460" t="s">
        <v>192</v>
      </c>
      <c r="B460" t="s">
        <v>719</v>
      </c>
      <c r="C460">
        <v>1.210869</v>
      </c>
      <c r="D460">
        <v>25.598741</v>
      </c>
      <c r="E460" t="s">
        <v>680</v>
      </c>
      <c r="F460" t="s">
        <v>677</v>
      </c>
    </row>
    <row r="461" spans="1:6" x14ac:dyDescent="0.35">
      <c r="A461" t="s">
        <v>307</v>
      </c>
      <c r="B461" t="s">
        <v>737</v>
      </c>
      <c r="C461">
        <v>-1.4110389999999999</v>
      </c>
      <c r="D461">
        <v>21.261644</v>
      </c>
      <c r="E461" t="s">
        <v>680</v>
      </c>
      <c r="F461" t="s">
        <v>684</v>
      </c>
    </row>
    <row r="462" spans="1:6" x14ac:dyDescent="0.35">
      <c r="A462" t="s">
        <v>668</v>
      </c>
      <c r="B462" t="s">
        <v>693</v>
      </c>
      <c r="C462">
        <v>-5.7957599999999996</v>
      </c>
      <c r="D462">
        <v>14.078258</v>
      </c>
      <c r="E462" t="s">
        <v>676</v>
      </c>
      <c r="F462" t="s">
        <v>677</v>
      </c>
    </row>
    <row r="463" spans="1:6" x14ac:dyDescent="0.35">
      <c r="A463" t="s">
        <v>143</v>
      </c>
      <c r="B463" t="s">
        <v>675</v>
      </c>
      <c r="C463">
        <v>-4.4351269999999996</v>
      </c>
      <c r="D463">
        <v>24.825467</v>
      </c>
      <c r="E463" t="s">
        <v>680</v>
      </c>
      <c r="F463" t="s">
        <v>681</v>
      </c>
    </row>
    <row r="464" spans="1:6" x14ac:dyDescent="0.35">
      <c r="A464" t="s">
        <v>869</v>
      </c>
      <c r="B464" t="s">
        <v>706</v>
      </c>
      <c r="C464">
        <v>-2.1430220000000002</v>
      </c>
      <c r="D464">
        <v>24.541492999999999</v>
      </c>
      <c r="E464" t="s">
        <v>680</v>
      </c>
      <c r="F464" t="s">
        <v>684</v>
      </c>
    </row>
    <row r="465" spans="1:6" x14ac:dyDescent="0.35">
      <c r="A465" t="s">
        <v>388</v>
      </c>
      <c r="B465" t="s">
        <v>704</v>
      </c>
      <c r="C465">
        <v>-5.7200150000000001</v>
      </c>
      <c r="D465">
        <v>25.022109</v>
      </c>
      <c r="E465" t="s">
        <v>676</v>
      </c>
      <c r="F465" t="s">
        <v>684</v>
      </c>
    </row>
    <row r="466" spans="1:6" x14ac:dyDescent="0.35">
      <c r="A466" t="s">
        <v>870</v>
      </c>
      <c r="B466" t="s">
        <v>711</v>
      </c>
      <c r="C466">
        <v>-4.2784089999999999</v>
      </c>
      <c r="D466">
        <v>22.871994000000001</v>
      </c>
      <c r="E466" t="s">
        <v>683</v>
      </c>
      <c r="F466" t="s">
        <v>677</v>
      </c>
    </row>
    <row r="467" spans="1:6" x14ac:dyDescent="0.35">
      <c r="A467" t="s">
        <v>871</v>
      </c>
      <c r="B467" t="s">
        <v>737</v>
      </c>
      <c r="C467">
        <v>-7.9799689999999996</v>
      </c>
      <c r="D467">
        <v>21.042310000000001</v>
      </c>
      <c r="E467" t="s">
        <v>680</v>
      </c>
      <c r="F467" t="s">
        <v>684</v>
      </c>
    </row>
    <row r="468" spans="1:6" x14ac:dyDescent="0.35">
      <c r="A468" t="s">
        <v>872</v>
      </c>
      <c r="B468" t="s">
        <v>711</v>
      </c>
      <c r="C468">
        <v>0.82399199999999995</v>
      </c>
      <c r="D468">
        <v>28.232678</v>
      </c>
      <c r="E468" t="s">
        <v>683</v>
      </c>
      <c r="F468" t="s">
        <v>681</v>
      </c>
    </row>
    <row r="469" spans="1:6" x14ac:dyDescent="0.35">
      <c r="A469" t="s">
        <v>873</v>
      </c>
      <c r="B469" t="s">
        <v>694</v>
      </c>
      <c r="C469">
        <v>-11.055339999999999</v>
      </c>
      <c r="D469">
        <v>21.627016000000001</v>
      </c>
      <c r="E469" t="s">
        <v>676</v>
      </c>
      <c r="F469" t="s">
        <v>697</v>
      </c>
    </row>
    <row r="470" spans="1:6" x14ac:dyDescent="0.35">
      <c r="A470" t="s">
        <v>874</v>
      </c>
      <c r="B470" t="s">
        <v>722</v>
      </c>
      <c r="C470">
        <v>-4.0490719999999998</v>
      </c>
      <c r="D470">
        <v>21.399131000000001</v>
      </c>
      <c r="E470" t="s">
        <v>683</v>
      </c>
      <c r="F470" t="s">
        <v>684</v>
      </c>
    </row>
    <row r="471" spans="1:6" x14ac:dyDescent="0.35">
      <c r="A471" t="s">
        <v>637</v>
      </c>
      <c r="B471" t="s">
        <v>707</v>
      </c>
      <c r="C471">
        <v>-1.6893210000000001</v>
      </c>
      <c r="D471">
        <v>30.446543999999999</v>
      </c>
      <c r="E471" t="s">
        <v>680</v>
      </c>
      <c r="F471" t="s">
        <v>681</v>
      </c>
    </row>
    <row r="472" spans="1:6" x14ac:dyDescent="0.35">
      <c r="A472" t="s">
        <v>283</v>
      </c>
      <c r="B472" t="s">
        <v>693</v>
      </c>
      <c r="C472">
        <v>-10.577049000000001</v>
      </c>
      <c r="D472">
        <v>23.721854</v>
      </c>
      <c r="E472" t="s">
        <v>680</v>
      </c>
      <c r="F472" t="s">
        <v>684</v>
      </c>
    </row>
    <row r="473" spans="1:6" x14ac:dyDescent="0.35">
      <c r="A473" t="s">
        <v>558</v>
      </c>
      <c r="B473" t="s">
        <v>700</v>
      </c>
      <c r="C473">
        <v>-11.207139</v>
      </c>
      <c r="D473">
        <v>18.702511999999999</v>
      </c>
      <c r="E473" t="s">
        <v>676</v>
      </c>
      <c r="F473" t="s">
        <v>677</v>
      </c>
    </row>
    <row r="474" spans="1:6" x14ac:dyDescent="0.35">
      <c r="A474" t="s">
        <v>875</v>
      </c>
      <c r="B474" t="s">
        <v>703</v>
      </c>
      <c r="C474">
        <v>-12.048655999999999</v>
      </c>
      <c r="D474">
        <v>30.577876</v>
      </c>
      <c r="E474" t="s">
        <v>676</v>
      </c>
      <c r="F474" t="s">
        <v>684</v>
      </c>
    </row>
    <row r="475" spans="1:6" x14ac:dyDescent="0.35">
      <c r="A475" t="s">
        <v>876</v>
      </c>
      <c r="B475" t="s">
        <v>690</v>
      </c>
      <c r="C475">
        <v>-11.771884</v>
      </c>
      <c r="D475">
        <v>18.089172999999999</v>
      </c>
      <c r="E475" t="s">
        <v>680</v>
      </c>
      <c r="F475" t="s">
        <v>697</v>
      </c>
    </row>
    <row r="476" spans="1:6" x14ac:dyDescent="0.35">
      <c r="A476" t="s">
        <v>162</v>
      </c>
      <c r="B476" t="s">
        <v>693</v>
      </c>
      <c r="C476">
        <v>-0.79406600000000005</v>
      </c>
      <c r="D476">
        <v>12.534793000000001</v>
      </c>
      <c r="E476" t="s">
        <v>683</v>
      </c>
      <c r="F476" t="s">
        <v>681</v>
      </c>
    </row>
    <row r="477" spans="1:6" x14ac:dyDescent="0.35">
      <c r="A477" t="s">
        <v>315</v>
      </c>
      <c r="B477" t="s">
        <v>707</v>
      </c>
      <c r="C477">
        <v>4.497306</v>
      </c>
      <c r="D477">
        <v>12.857251</v>
      </c>
      <c r="E477" t="s">
        <v>676</v>
      </c>
      <c r="F477" t="s">
        <v>677</v>
      </c>
    </row>
    <row r="478" spans="1:6" x14ac:dyDescent="0.35">
      <c r="A478" t="s">
        <v>877</v>
      </c>
      <c r="B478" t="s">
        <v>693</v>
      </c>
      <c r="C478">
        <v>-6.1126060000000004</v>
      </c>
      <c r="D478">
        <v>27.901748999999999</v>
      </c>
      <c r="E478" t="s">
        <v>680</v>
      </c>
      <c r="F478" t="s">
        <v>684</v>
      </c>
    </row>
    <row r="479" spans="1:6" x14ac:dyDescent="0.35">
      <c r="A479" t="s">
        <v>42</v>
      </c>
      <c r="B479" t="s">
        <v>679</v>
      </c>
      <c r="C479">
        <v>-0.77432100000000004</v>
      </c>
      <c r="D479">
        <v>18.628658999999999</v>
      </c>
      <c r="E479" t="s">
        <v>680</v>
      </c>
      <c r="F479" t="s">
        <v>681</v>
      </c>
    </row>
    <row r="480" spans="1:6" x14ac:dyDescent="0.35">
      <c r="A480" t="s">
        <v>127</v>
      </c>
      <c r="B480" t="s">
        <v>696</v>
      </c>
      <c r="C480">
        <v>-10.25074</v>
      </c>
      <c r="D480">
        <v>26.099086</v>
      </c>
      <c r="E480" t="s">
        <v>680</v>
      </c>
      <c r="F480" t="s">
        <v>681</v>
      </c>
    </row>
    <row r="481" spans="1:6" x14ac:dyDescent="0.35">
      <c r="A481" t="s">
        <v>151</v>
      </c>
      <c r="B481" t="s">
        <v>675</v>
      </c>
      <c r="C481">
        <v>-1.8045979999999999</v>
      </c>
      <c r="D481">
        <v>12.511096999999999</v>
      </c>
      <c r="E481" t="s">
        <v>683</v>
      </c>
      <c r="F481" t="s">
        <v>681</v>
      </c>
    </row>
    <row r="482" spans="1:6" x14ac:dyDescent="0.35">
      <c r="A482" t="s">
        <v>475</v>
      </c>
      <c r="B482" t="s">
        <v>685</v>
      </c>
      <c r="C482">
        <v>-11.265995</v>
      </c>
      <c r="D482">
        <v>28.935514999999999</v>
      </c>
      <c r="E482" t="s">
        <v>680</v>
      </c>
      <c r="F482" t="s">
        <v>677</v>
      </c>
    </row>
    <row r="483" spans="1:6" x14ac:dyDescent="0.35">
      <c r="A483" t="s">
        <v>132</v>
      </c>
      <c r="B483" t="s">
        <v>693</v>
      </c>
      <c r="C483">
        <v>-11.622688999999999</v>
      </c>
      <c r="D483">
        <v>18.483874</v>
      </c>
      <c r="E483" t="s">
        <v>676</v>
      </c>
      <c r="F483" t="s">
        <v>684</v>
      </c>
    </row>
    <row r="484" spans="1:6" x14ac:dyDescent="0.35">
      <c r="A484" t="s">
        <v>181</v>
      </c>
      <c r="B484" t="s">
        <v>693</v>
      </c>
      <c r="C484">
        <v>0.52897499999999997</v>
      </c>
      <c r="D484">
        <v>13.849651</v>
      </c>
      <c r="E484" t="s">
        <v>683</v>
      </c>
      <c r="F484" t="s">
        <v>684</v>
      </c>
    </row>
    <row r="485" spans="1:6" x14ac:dyDescent="0.35">
      <c r="A485" t="s">
        <v>878</v>
      </c>
      <c r="B485" t="s">
        <v>726</v>
      </c>
      <c r="C485">
        <v>0.81629799999999997</v>
      </c>
      <c r="D485">
        <v>18.557718000000001</v>
      </c>
      <c r="E485" t="s">
        <v>676</v>
      </c>
      <c r="F485" t="s">
        <v>677</v>
      </c>
    </row>
    <row r="486" spans="1:6" x14ac:dyDescent="0.35">
      <c r="A486" t="s">
        <v>667</v>
      </c>
      <c r="B486" t="s">
        <v>679</v>
      </c>
      <c r="C486">
        <v>1.2691650000000001</v>
      </c>
      <c r="D486">
        <v>18.789956</v>
      </c>
      <c r="E486" t="s">
        <v>683</v>
      </c>
      <c r="F486" t="s">
        <v>697</v>
      </c>
    </row>
    <row r="487" spans="1:6" x14ac:dyDescent="0.35">
      <c r="A487" t="s">
        <v>186</v>
      </c>
      <c r="B487" t="s">
        <v>716</v>
      </c>
      <c r="C487">
        <v>-9.3652280000000001</v>
      </c>
      <c r="D487">
        <v>18.674116000000001</v>
      </c>
      <c r="E487" t="s">
        <v>680</v>
      </c>
      <c r="F487" t="s">
        <v>681</v>
      </c>
    </row>
    <row r="488" spans="1:6" x14ac:dyDescent="0.35">
      <c r="A488" t="s">
        <v>879</v>
      </c>
      <c r="B488" t="s">
        <v>696</v>
      </c>
      <c r="C488">
        <v>-1.082322</v>
      </c>
      <c r="D488">
        <v>24.563559999999999</v>
      </c>
      <c r="E488" t="s">
        <v>680</v>
      </c>
      <c r="F488" t="s">
        <v>684</v>
      </c>
    </row>
    <row r="489" spans="1:6" x14ac:dyDescent="0.35">
      <c r="A489" t="s">
        <v>262</v>
      </c>
      <c r="B489" t="s">
        <v>696</v>
      </c>
      <c r="C489">
        <v>-4.1754939999999996</v>
      </c>
      <c r="D489">
        <v>16.704664999999999</v>
      </c>
      <c r="E489" t="s">
        <v>683</v>
      </c>
      <c r="F489" t="s">
        <v>677</v>
      </c>
    </row>
    <row r="490" spans="1:6" x14ac:dyDescent="0.35">
      <c r="A490" t="s">
        <v>880</v>
      </c>
      <c r="B490" t="s">
        <v>682</v>
      </c>
      <c r="C490">
        <v>-8.290025</v>
      </c>
      <c r="D490">
        <v>24.313573999999999</v>
      </c>
      <c r="E490" t="s">
        <v>680</v>
      </c>
      <c r="F490" t="s">
        <v>677</v>
      </c>
    </row>
    <row r="491" spans="1:6" x14ac:dyDescent="0.35">
      <c r="A491" t="s">
        <v>612</v>
      </c>
      <c r="B491" t="s">
        <v>699</v>
      </c>
      <c r="C491">
        <v>-6.8149179999999996</v>
      </c>
      <c r="D491">
        <v>23.258102000000001</v>
      </c>
      <c r="E491" t="s">
        <v>676</v>
      </c>
      <c r="F491" t="s">
        <v>681</v>
      </c>
    </row>
    <row r="492" spans="1:6" x14ac:dyDescent="0.35">
      <c r="A492" t="s">
        <v>118</v>
      </c>
      <c r="B492" t="s">
        <v>679</v>
      </c>
      <c r="C492">
        <v>2.4741019999999998</v>
      </c>
      <c r="D492">
        <v>29.297391000000001</v>
      </c>
      <c r="E492" t="s">
        <v>680</v>
      </c>
      <c r="F492" t="s">
        <v>677</v>
      </c>
    </row>
    <row r="493" spans="1:6" x14ac:dyDescent="0.35">
      <c r="A493" t="s">
        <v>581</v>
      </c>
      <c r="B493" t="s">
        <v>719</v>
      </c>
      <c r="C493">
        <v>-3.1608390000000002</v>
      </c>
      <c r="D493">
        <v>13.244503999999999</v>
      </c>
      <c r="E493" t="s">
        <v>683</v>
      </c>
      <c r="F493" t="s">
        <v>681</v>
      </c>
    </row>
    <row r="494" spans="1:6" x14ac:dyDescent="0.35">
      <c r="A494" t="s">
        <v>881</v>
      </c>
      <c r="B494" t="s">
        <v>703</v>
      </c>
      <c r="C494">
        <v>4.1464489999999996</v>
      </c>
      <c r="D494">
        <v>17.793337000000001</v>
      </c>
      <c r="E494" t="s">
        <v>676</v>
      </c>
      <c r="F494" t="s">
        <v>684</v>
      </c>
    </row>
    <row r="495" spans="1:6" x14ac:dyDescent="0.35">
      <c r="A495" t="s">
        <v>244</v>
      </c>
      <c r="B495" t="s">
        <v>726</v>
      </c>
      <c r="C495">
        <v>-12.431227</v>
      </c>
      <c r="D495">
        <v>18.414290999999999</v>
      </c>
      <c r="E495" t="s">
        <v>676</v>
      </c>
      <c r="F495" t="s">
        <v>681</v>
      </c>
    </row>
    <row r="496" spans="1:6" x14ac:dyDescent="0.35">
      <c r="A496" t="s">
        <v>91</v>
      </c>
      <c r="B496" t="s">
        <v>700</v>
      </c>
      <c r="C496">
        <v>-5.2526849999999996</v>
      </c>
      <c r="D496">
        <v>12.374528</v>
      </c>
      <c r="E496" t="s">
        <v>683</v>
      </c>
      <c r="F496" t="s">
        <v>697</v>
      </c>
    </row>
    <row r="497" spans="1:6" x14ac:dyDescent="0.35">
      <c r="A497" t="s">
        <v>882</v>
      </c>
      <c r="B497" t="s">
        <v>694</v>
      </c>
      <c r="C497">
        <v>3.4689049999999999</v>
      </c>
      <c r="D497">
        <v>18.19622</v>
      </c>
      <c r="E497" t="s">
        <v>676</v>
      </c>
      <c r="F497" t="s">
        <v>681</v>
      </c>
    </row>
    <row r="498" spans="1:6" x14ac:dyDescent="0.35">
      <c r="A498" t="s">
        <v>883</v>
      </c>
      <c r="B498" t="s">
        <v>688</v>
      </c>
      <c r="C498">
        <v>-6.0946619999999996</v>
      </c>
      <c r="D498">
        <v>20.757277999999999</v>
      </c>
      <c r="E498" t="s">
        <v>676</v>
      </c>
      <c r="F498" t="s">
        <v>681</v>
      </c>
    </row>
    <row r="499" spans="1:6" x14ac:dyDescent="0.35">
      <c r="A499" t="s">
        <v>499</v>
      </c>
      <c r="B499" t="s">
        <v>694</v>
      </c>
      <c r="C499">
        <v>-7.3379339999999997</v>
      </c>
      <c r="D499">
        <v>28.404001999999998</v>
      </c>
      <c r="E499" t="s">
        <v>683</v>
      </c>
      <c r="F499" t="s">
        <v>697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1AA872-98D7-4D45-82AA-9D09CA860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TCD </vt:lpstr>
      <vt:lpstr>CKadeaTelcoLogs_Reseau et maint</vt:lpstr>
      <vt:lpstr>CKadeaTelcoClients_Churn</vt:lpstr>
      <vt:lpstr>CKadeaTelcoRegistre_Maintenance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beatrice</dc:creator>
  <cp:lastModifiedBy>sarah beatrice</cp:lastModifiedBy>
  <dcterms:created xsi:type="dcterms:W3CDTF">2026-03-30T10:53:54Z</dcterms:created>
  <dcterms:modified xsi:type="dcterms:W3CDTF">2026-04-10T22:25:50Z</dcterms:modified>
</cp:coreProperties>
</file>